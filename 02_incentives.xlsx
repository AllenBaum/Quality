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"/>
    </mc:Choice>
  </mc:AlternateContent>
  <bookViews>
    <workbookView xWindow="0" yWindow="0" windowWidth="28800" windowHeight="12045"/>
  </bookViews>
  <sheets>
    <sheet name="Summary by Site" sheetId="2" r:id="rId1"/>
    <sheet name="data_transformed" sheetId="4" r:id="rId2"/>
    <sheet name="data" sheetId="1" r:id="rId3"/>
  </sheets>
  <definedNames>
    <definedName name="_xlnm._FilterDatabase" localSheetId="2" hidden="1">data!$A$1:$V$1803</definedName>
    <definedName name="Period">data!$B$2:$B$1803</definedName>
    <definedName name="_xlnm.Print_Area" localSheetId="0">'Summary by Site'!$A$1:$T$147</definedName>
    <definedName name="_xlnm.Print_Titles" localSheetId="0">'Summary by Site'!$1:$4</definedName>
    <definedName name="Site">data!$C$2:$C$1803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03" i="1" l="1"/>
  <c r="L1702" i="1"/>
  <c r="L1701" i="1"/>
  <c r="L1700" i="1"/>
  <c r="L1699" i="1"/>
  <c r="V1703" i="1"/>
  <c r="U1703" i="1"/>
  <c r="V1702" i="1"/>
  <c r="U1702" i="1"/>
  <c r="V1701" i="1"/>
  <c r="U1701" i="1"/>
  <c r="V1700" i="1"/>
  <c r="U1700" i="1"/>
  <c r="V1699" i="1"/>
  <c r="U1699" i="1"/>
  <c r="U1713" i="1" l="1"/>
  <c r="V1713" i="1"/>
  <c r="U1714" i="1"/>
  <c r="V1714" i="1"/>
  <c r="U1715" i="1"/>
  <c r="V1715" i="1"/>
  <c r="U1716" i="1"/>
  <c r="V1716" i="1"/>
  <c r="U1717" i="1"/>
  <c r="V1717" i="1"/>
  <c r="U1718" i="1"/>
  <c r="V1718" i="1"/>
  <c r="U1719" i="1"/>
  <c r="V1719" i="1"/>
  <c r="U1720" i="1"/>
  <c r="V1720" i="1"/>
  <c r="U1721" i="1"/>
  <c r="V1721" i="1"/>
  <c r="U1722" i="1"/>
  <c r="V1722" i="1"/>
  <c r="U1723" i="1"/>
  <c r="V1723" i="1"/>
  <c r="U1724" i="1"/>
  <c r="V1724" i="1"/>
  <c r="U1725" i="1"/>
  <c r="V1725" i="1"/>
  <c r="U1726" i="1"/>
  <c r="V1726" i="1"/>
  <c r="U1727" i="1"/>
  <c r="V1727" i="1"/>
  <c r="U1728" i="1"/>
  <c r="V1728" i="1"/>
  <c r="U1729" i="1"/>
  <c r="V1729" i="1"/>
  <c r="U1730" i="1"/>
  <c r="V1730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U1691" i="1" l="1"/>
  <c r="V1691" i="1"/>
  <c r="U1692" i="1"/>
  <c r="V1692" i="1"/>
  <c r="U1693" i="1"/>
  <c r="V1693" i="1"/>
  <c r="U1694" i="1"/>
  <c r="V1694" i="1"/>
  <c r="U1695" i="1"/>
  <c r="V1695" i="1"/>
  <c r="U1696" i="1"/>
  <c r="V1696" i="1"/>
  <c r="U1697" i="1"/>
  <c r="V1697" i="1"/>
  <c r="U1698" i="1"/>
  <c r="V1698" i="1"/>
  <c r="U1704" i="1"/>
  <c r="V1704" i="1"/>
  <c r="U1705" i="1"/>
  <c r="V1705" i="1"/>
  <c r="U1706" i="1"/>
  <c r="V1706" i="1"/>
  <c r="U1707" i="1"/>
  <c r="V1707" i="1"/>
  <c r="U1708" i="1"/>
  <c r="V1708" i="1"/>
  <c r="U1709" i="1"/>
  <c r="V1709" i="1"/>
  <c r="U1710" i="1"/>
  <c r="V1710" i="1"/>
  <c r="U1711" i="1"/>
  <c r="V1711" i="1"/>
  <c r="U1712" i="1"/>
  <c r="V1712" i="1"/>
  <c r="L1691" i="1"/>
  <c r="L1692" i="1"/>
  <c r="L1693" i="1"/>
  <c r="L1694" i="1"/>
  <c r="L1695" i="1"/>
  <c r="L1696" i="1"/>
  <c r="L1697" i="1"/>
  <c r="L1698" i="1"/>
  <c r="L1704" i="1"/>
  <c r="L1705" i="1"/>
  <c r="L1706" i="1"/>
  <c r="L1707" i="1"/>
  <c r="L1708" i="1"/>
  <c r="L1709" i="1"/>
  <c r="L1710" i="1"/>
  <c r="L1711" i="1"/>
  <c r="L1712" i="1"/>
  <c r="V1657" i="1" l="1"/>
  <c r="V1658" i="1"/>
  <c r="V1659" i="1"/>
  <c r="V1660" i="1"/>
  <c r="V1661" i="1"/>
  <c r="V1662" i="1"/>
  <c r="V1663" i="1"/>
  <c r="V1664" i="1"/>
  <c r="V1665" i="1"/>
  <c r="V1666" i="1"/>
  <c r="V1667" i="1"/>
  <c r="V1668" i="1"/>
  <c r="U1669" i="1"/>
  <c r="V1669" i="1"/>
  <c r="U1670" i="1"/>
  <c r="V1670" i="1"/>
  <c r="U1671" i="1"/>
  <c r="V1671" i="1"/>
  <c r="U1672" i="1"/>
  <c r="V1672" i="1"/>
  <c r="U1673" i="1"/>
  <c r="V1673" i="1"/>
  <c r="U1674" i="1"/>
  <c r="V1674" i="1"/>
  <c r="U1675" i="1"/>
  <c r="V1675" i="1"/>
  <c r="U1676" i="1"/>
  <c r="V1676" i="1"/>
  <c r="U1677" i="1"/>
  <c r="V1677" i="1"/>
  <c r="U1678" i="1"/>
  <c r="V1678" i="1"/>
  <c r="U1679" i="1"/>
  <c r="V1679" i="1"/>
  <c r="U1680" i="1"/>
  <c r="V1680" i="1"/>
  <c r="U1681" i="1"/>
  <c r="V1681" i="1"/>
  <c r="U1682" i="1"/>
  <c r="V1682" i="1"/>
  <c r="U1683" i="1"/>
  <c r="V1683" i="1"/>
  <c r="U1684" i="1"/>
  <c r="V1684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U1635" i="1" l="1"/>
  <c r="V1635" i="1"/>
  <c r="U1636" i="1"/>
  <c r="V1636" i="1"/>
  <c r="U1637" i="1"/>
  <c r="V1637" i="1"/>
  <c r="U1638" i="1"/>
  <c r="V1638" i="1"/>
  <c r="U1639" i="1"/>
  <c r="V1639" i="1"/>
  <c r="U1640" i="1"/>
  <c r="V1640" i="1"/>
  <c r="U1641" i="1"/>
  <c r="V1641" i="1"/>
  <c r="U1642" i="1"/>
  <c r="V1642" i="1"/>
  <c r="U1643" i="1"/>
  <c r="V1643" i="1"/>
  <c r="U1644" i="1"/>
  <c r="V1644" i="1"/>
  <c r="U1645" i="1"/>
  <c r="V1645" i="1"/>
  <c r="U1646" i="1"/>
  <c r="V1646" i="1"/>
  <c r="U1647" i="1"/>
  <c r="V1647" i="1"/>
  <c r="U1648" i="1"/>
  <c r="V1648" i="1"/>
  <c r="U1649" i="1"/>
  <c r="V1649" i="1"/>
  <c r="U1650" i="1"/>
  <c r="V1650" i="1"/>
  <c r="U1651" i="1"/>
  <c r="V1651" i="1"/>
  <c r="U1652" i="1"/>
  <c r="V1652" i="1"/>
  <c r="U1653" i="1"/>
  <c r="V1653" i="1"/>
  <c r="U1654" i="1"/>
  <c r="V1654" i="1"/>
  <c r="U1655" i="1"/>
  <c r="V1655" i="1"/>
  <c r="U1656" i="1"/>
  <c r="V1656" i="1"/>
  <c r="U1685" i="1"/>
  <c r="V1685" i="1"/>
  <c r="U1686" i="1"/>
  <c r="V1686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85" i="1"/>
  <c r="L1686" i="1"/>
  <c r="T109" i="2" l="1" a="1"/>
  <c r="T109" i="2" s="1"/>
  <c r="D1023" i="4" s="1"/>
  <c r="T108" i="2" a="1"/>
  <c r="T108" i="2" s="1"/>
  <c r="D1022" i="4" s="1"/>
  <c r="T107" i="2" a="1"/>
  <c r="T107" i="2" s="1"/>
  <c r="D1021" i="4" s="1"/>
  <c r="T106" i="2" a="1"/>
  <c r="T106" i="2" s="1"/>
  <c r="D1020" i="4" s="1"/>
  <c r="T105" i="2" a="1"/>
  <c r="T105" i="2" s="1"/>
  <c r="D1019" i="4" s="1"/>
  <c r="T104" i="2" a="1"/>
  <c r="T104" i="2" s="1"/>
  <c r="D1018" i="4" s="1"/>
  <c r="T103" i="2" a="1"/>
  <c r="T103" i="2" s="1"/>
  <c r="D1017" i="4" s="1"/>
  <c r="T102" i="2" a="1"/>
  <c r="T102" i="2" s="1"/>
  <c r="D1016" i="4" s="1"/>
  <c r="T100" i="2" a="1"/>
  <c r="T100" i="2" s="1"/>
  <c r="D1014" i="4" s="1"/>
  <c r="T99" i="2" a="1"/>
  <c r="T99" i="2" s="1"/>
  <c r="D1013" i="4" s="1"/>
  <c r="T98" i="2" a="1"/>
  <c r="T98" i="2" s="1"/>
  <c r="D1012" i="4" s="1"/>
  <c r="T97" i="2" a="1"/>
  <c r="T97" i="2" s="1"/>
  <c r="D1011" i="4" s="1"/>
  <c r="T96" i="2" a="1"/>
  <c r="T96" i="2" s="1"/>
  <c r="D1010" i="4" s="1"/>
  <c r="V1803" i="1"/>
  <c r="U1803" i="1"/>
  <c r="V1802" i="1"/>
  <c r="U1802" i="1"/>
  <c r="V1801" i="1"/>
  <c r="U1801" i="1"/>
  <c r="V1800" i="1"/>
  <c r="U1800" i="1"/>
  <c r="V1799" i="1"/>
  <c r="U1799" i="1"/>
  <c r="V1798" i="1"/>
  <c r="U1798" i="1"/>
  <c r="V1797" i="1"/>
  <c r="U1797" i="1"/>
  <c r="V1796" i="1"/>
  <c r="U1796" i="1"/>
  <c r="V1795" i="1"/>
  <c r="U1795" i="1"/>
  <c r="V1794" i="1"/>
  <c r="U1794" i="1"/>
  <c r="V1793" i="1"/>
  <c r="U1793" i="1"/>
  <c r="V1792" i="1"/>
  <c r="U1792" i="1"/>
  <c r="V1791" i="1"/>
  <c r="U1791" i="1"/>
  <c r="V1790" i="1"/>
  <c r="U1790" i="1"/>
  <c r="V1789" i="1"/>
  <c r="U1789" i="1"/>
  <c r="V1788" i="1"/>
  <c r="U1788" i="1"/>
  <c r="V1787" i="1"/>
  <c r="U1787" i="1"/>
  <c r="V1786" i="1"/>
  <c r="U1786" i="1"/>
  <c r="V1785" i="1"/>
  <c r="U1785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V900" i="1" l="1"/>
  <c r="U900" i="1"/>
  <c r="L900" i="1"/>
  <c r="V899" i="1"/>
  <c r="U899" i="1"/>
  <c r="L899" i="1"/>
  <c r="V898" i="1"/>
  <c r="U898" i="1"/>
  <c r="L898" i="1"/>
  <c r="V897" i="1"/>
  <c r="U897" i="1"/>
  <c r="L897" i="1"/>
  <c r="V896" i="1"/>
  <c r="U896" i="1"/>
  <c r="L896" i="1"/>
  <c r="V895" i="1"/>
  <c r="U895" i="1"/>
  <c r="L895" i="1"/>
  <c r="V894" i="1"/>
  <c r="U894" i="1"/>
  <c r="L894" i="1"/>
  <c r="V893" i="1"/>
  <c r="U893" i="1"/>
  <c r="L893" i="1"/>
  <c r="V892" i="1"/>
  <c r="U892" i="1"/>
  <c r="L892" i="1"/>
  <c r="V891" i="1"/>
  <c r="U891" i="1"/>
  <c r="L891" i="1"/>
  <c r="V890" i="1"/>
  <c r="U890" i="1"/>
  <c r="L890" i="1"/>
  <c r="V889" i="1"/>
  <c r="U889" i="1"/>
  <c r="L889" i="1"/>
  <c r="V888" i="1"/>
  <c r="U888" i="1"/>
  <c r="L888" i="1"/>
  <c r="V887" i="1"/>
  <c r="U887" i="1"/>
  <c r="L887" i="1"/>
  <c r="V886" i="1"/>
  <c r="U886" i="1"/>
  <c r="L886" i="1"/>
  <c r="V885" i="1"/>
  <c r="U885" i="1"/>
  <c r="L885" i="1"/>
  <c r="V884" i="1"/>
  <c r="U884" i="1"/>
  <c r="V883" i="1"/>
  <c r="U883" i="1"/>
  <c r="V882" i="1"/>
  <c r="U882" i="1"/>
  <c r="V881" i="1"/>
  <c r="U881" i="1"/>
  <c r="L884" i="1"/>
  <c r="L883" i="1"/>
  <c r="L882" i="1"/>
  <c r="L881" i="1"/>
  <c r="V878" i="1"/>
  <c r="U878" i="1"/>
  <c r="L878" i="1"/>
  <c r="V877" i="1"/>
  <c r="U877" i="1"/>
  <c r="L877" i="1"/>
  <c r="V876" i="1"/>
  <c r="U876" i="1"/>
  <c r="L876" i="1"/>
  <c r="V875" i="1"/>
  <c r="U875" i="1"/>
  <c r="L875" i="1"/>
  <c r="V874" i="1"/>
  <c r="U874" i="1"/>
  <c r="L874" i="1"/>
  <c r="V873" i="1"/>
  <c r="U873" i="1"/>
  <c r="L873" i="1"/>
  <c r="V872" i="1"/>
  <c r="U872" i="1"/>
  <c r="L872" i="1"/>
  <c r="V871" i="1"/>
  <c r="U871" i="1"/>
  <c r="L871" i="1"/>
  <c r="V880" i="1" l="1"/>
  <c r="U880" i="1"/>
  <c r="L880" i="1"/>
  <c r="V879" i="1"/>
  <c r="U879" i="1"/>
  <c r="L879" i="1"/>
  <c r="V870" i="1"/>
  <c r="U870" i="1"/>
  <c r="L870" i="1"/>
  <c r="V869" i="1"/>
  <c r="U869" i="1"/>
  <c r="L869" i="1"/>
  <c r="V868" i="1"/>
  <c r="U868" i="1"/>
  <c r="L868" i="1"/>
  <c r="V867" i="1"/>
  <c r="U867" i="1"/>
  <c r="L867" i="1"/>
  <c r="V866" i="1"/>
  <c r="U866" i="1"/>
  <c r="L866" i="1"/>
  <c r="V865" i="1"/>
  <c r="U865" i="1"/>
  <c r="L865" i="1"/>
  <c r="V864" i="1"/>
  <c r="U864" i="1"/>
  <c r="L864" i="1"/>
  <c r="V863" i="1"/>
  <c r="U863" i="1"/>
  <c r="L863" i="1"/>
  <c r="V862" i="1"/>
  <c r="U862" i="1"/>
  <c r="L862" i="1"/>
  <c r="V861" i="1"/>
  <c r="U861" i="1"/>
  <c r="L861" i="1"/>
  <c r="V860" i="1"/>
  <c r="U860" i="1"/>
  <c r="L860" i="1"/>
  <c r="V859" i="1"/>
  <c r="U859" i="1"/>
  <c r="L859" i="1"/>
  <c r="V858" i="1"/>
  <c r="U858" i="1"/>
  <c r="L858" i="1"/>
  <c r="V857" i="1"/>
  <c r="U857" i="1"/>
  <c r="L857" i="1"/>
  <c r="V856" i="1"/>
  <c r="U856" i="1"/>
  <c r="L856" i="1"/>
  <c r="V855" i="1"/>
  <c r="U855" i="1"/>
  <c r="L855" i="1"/>
  <c r="V854" i="1"/>
  <c r="U854" i="1"/>
  <c r="L854" i="1"/>
  <c r="V853" i="1"/>
  <c r="U853" i="1"/>
  <c r="L853" i="1"/>
  <c r="V852" i="1"/>
  <c r="U852" i="1"/>
  <c r="L852" i="1"/>
  <c r="V851" i="1"/>
  <c r="U851" i="1"/>
  <c r="L851" i="1"/>
  <c r="V850" i="1"/>
  <c r="U850" i="1"/>
  <c r="L850" i="1"/>
  <c r="V849" i="1"/>
  <c r="U849" i="1"/>
  <c r="L849" i="1"/>
  <c r="V848" i="1"/>
  <c r="U848" i="1"/>
  <c r="L848" i="1"/>
  <c r="V847" i="1"/>
  <c r="U847" i="1"/>
  <c r="L847" i="1"/>
  <c r="V846" i="1"/>
  <c r="U846" i="1"/>
  <c r="L846" i="1"/>
  <c r="V845" i="1"/>
  <c r="U845" i="1"/>
  <c r="L845" i="1"/>
  <c r="V844" i="1"/>
  <c r="U844" i="1"/>
  <c r="L844" i="1"/>
  <c r="V843" i="1"/>
  <c r="U843" i="1"/>
  <c r="L843" i="1"/>
  <c r="V842" i="1"/>
  <c r="U842" i="1"/>
  <c r="L842" i="1"/>
  <c r="V841" i="1"/>
  <c r="U841" i="1"/>
  <c r="L841" i="1"/>
  <c r="V840" i="1"/>
  <c r="U840" i="1"/>
  <c r="L840" i="1"/>
  <c r="V839" i="1"/>
  <c r="U839" i="1"/>
  <c r="L839" i="1"/>
  <c r="V838" i="1"/>
  <c r="U838" i="1"/>
  <c r="L838" i="1"/>
  <c r="V837" i="1"/>
  <c r="U837" i="1"/>
  <c r="L837" i="1"/>
  <c r="V836" i="1"/>
  <c r="U836" i="1"/>
  <c r="L836" i="1"/>
  <c r="V835" i="1"/>
  <c r="U835" i="1"/>
  <c r="L835" i="1"/>
  <c r="V834" i="1"/>
  <c r="U834" i="1"/>
  <c r="L834" i="1"/>
  <c r="V833" i="1"/>
  <c r="U833" i="1"/>
  <c r="L833" i="1"/>
  <c r="V832" i="1"/>
  <c r="U832" i="1"/>
  <c r="L832" i="1"/>
  <c r="V831" i="1"/>
  <c r="U831" i="1"/>
  <c r="L831" i="1"/>
  <c r="V830" i="1"/>
  <c r="U830" i="1"/>
  <c r="L830" i="1"/>
  <c r="U829" i="1"/>
  <c r="U828" i="1"/>
  <c r="U827" i="1"/>
  <c r="U826" i="1"/>
  <c r="U825" i="1"/>
  <c r="U824" i="1"/>
  <c r="U823" i="1"/>
  <c r="V829" i="1"/>
  <c r="V828" i="1"/>
  <c r="V827" i="1"/>
  <c r="V826" i="1"/>
  <c r="V825" i="1"/>
  <c r="V824" i="1"/>
  <c r="V823" i="1"/>
  <c r="V822" i="1"/>
  <c r="L829" i="1"/>
  <c r="L828" i="1"/>
  <c r="L827" i="1"/>
  <c r="L826" i="1"/>
  <c r="L825" i="1"/>
  <c r="L824" i="1"/>
  <c r="L823" i="1"/>
  <c r="S109" i="2" l="1" a="1"/>
  <c r="S109" i="2" s="1"/>
  <c r="D1007" i="4" s="1"/>
  <c r="R109" i="2" a="1"/>
  <c r="R109" i="2" s="1"/>
  <c r="D991" i="4" s="1"/>
  <c r="Q109" i="2" a="1"/>
  <c r="Q109" i="2" s="1"/>
  <c r="D975" i="4" s="1"/>
  <c r="S108" i="2" a="1"/>
  <c r="S108" i="2" s="1"/>
  <c r="D1006" i="4" s="1"/>
  <c r="R108" i="2" a="1"/>
  <c r="R108" i="2" s="1"/>
  <c r="D990" i="4" s="1"/>
  <c r="Q108" i="2" a="1"/>
  <c r="Q108" i="2" s="1"/>
  <c r="D974" i="4" s="1"/>
  <c r="S107" i="2" a="1"/>
  <c r="S107" i="2" s="1"/>
  <c r="D1005" i="4" s="1"/>
  <c r="R107" i="2" a="1"/>
  <c r="R107" i="2" s="1"/>
  <c r="D989" i="4" s="1"/>
  <c r="Q107" i="2" a="1"/>
  <c r="Q107" i="2" s="1"/>
  <c r="D973" i="4" s="1"/>
  <c r="S106" i="2" a="1"/>
  <c r="S106" i="2" s="1"/>
  <c r="D1004" i="4" s="1"/>
  <c r="R106" i="2" a="1"/>
  <c r="R106" i="2" s="1"/>
  <c r="D988" i="4" s="1"/>
  <c r="Q106" i="2" a="1"/>
  <c r="Q106" i="2" s="1"/>
  <c r="D972" i="4" s="1"/>
  <c r="S105" i="2" a="1"/>
  <c r="S105" i="2" s="1"/>
  <c r="D1003" i="4" s="1"/>
  <c r="R105" i="2" a="1"/>
  <c r="R105" i="2" s="1"/>
  <c r="D987" i="4" s="1"/>
  <c r="Q105" i="2" a="1"/>
  <c r="Q105" i="2" s="1"/>
  <c r="D971" i="4" s="1"/>
  <c r="S104" i="2" a="1"/>
  <c r="S104" i="2" s="1"/>
  <c r="D1002" i="4" s="1"/>
  <c r="R104" i="2" a="1"/>
  <c r="R104" i="2" s="1"/>
  <c r="D986" i="4" s="1"/>
  <c r="Q104" i="2" a="1"/>
  <c r="Q104" i="2" s="1"/>
  <c r="D970" i="4" s="1"/>
  <c r="S103" i="2" a="1"/>
  <c r="S103" i="2" s="1"/>
  <c r="D1001" i="4" s="1"/>
  <c r="R103" i="2" a="1"/>
  <c r="R103" i="2" s="1"/>
  <c r="D985" i="4" s="1"/>
  <c r="Q103" i="2" a="1"/>
  <c r="Q103" i="2" s="1"/>
  <c r="D969" i="4" s="1"/>
  <c r="T110" i="2"/>
  <c r="D1024" i="4" s="1"/>
  <c r="S102" i="2" a="1"/>
  <c r="S102" i="2" s="1"/>
  <c r="D1000" i="4" s="1"/>
  <c r="R102" i="2" a="1"/>
  <c r="R102" i="2" s="1"/>
  <c r="D984" i="4" s="1"/>
  <c r="Q102" i="2" a="1"/>
  <c r="Q102" i="2" s="1"/>
  <c r="D968" i="4" s="1"/>
  <c r="S100" i="2" a="1"/>
  <c r="S100" i="2" s="1"/>
  <c r="D998" i="4" s="1"/>
  <c r="R100" i="2" a="1"/>
  <c r="R100" i="2" s="1"/>
  <c r="D982" i="4" s="1"/>
  <c r="Q100" i="2" a="1"/>
  <c r="Q100" i="2" s="1"/>
  <c r="D966" i="4" s="1"/>
  <c r="S99" i="2" a="1"/>
  <c r="S99" i="2" s="1"/>
  <c r="D997" i="4" s="1"/>
  <c r="R99" i="2" a="1"/>
  <c r="R99" i="2" s="1"/>
  <c r="D981" i="4" s="1"/>
  <c r="Q99" i="2" a="1"/>
  <c r="Q99" i="2" s="1"/>
  <c r="D965" i="4" s="1"/>
  <c r="S98" i="2" a="1"/>
  <c r="S98" i="2" s="1"/>
  <c r="D996" i="4" s="1"/>
  <c r="R98" i="2" a="1"/>
  <c r="R98" i="2" s="1"/>
  <c r="D980" i="4" s="1"/>
  <c r="Q98" i="2" a="1"/>
  <c r="Q98" i="2" s="1"/>
  <c r="D964" i="4" s="1"/>
  <c r="S97" i="2" a="1"/>
  <c r="S97" i="2" s="1"/>
  <c r="D995" i="4" s="1"/>
  <c r="R97" i="2" a="1"/>
  <c r="R97" i="2" s="1"/>
  <c r="D979" i="4" s="1"/>
  <c r="Q97" i="2" a="1"/>
  <c r="Q97" i="2" s="1"/>
  <c r="D963" i="4" s="1"/>
  <c r="S96" i="2" a="1"/>
  <c r="S96" i="2" s="1"/>
  <c r="D994" i="4" s="1"/>
  <c r="R96" i="2" a="1"/>
  <c r="R96" i="2" s="1"/>
  <c r="D978" i="4" s="1"/>
  <c r="Q96" i="2" a="1"/>
  <c r="Q96" i="2" s="1"/>
  <c r="D962" i="4" s="1"/>
  <c r="O37" i="2" a="1"/>
  <c r="O37" i="2" s="1"/>
  <c r="N37" i="2" a="1"/>
  <c r="N37" i="2" s="1"/>
  <c r="M37" i="2" a="1"/>
  <c r="M37" i="2" s="1"/>
  <c r="L37" i="2" a="1"/>
  <c r="L37" i="2" s="1"/>
  <c r="K37" i="2" a="1"/>
  <c r="K37" i="2" s="1"/>
  <c r="J37" i="2" a="1"/>
  <c r="J37" i="2" s="1"/>
  <c r="I37" i="2" a="1"/>
  <c r="I37" i="2" s="1"/>
  <c r="H37" i="2" a="1"/>
  <c r="H37" i="2" s="1"/>
  <c r="G37" i="2" a="1"/>
  <c r="G37" i="2" s="1"/>
  <c r="F37" i="2" a="1"/>
  <c r="F37" i="2" s="1"/>
  <c r="E37" i="2" a="1"/>
  <c r="E37" i="2" s="1"/>
  <c r="D37" i="2" a="1"/>
  <c r="D37" i="2" s="1"/>
  <c r="O36" i="2" a="1"/>
  <c r="O36" i="2" s="1"/>
  <c r="N36" i="2" a="1"/>
  <c r="N36" i="2" s="1"/>
  <c r="M36" i="2" a="1"/>
  <c r="M36" i="2" s="1"/>
  <c r="L36" i="2" a="1"/>
  <c r="L36" i="2" s="1"/>
  <c r="K36" i="2" a="1"/>
  <c r="K36" i="2" s="1"/>
  <c r="J36" i="2" a="1"/>
  <c r="J36" i="2" s="1"/>
  <c r="I36" i="2" a="1"/>
  <c r="I36" i="2" s="1"/>
  <c r="H36" i="2" a="1"/>
  <c r="H36" i="2" s="1"/>
  <c r="G36" i="2" a="1"/>
  <c r="G36" i="2" s="1"/>
  <c r="F36" i="2" a="1"/>
  <c r="F36" i="2" s="1"/>
  <c r="E36" i="2" a="1"/>
  <c r="E36" i="2" s="1"/>
  <c r="D36" i="2" a="1"/>
  <c r="D36" i="2" s="1"/>
  <c r="O35" i="2" a="1"/>
  <c r="O35" i="2" s="1"/>
  <c r="N35" i="2" a="1"/>
  <c r="N35" i="2" s="1"/>
  <c r="M35" i="2" a="1"/>
  <c r="M35" i="2" s="1"/>
  <c r="L35" i="2" a="1"/>
  <c r="L35" i="2" s="1"/>
  <c r="K35" i="2" a="1"/>
  <c r="K35" i="2" s="1"/>
  <c r="J35" i="2" a="1"/>
  <c r="J35" i="2" s="1"/>
  <c r="I35" i="2" a="1"/>
  <c r="I35" i="2" s="1"/>
  <c r="H35" i="2" a="1"/>
  <c r="H35" i="2" s="1"/>
  <c r="G35" i="2" a="1"/>
  <c r="G35" i="2" s="1"/>
  <c r="F35" i="2" a="1"/>
  <c r="F35" i="2" s="1"/>
  <c r="E35" i="2" a="1"/>
  <c r="E35" i="2" s="1"/>
  <c r="D35" i="2" a="1"/>
  <c r="D35" i="2" s="1"/>
  <c r="O34" i="2" a="1"/>
  <c r="O34" i="2" s="1"/>
  <c r="N34" i="2" a="1"/>
  <c r="N34" i="2" s="1"/>
  <c r="M34" i="2" a="1"/>
  <c r="M34" i="2" s="1"/>
  <c r="L34" i="2" a="1"/>
  <c r="L34" i="2" s="1"/>
  <c r="K34" i="2" a="1"/>
  <c r="K34" i="2" s="1"/>
  <c r="J34" i="2" a="1"/>
  <c r="J34" i="2" s="1"/>
  <c r="I34" i="2" a="1"/>
  <c r="I34" i="2" s="1"/>
  <c r="H34" i="2" a="1"/>
  <c r="H34" i="2" s="1"/>
  <c r="G34" i="2" a="1"/>
  <c r="G34" i="2" s="1"/>
  <c r="F34" i="2" a="1"/>
  <c r="F34" i="2" s="1"/>
  <c r="E34" i="2" a="1"/>
  <c r="E34" i="2" s="1"/>
  <c r="D34" i="2" a="1"/>
  <c r="D34" i="2" s="1"/>
  <c r="O33" i="2" a="1"/>
  <c r="O33" i="2" s="1"/>
  <c r="N33" i="2" a="1"/>
  <c r="N33" i="2" s="1"/>
  <c r="M33" i="2" a="1"/>
  <c r="M33" i="2" s="1"/>
  <c r="L33" i="2" a="1"/>
  <c r="L33" i="2" s="1"/>
  <c r="K33" i="2" a="1"/>
  <c r="K33" i="2" s="1"/>
  <c r="J33" i="2" a="1"/>
  <c r="J33" i="2" s="1"/>
  <c r="I33" i="2" a="1"/>
  <c r="I33" i="2" s="1"/>
  <c r="H33" i="2" a="1"/>
  <c r="H33" i="2" s="1"/>
  <c r="G33" i="2" a="1"/>
  <c r="G33" i="2" s="1"/>
  <c r="F33" i="2" a="1"/>
  <c r="F33" i="2" s="1"/>
  <c r="E33" i="2" a="1"/>
  <c r="E33" i="2" s="1"/>
  <c r="D33" i="2" a="1"/>
  <c r="D33" i="2" s="1"/>
  <c r="O32" i="2" a="1"/>
  <c r="O32" i="2" s="1"/>
  <c r="N32" i="2" a="1"/>
  <c r="N32" i="2" s="1"/>
  <c r="M32" i="2" a="1"/>
  <c r="M32" i="2" s="1"/>
  <c r="L32" i="2" a="1"/>
  <c r="L32" i="2" s="1"/>
  <c r="K32" i="2" a="1"/>
  <c r="K32" i="2" s="1"/>
  <c r="J32" i="2" a="1"/>
  <c r="J32" i="2" s="1"/>
  <c r="I32" i="2" a="1"/>
  <c r="I32" i="2" s="1"/>
  <c r="H32" i="2" a="1"/>
  <c r="H32" i="2" s="1"/>
  <c r="G32" i="2" a="1"/>
  <c r="G32" i="2" s="1"/>
  <c r="F32" i="2" a="1"/>
  <c r="F32" i="2" s="1"/>
  <c r="E32" i="2" a="1"/>
  <c r="E32" i="2" s="1"/>
  <c r="D32" i="2" a="1"/>
  <c r="D32" i="2" s="1"/>
  <c r="O31" i="2" a="1"/>
  <c r="O31" i="2" s="1"/>
  <c r="N31" i="2" a="1"/>
  <c r="N31" i="2" s="1"/>
  <c r="M31" i="2" a="1"/>
  <c r="M31" i="2" s="1"/>
  <c r="L31" i="2" a="1"/>
  <c r="L31" i="2" s="1"/>
  <c r="K31" i="2" a="1"/>
  <c r="K31" i="2" s="1"/>
  <c r="J31" i="2" a="1"/>
  <c r="J31" i="2" s="1"/>
  <c r="I31" i="2" a="1"/>
  <c r="I31" i="2" s="1"/>
  <c r="H31" i="2" a="1"/>
  <c r="H31" i="2" s="1"/>
  <c r="G31" i="2" a="1"/>
  <c r="G31" i="2" s="1"/>
  <c r="F31" i="2" a="1"/>
  <c r="F31" i="2" s="1"/>
  <c r="E31" i="2" a="1"/>
  <c r="E31" i="2" s="1"/>
  <c r="D31" i="2" a="1"/>
  <c r="D31" i="2" s="1"/>
  <c r="O30" i="2" a="1"/>
  <c r="O30" i="2" s="1"/>
  <c r="N30" i="2" a="1"/>
  <c r="N30" i="2" s="1"/>
  <c r="M30" i="2" a="1"/>
  <c r="M30" i="2" s="1"/>
  <c r="L30" i="2" a="1"/>
  <c r="L30" i="2" s="1"/>
  <c r="K30" i="2" a="1"/>
  <c r="K30" i="2" s="1"/>
  <c r="J30" i="2" a="1"/>
  <c r="J30" i="2" s="1"/>
  <c r="I30" i="2" a="1"/>
  <c r="I30" i="2" s="1"/>
  <c r="H30" i="2" a="1"/>
  <c r="H30" i="2" s="1"/>
  <c r="G30" i="2" a="1"/>
  <c r="G30" i="2" s="1"/>
  <c r="F30" i="2" a="1"/>
  <c r="F30" i="2" s="1"/>
  <c r="E30" i="2" a="1"/>
  <c r="E30" i="2" s="1"/>
  <c r="D30" i="2" a="1"/>
  <c r="D30" i="2" s="1"/>
  <c r="O28" i="2" a="1"/>
  <c r="O28" i="2" s="1"/>
  <c r="N28" i="2" a="1"/>
  <c r="N28" i="2" s="1"/>
  <c r="M28" i="2" a="1"/>
  <c r="M28" i="2" s="1"/>
  <c r="L28" i="2" a="1"/>
  <c r="L28" i="2" s="1"/>
  <c r="K28" i="2" a="1"/>
  <c r="K28" i="2" s="1"/>
  <c r="J28" i="2" a="1"/>
  <c r="J28" i="2" s="1"/>
  <c r="I28" i="2" a="1"/>
  <c r="I28" i="2" s="1"/>
  <c r="H28" i="2" a="1"/>
  <c r="H28" i="2" s="1"/>
  <c r="G28" i="2" a="1"/>
  <c r="G28" i="2" s="1"/>
  <c r="F28" i="2" a="1"/>
  <c r="F28" i="2" s="1"/>
  <c r="E28" i="2" a="1"/>
  <c r="E28" i="2" s="1"/>
  <c r="D28" i="2" a="1"/>
  <c r="D28" i="2" s="1"/>
  <c r="O27" i="2" a="1"/>
  <c r="O27" i="2" s="1"/>
  <c r="N27" i="2" a="1"/>
  <c r="N27" i="2" s="1"/>
  <c r="M27" i="2" a="1"/>
  <c r="M27" i="2" s="1"/>
  <c r="L27" i="2" a="1"/>
  <c r="L27" i="2" s="1"/>
  <c r="K27" i="2" a="1"/>
  <c r="K27" i="2" s="1"/>
  <c r="J27" i="2" a="1"/>
  <c r="J27" i="2" s="1"/>
  <c r="I27" i="2" a="1"/>
  <c r="I27" i="2" s="1"/>
  <c r="H27" i="2" a="1"/>
  <c r="H27" i="2" s="1"/>
  <c r="G27" i="2" a="1"/>
  <c r="G27" i="2" s="1"/>
  <c r="F27" i="2" a="1"/>
  <c r="F27" i="2" s="1"/>
  <c r="E27" i="2" a="1"/>
  <c r="E27" i="2" s="1"/>
  <c r="D27" i="2" a="1"/>
  <c r="D27" i="2" s="1"/>
  <c r="O26" i="2" a="1"/>
  <c r="O26" i="2" s="1"/>
  <c r="N26" i="2" a="1"/>
  <c r="N26" i="2" s="1"/>
  <c r="M26" i="2" a="1"/>
  <c r="M26" i="2" s="1"/>
  <c r="L26" i="2" a="1"/>
  <c r="L26" i="2" s="1"/>
  <c r="K26" i="2" a="1"/>
  <c r="K26" i="2" s="1"/>
  <c r="J26" i="2" a="1"/>
  <c r="J26" i="2" s="1"/>
  <c r="I26" i="2" a="1"/>
  <c r="I26" i="2" s="1"/>
  <c r="H26" i="2" a="1"/>
  <c r="H26" i="2" s="1"/>
  <c r="G26" i="2" a="1"/>
  <c r="G26" i="2" s="1"/>
  <c r="F26" i="2" a="1"/>
  <c r="F26" i="2" s="1"/>
  <c r="E26" i="2" a="1"/>
  <c r="E26" i="2" s="1"/>
  <c r="D26" i="2" a="1"/>
  <c r="D26" i="2" s="1"/>
  <c r="O25" i="2" a="1"/>
  <c r="O25" i="2" s="1"/>
  <c r="N25" i="2" a="1"/>
  <c r="N25" i="2" s="1"/>
  <c r="M25" i="2" a="1"/>
  <c r="M25" i="2" s="1"/>
  <c r="L25" i="2" a="1"/>
  <c r="L25" i="2" s="1"/>
  <c r="K25" i="2" a="1"/>
  <c r="K25" i="2" s="1"/>
  <c r="J25" i="2" a="1"/>
  <c r="J25" i="2" s="1"/>
  <c r="I25" i="2" a="1"/>
  <c r="I25" i="2" s="1"/>
  <c r="H25" i="2" a="1"/>
  <c r="H25" i="2" s="1"/>
  <c r="G25" i="2" a="1"/>
  <c r="G25" i="2" s="1"/>
  <c r="F25" i="2" a="1"/>
  <c r="F25" i="2" s="1"/>
  <c r="E25" i="2" a="1"/>
  <c r="E25" i="2" s="1"/>
  <c r="D25" i="2" a="1"/>
  <c r="D25" i="2" s="1"/>
  <c r="O24" i="2" a="1"/>
  <c r="O24" i="2" s="1"/>
  <c r="N24" i="2" a="1"/>
  <c r="N24" i="2" s="1"/>
  <c r="M24" i="2" a="1"/>
  <c r="M24" i="2" s="1"/>
  <c r="L24" i="2" a="1"/>
  <c r="L24" i="2" s="1"/>
  <c r="K24" i="2" a="1"/>
  <c r="K24" i="2" s="1"/>
  <c r="J24" i="2" a="1"/>
  <c r="J24" i="2" s="1"/>
  <c r="I24" i="2" a="1"/>
  <c r="I24" i="2" s="1"/>
  <c r="H24" i="2" a="1"/>
  <c r="H24" i="2" s="1"/>
  <c r="G24" i="2" a="1"/>
  <c r="G24" i="2" s="1"/>
  <c r="F24" i="2" a="1"/>
  <c r="F24" i="2" s="1"/>
  <c r="E24" i="2" a="1"/>
  <c r="E24" i="2" s="1"/>
  <c r="D24" i="2" a="1"/>
  <c r="D24" i="2" s="1"/>
  <c r="O55" i="2" a="1"/>
  <c r="O55" i="2" s="1"/>
  <c r="N55" i="2" a="1"/>
  <c r="N55" i="2" s="1"/>
  <c r="M55" i="2" a="1"/>
  <c r="M55" i="2" s="1"/>
  <c r="L55" i="2" a="1"/>
  <c r="L55" i="2" s="1"/>
  <c r="K55" i="2" a="1"/>
  <c r="K55" i="2" s="1"/>
  <c r="J55" i="2" a="1"/>
  <c r="J55" i="2" s="1"/>
  <c r="I55" i="2" a="1"/>
  <c r="I55" i="2" s="1"/>
  <c r="H55" i="2" a="1"/>
  <c r="H55" i="2" s="1"/>
  <c r="G55" i="2" a="1"/>
  <c r="G55" i="2" s="1"/>
  <c r="F55" i="2" a="1"/>
  <c r="F55" i="2" s="1"/>
  <c r="E55" i="2" a="1"/>
  <c r="E55" i="2" s="1"/>
  <c r="D55" i="2" a="1"/>
  <c r="D55" i="2" s="1"/>
  <c r="O54" i="2" a="1"/>
  <c r="O54" i="2" s="1"/>
  <c r="N54" i="2" a="1"/>
  <c r="N54" i="2" s="1"/>
  <c r="M54" i="2" a="1"/>
  <c r="M54" i="2" s="1"/>
  <c r="L54" i="2" a="1"/>
  <c r="L54" i="2" s="1"/>
  <c r="K54" i="2" a="1"/>
  <c r="K54" i="2" s="1"/>
  <c r="J54" i="2" a="1"/>
  <c r="J54" i="2" s="1"/>
  <c r="I54" i="2" a="1"/>
  <c r="I54" i="2" s="1"/>
  <c r="H54" i="2" a="1"/>
  <c r="H54" i="2" s="1"/>
  <c r="G54" i="2" a="1"/>
  <c r="G54" i="2" s="1"/>
  <c r="F54" i="2" a="1"/>
  <c r="F54" i="2" s="1"/>
  <c r="E54" i="2" a="1"/>
  <c r="E54" i="2" s="1"/>
  <c r="D54" i="2" a="1"/>
  <c r="D54" i="2" s="1"/>
  <c r="O53" i="2" a="1"/>
  <c r="O53" i="2" s="1"/>
  <c r="N53" i="2" a="1"/>
  <c r="N53" i="2" s="1"/>
  <c r="M53" i="2" a="1"/>
  <c r="M53" i="2" s="1"/>
  <c r="L53" i="2" a="1"/>
  <c r="L53" i="2" s="1"/>
  <c r="K53" i="2" a="1"/>
  <c r="K53" i="2" s="1"/>
  <c r="J53" i="2" a="1"/>
  <c r="J53" i="2" s="1"/>
  <c r="I53" i="2" a="1"/>
  <c r="I53" i="2" s="1"/>
  <c r="H53" i="2" a="1"/>
  <c r="H53" i="2" s="1"/>
  <c r="G53" i="2" a="1"/>
  <c r="G53" i="2" s="1"/>
  <c r="F53" i="2" a="1"/>
  <c r="F53" i="2" s="1"/>
  <c r="E53" i="2" a="1"/>
  <c r="E53" i="2" s="1"/>
  <c r="D53" i="2" a="1"/>
  <c r="D53" i="2" s="1"/>
  <c r="O52" i="2" a="1"/>
  <c r="O52" i="2" s="1"/>
  <c r="N52" i="2" a="1"/>
  <c r="N52" i="2" s="1"/>
  <c r="M52" i="2" a="1"/>
  <c r="M52" i="2" s="1"/>
  <c r="L52" i="2" a="1"/>
  <c r="L52" i="2" s="1"/>
  <c r="K52" i="2" a="1"/>
  <c r="K52" i="2" s="1"/>
  <c r="J52" i="2" a="1"/>
  <c r="J52" i="2" s="1"/>
  <c r="I52" i="2" a="1"/>
  <c r="I52" i="2" s="1"/>
  <c r="H52" i="2" a="1"/>
  <c r="H52" i="2" s="1"/>
  <c r="G52" i="2" a="1"/>
  <c r="G52" i="2" s="1"/>
  <c r="F52" i="2" a="1"/>
  <c r="F52" i="2" s="1"/>
  <c r="E52" i="2" a="1"/>
  <c r="E52" i="2" s="1"/>
  <c r="D52" i="2" a="1"/>
  <c r="D52" i="2" s="1"/>
  <c r="O51" i="2" a="1"/>
  <c r="O51" i="2" s="1"/>
  <c r="N51" i="2" a="1"/>
  <c r="N51" i="2" s="1"/>
  <c r="M51" i="2" a="1"/>
  <c r="M51" i="2" s="1"/>
  <c r="L51" i="2" a="1"/>
  <c r="L51" i="2" s="1"/>
  <c r="K51" i="2" a="1"/>
  <c r="K51" i="2" s="1"/>
  <c r="J51" i="2" a="1"/>
  <c r="J51" i="2" s="1"/>
  <c r="I51" i="2" a="1"/>
  <c r="I51" i="2" s="1"/>
  <c r="H51" i="2" a="1"/>
  <c r="H51" i="2" s="1"/>
  <c r="G51" i="2" a="1"/>
  <c r="G51" i="2" s="1"/>
  <c r="F51" i="2" a="1"/>
  <c r="F51" i="2" s="1"/>
  <c r="E51" i="2" a="1"/>
  <c r="E51" i="2" s="1"/>
  <c r="D51" i="2" a="1"/>
  <c r="D51" i="2" s="1"/>
  <c r="O50" i="2" a="1"/>
  <c r="O50" i="2" s="1"/>
  <c r="N50" i="2" a="1"/>
  <c r="N50" i="2" s="1"/>
  <c r="M50" i="2" a="1"/>
  <c r="M50" i="2" s="1"/>
  <c r="L50" i="2" a="1"/>
  <c r="L50" i="2" s="1"/>
  <c r="K50" i="2" a="1"/>
  <c r="K50" i="2" s="1"/>
  <c r="J50" i="2" a="1"/>
  <c r="J50" i="2" s="1"/>
  <c r="I50" i="2" a="1"/>
  <c r="I50" i="2" s="1"/>
  <c r="H50" i="2" a="1"/>
  <c r="H50" i="2" s="1"/>
  <c r="G50" i="2" a="1"/>
  <c r="G50" i="2" s="1"/>
  <c r="F50" i="2" a="1"/>
  <c r="F50" i="2" s="1"/>
  <c r="E50" i="2" a="1"/>
  <c r="E50" i="2" s="1"/>
  <c r="D50" i="2" a="1"/>
  <c r="D50" i="2" s="1"/>
  <c r="O49" i="2" a="1"/>
  <c r="O49" i="2" s="1"/>
  <c r="N49" i="2" a="1"/>
  <c r="N49" i="2" s="1"/>
  <c r="M49" i="2" a="1"/>
  <c r="M49" i="2" s="1"/>
  <c r="L49" i="2" a="1"/>
  <c r="L49" i="2" s="1"/>
  <c r="K49" i="2" a="1"/>
  <c r="K49" i="2" s="1"/>
  <c r="J49" i="2" a="1"/>
  <c r="J49" i="2" s="1"/>
  <c r="I49" i="2" a="1"/>
  <c r="I49" i="2" s="1"/>
  <c r="H49" i="2" a="1"/>
  <c r="H49" i="2" s="1"/>
  <c r="G49" i="2" a="1"/>
  <c r="G49" i="2" s="1"/>
  <c r="F49" i="2" a="1"/>
  <c r="F49" i="2" s="1"/>
  <c r="E49" i="2" a="1"/>
  <c r="E49" i="2" s="1"/>
  <c r="D49" i="2" a="1"/>
  <c r="D49" i="2" s="1"/>
  <c r="O48" i="2" a="1"/>
  <c r="O48" i="2" s="1"/>
  <c r="N48" i="2" a="1"/>
  <c r="N48" i="2" s="1"/>
  <c r="M48" i="2" a="1"/>
  <c r="M48" i="2" s="1"/>
  <c r="L48" i="2" a="1"/>
  <c r="L48" i="2" s="1"/>
  <c r="K48" i="2" a="1"/>
  <c r="K48" i="2" s="1"/>
  <c r="J48" i="2" a="1"/>
  <c r="J48" i="2" s="1"/>
  <c r="I48" i="2" a="1"/>
  <c r="I48" i="2" s="1"/>
  <c r="H48" i="2" a="1"/>
  <c r="H48" i="2" s="1"/>
  <c r="G48" i="2" a="1"/>
  <c r="G48" i="2" s="1"/>
  <c r="F48" i="2" a="1"/>
  <c r="F48" i="2" s="1"/>
  <c r="E48" i="2" a="1"/>
  <c r="E48" i="2" s="1"/>
  <c r="D48" i="2" a="1"/>
  <c r="D48" i="2" s="1"/>
  <c r="O46" i="2" a="1"/>
  <c r="O46" i="2" s="1"/>
  <c r="N46" i="2" a="1"/>
  <c r="N46" i="2" s="1"/>
  <c r="M46" i="2" a="1"/>
  <c r="M46" i="2" s="1"/>
  <c r="L46" i="2" a="1"/>
  <c r="L46" i="2" s="1"/>
  <c r="K46" i="2" a="1"/>
  <c r="K46" i="2" s="1"/>
  <c r="J46" i="2" a="1"/>
  <c r="J46" i="2" s="1"/>
  <c r="I46" i="2" a="1"/>
  <c r="I46" i="2" s="1"/>
  <c r="H46" i="2" a="1"/>
  <c r="H46" i="2" s="1"/>
  <c r="G46" i="2" a="1"/>
  <c r="G46" i="2" s="1"/>
  <c r="F46" i="2" a="1"/>
  <c r="F46" i="2" s="1"/>
  <c r="E46" i="2" a="1"/>
  <c r="E46" i="2" s="1"/>
  <c r="D46" i="2" a="1"/>
  <c r="D46" i="2" s="1"/>
  <c r="O45" i="2" a="1"/>
  <c r="O45" i="2" s="1"/>
  <c r="N45" i="2" a="1"/>
  <c r="N45" i="2" s="1"/>
  <c r="M45" i="2" a="1"/>
  <c r="M45" i="2" s="1"/>
  <c r="L45" i="2" a="1"/>
  <c r="L45" i="2" s="1"/>
  <c r="K45" i="2" a="1"/>
  <c r="K45" i="2" s="1"/>
  <c r="J45" i="2" a="1"/>
  <c r="J45" i="2" s="1"/>
  <c r="I45" i="2" a="1"/>
  <c r="I45" i="2" s="1"/>
  <c r="H45" i="2" a="1"/>
  <c r="H45" i="2" s="1"/>
  <c r="G45" i="2" a="1"/>
  <c r="G45" i="2" s="1"/>
  <c r="F45" i="2" a="1"/>
  <c r="F45" i="2" s="1"/>
  <c r="E45" i="2" a="1"/>
  <c r="E45" i="2" s="1"/>
  <c r="D45" i="2" a="1"/>
  <c r="D45" i="2" s="1"/>
  <c r="O44" i="2" a="1"/>
  <c r="O44" i="2" s="1"/>
  <c r="N44" i="2" a="1"/>
  <c r="N44" i="2" s="1"/>
  <c r="M44" i="2" a="1"/>
  <c r="M44" i="2" s="1"/>
  <c r="L44" i="2" a="1"/>
  <c r="L44" i="2" s="1"/>
  <c r="K44" i="2" a="1"/>
  <c r="K44" i="2" s="1"/>
  <c r="J44" i="2" a="1"/>
  <c r="J44" i="2" s="1"/>
  <c r="I44" i="2" a="1"/>
  <c r="I44" i="2" s="1"/>
  <c r="H44" i="2" a="1"/>
  <c r="H44" i="2" s="1"/>
  <c r="G44" i="2" a="1"/>
  <c r="G44" i="2" s="1"/>
  <c r="F44" i="2" a="1"/>
  <c r="F44" i="2" s="1"/>
  <c r="E44" i="2" a="1"/>
  <c r="E44" i="2" s="1"/>
  <c r="D44" i="2" a="1"/>
  <c r="D44" i="2" s="1"/>
  <c r="O43" i="2" a="1"/>
  <c r="O43" i="2" s="1"/>
  <c r="N43" i="2" a="1"/>
  <c r="N43" i="2" s="1"/>
  <c r="M43" i="2" a="1"/>
  <c r="M43" i="2" s="1"/>
  <c r="L43" i="2" a="1"/>
  <c r="L43" i="2" s="1"/>
  <c r="K43" i="2" a="1"/>
  <c r="K43" i="2" s="1"/>
  <c r="J43" i="2" a="1"/>
  <c r="J43" i="2" s="1"/>
  <c r="I43" i="2" a="1"/>
  <c r="I43" i="2" s="1"/>
  <c r="H43" i="2" a="1"/>
  <c r="H43" i="2" s="1"/>
  <c r="G43" i="2" a="1"/>
  <c r="G43" i="2" s="1"/>
  <c r="F43" i="2" a="1"/>
  <c r="F43" i="2" s="1"/>
  <c r="E43" i="2" a="1"/>
  <c r="E43" i="2" s="1"/>
  <c r="D43" i="2" a="1"/>
  <c r="D43" i="2" s="1"/>
  <c r="O42" i="2" a="1"/>
  <c r="O42" i="2" s="1"/>
  <c r="N42" i="2" a="1"/>
  <c r="N42" i="2" s="1"/>
  <c r="M42" i="2" a="1"/>
  <c r="M42" i="2" s="1"/>
  <c r="L42" i="2" a="1"/>
  <c r="L42" i="2" s="1"/>
  <c r="K42" i="2" a="1"/>
  <c r="K42" i="2" s="1"/>
  <c r="J42" i="2" a="1"/>
  <c r="J42" i="2" s="1"/>
  <c r="I42" i="2" a="1"/>
  <c r="I42" i="2" s="1"/>
  <c r="H42" i="2" a="1"/>
  <c r="H42" i="2" s="1"/>
  <c r="G42" i="2" a="1"/>
  <c r="G42" i="2" s="1"/>
  <c r="F42" i="2" a="1"/>
  <c r="F42" i="2" s="1"/>
  <c r="E42" i="2" a="1"/>
  <c r="E42" i="2" s="1"/>
  <c r="D42" i="2" a="1"/>
  <c r="D42" i="2" s="1"/>
  <c r="O73" i="2" a="1"/>
  <c r="O73" i="2" s="1"/>
  <c r="N73" i="2" a="1"/>
  <c r="N73" i="2" s="1"/>
  <c r="M73" i="2" a="1"/>
  <c r="M73" i="2" s="1"/>
  <c r="L73" i="2" a="1"/>
  <c r="L73" i="2" s="1"/>
  <c r="K73" i="2" a="1"/>
  <c r="K73" i="2" s="1"/>
  <c r="J73" i="2" a="1"/>
  <c r="J73" i="2" s="1"/>
  <c r="I73" i="2" a="1"/>
  <c r="I73" i="2" s="1"/>
  <c r="H73" i="2" a="1"/>
  <c r="H73" i="2" s="1"/>
  <c r="G73" i="2" a="1"/>
  <c r="G73" i="2" s="1"/>
  <c r="F73" i="2" a="1"/>
  <c r="F73" i="2" s="1"/>
  <c r="E73" i="2" a="1"/>
  <c r="E73" i="2" s="1"/>
  <c r="D73" i="2" a="1"/>
  <c r="D73" i="2" s="1"/>
  <c r="O72" i="2" a="1"/>
  <c r="O72" i="2" s="1"/>
  <c r="N72" i="2" a="1"/>
  <c r="N72" i="2" s="1"/>
  <c r="M72" i="2" a="1"/>
  <c r="M72" i="2" s="1"/>
  <c r="L72" i="2" a="1"/>
  <c r="L72" i="2" s="1"/>
  <c r="K72" i="2" a="1"/>
  <c r="K72" i="2" s="1"/>
  <c r="J72" i="2" a="1"/>
  <c r="J72" i="2" s="1"/>
  <c r="I72" i="2" a="1"/>
  <c r="I72" i="2" s="1"/>
  <c r="H72" i="2" a="1"/>
  <c r="H72" i="2" s="1"/>
  <c r="G72" i="2" a="1"/>
  <c r="G72" i="2" s="1"/>
  <c r="F72" i="2" a="1"/>
  <c r="F72" i="2" s="1"/>
  <c r="E72" i="2" a="1"/>
  <c r="E72" i="2" s="1"/>
  <c r="D72" i="2" a="1"/>
  <c r="D72" i="2" s="1"/>
  <c r="O71" i="2" a="1"/>
  <c r="O71" i="2" s="1"/>
  <c r="N71" i="2" a="1"/>
  <c r="N71" i="2" s="1"/>
  <c r="M71" i="2" a="1"/>
  <c r="M71" i="2" s="1"/>
  <c r="L71" i="2" a="1"/>
  <c r="L71" i="2" s="1"/>
  <c r="K71" i="2" a="1"/>
  <c r="K71" i="2" s="1"/>
  <c r="J71" i="2" a="1"/>
  <c r="J71" i="2" s="1"/>
  <c r="I71" i="2" a="1"/>
  <c r="I71" i="2" s="1"/>
  <c r="H71" i="2" a="1"/>
  <c r="H71" i="2" s="1"/>
  <c r="G71" i="2" a="1"/>
  <c r="G71" i="2" s="1"/>
  <c r="F71" i="2" a="1"/>
  <c r="F71" i="2" s="1"/>
  <c r="E71" i="2" a="1"/>
  <c r="E71" i="2" s="1"/>
  <c r="D71" i="2" a="1"/>
  <c r="D71" i="2" s="1"/>
  <c r="O70" i="2" a="1"/>
  <c r="O70" i="2" s="1"/>
  <c r="N70" i="2" a="1"/>
  <c r="N70" i="2" s="1"/>
  <c r="M70" i="2" a="1"/>
  <c r="M70" i="2" s="1"/>
  <c r="L70" i="2" a="1"/>
  <c r="L70" i="2" s="1"/>
  <c r="K70" i="2" a="1"/>
  <c r="K70" i="2" s="1"/>
  <c r="J70" i="2" a="1"/>
  <c r="J70" i="2" s="1"/>
  <c r="I70" i="2" a="1"/>
  <c r="I70" i="2" s="1"/>
  <c r="H70" i="2" a="1"/>
  <c r="H70" i="2" s="1"/>
  <c r="G70" i="2" a="1"/>
  <c r="G70" i="2" s="1"/>
  <c r="F70" i="2" a="1"/>
  <c r="F70" i="2" s="1"/>
  <c r="E70" i="2" a="1"/>
  <c r="E70" i="2" s="1"/>
  <c r="D70" i="2" a="1"/>
  <c r="D70" i="2" s="1"/>
  <c r="O69" i="2" a="1"/>
  <c r="O69" i="2" s="1"/>
  <c r="N69" i="2" a="1"/>
  <c r="N69" i="2" s="1"/>
  <c r="M69" i="2" a="1"/>
  <c r="M69" i="2" s="1"/>
  <c r="L69" i="2" a="1"/>
  <c r="L69" i="2" s="1"/>
  <c r="K69" i="2" a="1"/>
  <c r="K69" i="2" s="1"/>
  <c r="J69" i="2" a="1"/>
  <c r="J69" i="2" s="1"/>
  <c r="I69" i="2" a="1"/>
  <c r="I69" i="2" s="1"/>
  <c r="H69" i="2" a="1"/>
  <c r="H69" i="2" s="1"/>
  <c r="G69" i="2" a="1"/>
  <c r="G69" i="2" s="1"/>
  <c r="F69" i="2" a="1"/>
  <c r="F69" i="2" s="1"/>
  <c r="E69" i="2" a="1"/>
  <c r="E69" i="2" s="1"/>
  <c r="D69" i="2" a="1"/>
  <c r="D69" i="2" s="1"/>
  <c r="O68" i="2" a="1"/>
  <c r="O68" i="2" s="1"/>
  <c r="N68" i="2" a="1"/>
  <c r="N68" i="2" s="1"/>
  <c r="M68" i="2" a="1"/>
  <c r="M68" i="2" s="1"/>
  <c r="L68" i="2" a="1"/>
  <c r="L68" i="2" s="1"/>
  <c r="K68" i="2" a="1"/>
  <c r="K68" i="2" s="1"/>
  <c r="J68" i="2" a="1"/>
  <c r="J68" i="2" s="1"/>
  <c r="I68" i="2" a="1"/>
  <c r="I68" i="2" s="1"/>
  <c r="H68" i="2" a="1"/>
  <c r="H68" i="2" s="1"/>
  <c r="G68" i="2" a="1"/>
  <c r="G68" i="2" s="1"/>
  <c r="F68" i="2" a="1"/>
  <c r="F68" i="2" s="1"/>
  <c r="E68" i="2" a="1"/>
  <c r="E68" i="2" s="1"/>
  <c r="D68" i="2" a="1"/>
  <c r="D68" i="2" s="1"/>
  <c r="O67" i="2" a="1"/>
  <c r="O67" i="2" s="1"/>
  <c r="N67" i="2" a="1"/>
  <c r="N67" i="2" s="1"/>
  <c r="M67" i="2" a="1"/>
  <c r="M67" i="2" s="1"/>
  <c r="L67" i="2" a="1"/>
  <c r="L67" i="2" s="1"/>
  <c r="K67" i="2" a="1"/>
  <c r="K67" i="2" s="1"/>
  <c r="J67" i="2" a="1"/>
  <c r="J67" i="2" s="1"/>
  <c r="I67" i="2" a="1"/>
  <c r="I67" i="2" s="1"/>
  <c r="H67" i="2" a="1"/>
  <c r="H67" i="2" s="1"/>
  <c r="G67" i="2" a="1"/>
  <c r="G67" i="2" s="1"/>
  <c r="F67" i="2" a="1"/>
  <c r="F67" i="2" s="1"/>
  <c r="E67" i="2" a="1"/>
  <c r="E67" i="2" s="1"/>
  <c r="D67" i="2" a="1"/>
  <c r="D67" i="2" s="1"/>
  <c r="O66" i="2" a="1"/>
  <c r="O66" i="2" s="1"/>
  <c r="N66" i="2" a="1"/>
  <c r="N66" i="2" s="1"/>
  <c r="M66" i="2" a="1"/>
  <c r="M66" i="2" s="1"/>
  <c r="L66" i="2" a="1"/>
  <c r="L66" i="2" s="1"/>
  <c r="K66" i="2" a="1"/>
  <c r="K66" i="2" s="1"/>
  <c r="J66" i="2" a="1"/>
  <c r="J66" i="2" s="1"/>
  <c r="I66" i="2" a="1"/>
  <c r="I66" i="2" s="1"/>
  <c r="H66" i="2" a="1"/>
  <c r="H66" i="2" s="1"/>
  <c r="G66" i="2" a="1"/>
  <c r="G66" i="2" s="1"/>
  <c r="F66" i="2" a="1"/>
  <c r="F66" i="2" s="1"/>
  <c r="E66" i="2" a="1"/>
  <c r="E66" i="2" s="1"/>
  <c r="D66" i="2" a="1"/>
  <c r="D66" i="2" s="1"/>
  <c r="O64" i="2" a="1"/>
  <c r="O64" i="2" s="1"/>
  <c r="N64" i="2" a="1"/>
  <c r="N64" i="2" s="1"/>
  <c r="M64" i="2" a="1"/>
  <c r="M64" i="2" s="1"/>
  <c r="L64" i="2" a="1"/>
  <c r="L64" i="2" s="1"/>
  <c r="K64" i="2" a="1"/>
  <c r="K64" i="2" s="1"/>
  <c r="J64" i="2" a="1"/>
  <c r="J64" i="2" s="1"/>
  <c r="I64" i="2" a="1"/>
  <c r="I64" i="2" s="1"/>
  <c r="H64" i="2" a="1"/>
  <c r="H64" i="2" s="1"/>
  <c r="G64" i="2" a="1"/>
  <c r="G64" i="2" s="1"/>
  <c r="F64" i="2" a="1"/>
  <c r="F64" i="2" s="1"/>
  <c r="E64" i="2" a="1"/>
  <c r="E64" i="2" s="1"/>
  <c r="D64" i="2" a="1"/>
  <c r="D64" i="2" s="1"/>
  <c r="O63" i="2" a="1"/>
  <c r="O63" i="2" s="1"/>
  <c r="N63" i="2" a="1"/>
  <c r="N63" i="2" s="1"/>
  <c r="M63" i="2" a="1"/>
  <c r="M63" i="2" s="1"/>
  <c r="L63" i="2" a="1"/>
  <c r="L63" i="2" s="1"/>
  <c r="K63" i="2" a="1"/>
  <c r="K63" i="2" s="1"/>
  <c r="J63" i="2" a="1"/>
  <c r="J63" i="2" s="1"/>
  <c r="I63" i="2" a="1"/>
  <c r="I63" i="2" s="1"/>
  <c r="H63" i="2" a="1"/>
  <c r="H63" i="2" s="1"/>
  <c r="G63" i="2" a="1"/>
  <c r="G63" i="2" s="1"/>
  <c r="F63" i="2" a="1"/>
  <c r="F63" i="2" s="1"/>
  <c r="E63" i="2" a="1"/>
  <c r="E63" i="2" s="1"/>
  <c r="D63" i="2" a="1"/>
  <c r="D63" i="2" s="1"/>
  <c r="O62" i="2" a="1"/>
  <c r="O62" i="2" s="1"/>
  <c r="N62" i="2" a="1"/>
  <c r="N62" i="2" s="1"/>
  <c r="M62" i="2" a="1"/>
  <c r="M62" i="2" s="1"/>
  <c r="L62" i="2" a="1"/>
  <c r="L62" i="2" s="1"/>
  <c r="K62" i="2" a="1"/>
  <c r="K62" i="2" s="1"/>
  <c r="J62" i="2" a="1"/>
  <c r="J62" i="2" s="1"/>
  <c r="I62" i="2" a="1"/>
  <c r="I62" i="2" s="1"/>
  <c r="H62" i="2" a="1"/>
  <c r="H62" i="2" s="1"/>
  <c r="G62" i="2" a="1"/>
  <c r="G62" i="2" s="1"/>
  <c r="F62" i="2" a="1"/>
  <c r="F62" i="2" s="1"/>
  <c r="E62" i="2" a="1"/>
  <c r="E62" i="2" s="1"/>
  <c r="D62" i="2" a="1"/>
  <c r="D62" i="2" s="1"/>
  <c r="O61" i="2" a="1"/>
  <c r="O61" i="2" s="1"/>
  <c r="N61" i="2" a="1"/>
  <c r="N61" i="2" s="1"/>
  <c r="M61" i="2" a="1"/>
  <c r="M61" i="2" s="1"/>
  <c r="L61" i="2" a="1"/>
  <c r="L61" i="2" s="1"/>
  <c r="K61" i="2" a="1"/>
  <c r="K61" i="2" s="1"/>
  <c r="J61" i="2" a="1"/>
  <c r="J61" i="2" s="1"/>
  <c r="I61" i="2" a="1"/>
  <c r="I61" i="2" s="1"/>
  <c r="H61" i="2" a="1"/>
  <c r="H61" i="2" s="1"/>
  <c r="G61" i="2" a="1"/>
  <c r="G61" i="2" s="1"/>
  <c r="F61" i="2" a="1"/>
  <c r="F61" i="2" s="1"/>
  <c r="E61" i="2" a="1"/>
  <c r="E61" i="2" s="1"/>
  <c r="D61" i="2" a="1"/>
  <c r="D61" i="2" s="1"/>
  <c r="O60" i="2" a="1"/>
  <c r="O60" i="2" s="1"/>
  <c r="N60" i="2" a="1"/>
  <c r="N60" i="2" s="1"/>
  <c r="M60" i="2" a="1"/>
  <c r="M60" i="2" s="1"/>
  <c r="L60" i="2" a="1"/>
  <c r="L60" i="2" s="1"/>
  <c r="K60" i="2" a="1"/>
  <c r="K60" i="2" s="1"/>
  <c r="J60" i="2" a="1"/>
  <c r="J60" i="2" s="1"/>
  <c r="I60" i="2" a="1"/>
  <c r="I60" i="2" s="1"/>
  <c r="H60" i="2" a="1"/>
  <c r="H60" i="2" s="1"/>
  <c r="G60" i="2" a="1"/>
  <c r="G60" i="2" s="1"/>
  <c r="F60" i="2" a="1"/>
  <c r="F60" i="2" s="1"/>
  <c r="E60" i="2" a="1"/>
  <c r="E60" i="2" s="1"/>
  <c r="D60" i="2" a="1"/>
  <c r="D60" i="2" s="1"/>
  <c r="O91" i="2" a="1"/>
  <c r="O91" i="2" s="1"/>
  <c r="N91" i="2" a="1"/>
  <c r="N91" i="2" s="1"/>
  <c r="M91" i="2" a="1"/>
  <c r="M91" i="2" s="1"/>
  <c r="L91" i="2" a="1"/>
  <c r="L91" i="2" s="1"/>
  <c r="K91" i="2" a="1"/>
  <c r="K91" i="2" s="1"/>
  <c r="J91" i="2" a="1"/>
  <c r="J91" i="2" s="1"/>
  <c r="I91" i="2" a="1"/>
  <c r="I91" i="2" s="1"/>
  <c r="H91" i="2" a="1"/>
  <c r="H91" i="2" s="1"/>
  <c r="G91" i="2" a="1"/>
  <c r="G91" i="2" s="1"/>
  <c r="F91" i="2" a="1"/>
  <c r="F91" i="2" s="1"/>
  <c r="E91" i="2" a="1"/>
  <c r="E91" i="2" s="1"/>
  <c r="D91" i="2" a="1"/>
  <c r="D91" i="2" s="1"/>
  <c r="O90" i="2" a="1"/>
  <c r="O90" i="2" s="1"/>
  <c r="N90" i="2" a="1"/>
  <c r="N90" i="2" s="1"/>
  <c r="M90" i="2" a="1"/>
  <c r="M90" i="2" s="1"/>
  <c r="L90" i="2" a="1"/>
  <c r="L90" i="2" s="1"/>
  <c r="K90" i="2" a="1"/>
  <c r="K90" i="2" s="1"/>
  <c r="J90" i="2" a="1"/>
  <c r="J90" i="2" s="1"/>
  <c r="I90" i="2" a="1"/>
  <c r="I90" i="2" s="1"/>
  <c r="H90" i="2" a="1"/>
  <c r="H90" i="2" s="1"/>
  <c r="G90" i="2" a="1"/>
  <c r="G90" i="2" s="1"/>
  <c r="F90" i="2" a="1"/>
  <c r="F90" i="2" s="1"/>
  <c r="E90" i="2" a="1"/>
  <c r="E90" i="2" s="1"/>
  <c r="D90" i="2" a="1"/>
  <c r="D90" i="2" s="1"/>
  <c r="O89" i="2" a="1"/>
  <c r="O89" i="2" s="1"/>
  <c r="N89" i="2" a="1"/>
  <c r="N89" i="2" s="1"/>
  <c r="M89" i="2" a="1"/>
  <c r="M89" i="2" s="1"/>
  <c r="L89" i="2" a="1"/>
  <c r="L89" i="2" s="1"/>
  <c r="K89" i="2" a="1"/>
  <c r="K89" i="2" s="1"/>
  <c r="J89" i="2" a="1"/>
  <c r="J89" i="2" s="1"/>
  <c r="I89" i="2" a="1"/>
  <c r="I89" i="2" s="1"/>
  <c r="H89" i="2" a="1"/>
  <c r="H89" i="2" s="1"/>
  <c r="G89" i="2" a="1"/>
  <c r="G89" i="2" s="1"/>
  <c r="F89" i="2" a="1"/>
  <c r="F89" i="2" s="1"/>
  <c r="E89" i="2" a="1"/>
  <c r="E89" i="2" s="1"/>
  <c r="D89" i="2" a="1"/>
  <c r="D89" i="2" s="1"/>
  <c r="O88" i="2" a="1"/>
  <c r="O88" i="2" s="1"/>
  <c r="N88" i="2" a="1"/>
  <c r="N88" i="2" s="1"/>
  <c r="M88" i="2" a="1"/>
  <c r="M88" i="2" s="1"/>
  <c r="L88" i="2" a="1"/>
  <c r="L88" i="2" s="1"/>
  <c r="K88" i="2" a="1"/>
  <c r="K88" i="2" s="1"/>
  <c r="J88" i="2" a="1"/>
  <c r="J88" i="2" s="1"/>
  <c r="I88" i="2" a="1"/>
  <c r="I88" i="2" s="1"/>
  <c r="H88" i="2" a="1"/>
  <c r="H88" i="2" s="1"/>
  <c r="G88" i="2" a="1"/>
  <c r="G88" i="2" s="1"/>
  <c r="F88" i="2" a="1"/>
  <c r="F88" i="2" s="1"/>
  <c r="E88" i="2" a="1"/>
  <c r="E88" i="2" s="1"/>
  <c r="D88" i="2" a="1"/>
  <c r="D88" i="2" s="1"/>
  <c r="O87" i="2" a="1"/>
  <c r="O87" i="2" s="1"/>
  <c r="N87" i="2" a="1"/>
  <c r="N87" i="2" s="1"/>
  <c r="M87" i="2" a="1"/>
  <c r="M87" i="2" s="1"/>
  <c r="L87" i="2" a="1"/>
  <c r="L87" i="2" s="1"/>
  <c r="K87" i="2" a="1"/>
  <c r="K87" i="2" s="1"/>
  <c r="J87" i="2" a="1"/>
  <c r="J87" i="2" s="1"/>
  <c r="I87" i="2" a="1"/>
  <c r="I87" i="2" s="1"/>
  <c r="H87" i="2" a="1"/>
  <c r="H87" i="2" s="1"/>
  <c r="G87" i="2" a="1"/>
  <c r="G87" i="2" s="1"/>
  <c r="F87" i="2" a="1"/>
  <c r="F87" i="2" s="1"/>
  <c r="E87" i="2" a="1"/>
  <c r="E87" i="2" s="1"/>
  <c r="D87" i="2" a="1"/>
  <c r="D87" i="2" s="1"/>
  <c r="O86" i="2" a="1"/>
  <c r="O86" i="2" s="1"/>
  <c r="N86" i="2" a="1"/>
  <c r="N86" i="2" s="1"/>
  <c r="M86" i="2" a="1"/>
  <c r="M86" i="2" s="1"/>
  <c r="L86" i="2" a="1"/>
  <c r="L86" i="2" s="1"/>
  <c r="K86" i="2" a="1"/>
  <c r="K86" i="2" s="1"/>
  <c r="J86" i="2" a="1"/>
  <c r="J86" i="2" s="1"/>
  <c r="I86" i="2" a="1"/>
  <c r="I86" i="2" s="1"/>
  <c r="H86" i="2" a="1"/>
  <c r="H86" i="2" s="1"/>
  <c r="G86" i="2" a="1"/>
  <c r="G86" i="2" s="1"/>
  <c r="F86" i="2" a="1"/>
  <c r="F86" i="2" s="1"/>
  <c r="E86" i="2" a="1"/>
  <c r="E86" i="2" s="1"/>
  <c r="D86" i="2" a="1"/>
  <c r="D86" i="2" s="1"/>
  <c r="O85" i="2" a="1"/>
  <c r="O85" i="2" s="1"/>
  <c r="N85" i="2" a="1"/>
  <c r="N85" i="2" s="1"/>
  <c r="M85" i="2" a="1"/>
  <c r="M85" i="2" s="1"/>
  <c r="L85" i="2" a="1"/>
  <c r="L85" i="2" s="1"/>
  <c r="K85" i="2" a="1"/>
  <c r="K85" i="2" s="1"/>
  <c r="J85" i="2" a="1"/>
  <c r="J85" i="2" s="1"/>
  <c r="I85" i="2" a="1"/>
  <c r="I85" i="2" s="1"/>
  <c r="H85" i="2" a="1"/>
  <c r="H85" i="2" s="1"/>
  <c r="G85" i="2" a="1"/>
  <c r="G85" i="2" s="1"/>
  <c r="F85" i="2" a="1"/>
  <c r="F85" i="2" s="1"/>
  <c r="E85" i="2" a="1"/>
  <c r="E85" i="2" s="1"/>
  <c r="D85" i="2" a="1"/>
  <c r="D85" i="2" s="1"/>
  <c r="O84" i="2" a="1"/>
  <c r="O84" i="2" s="1"/>
  <c r="N84" i="2" a="1"/>
  <c r="N84" i="2" s="1"/>
  <c r="M84" i="2" a="1"/>
  <c r="M84" i="2" s="1"/>
  <c r="L84" i="2" a="1"/>
  <c r="L84" i="2" s="1"/>
  <c r="K84" i="2" a="1"/>
  <c r="K84" i="2" s="1"/>
  <c r="J84" i="2" a="1"/>
  <c r="J84" i="2" s="1"/>
  <c r="I84" i="2" a="1"/>
  <c r="I84" i="2" s="1"/>
  <c r="H84" i="2" a="1"/>
  <c r="H84" i="2" s="1"/>
  <c r="G84" i="2" a="1"/>
  <c r="G84" i="2" s="1"/>
  <c r="F84" i="2" a="1"/>
  <c r="F84" i="2" s="1"/>
  <c r="E84" i="2" a="1"/>
  <c r="E84" i="2" s="1"/>
  <c r="D84" i="2" a="1"/>
  <c r="D84" i="2" s="1"/>
  <c r="O82" i="2" a="1"/>
  <c r="O82" i="2" s="1"/>
  <c r="N82" i="2" a="1"/>
  <c r="N82" i="2" s="1"/>
  <c r="M82" i="2" a="1"/>
  <c r="M82" i="2" s="1"/>
  <c r="L82" i="2" a="1"/>
  <c r="L82" i="2" s="1"/>
  <c r="K82" i="2" a="1"/>
  <c r="K82" i="2" s="1"/>
  <c r="J82" i="2" a="1"/>
  <c r="J82" i="2" s="1"/>
  <c r="I82" i="2" a="1"/>
  <c r="I82" i="2" s="1"/>
  <c r="H82" i="2" a="1"/>
  <c r="H82" i="2" s="1"/>
  <c r="G82" i="2" a="1"/>
  <c r="G82" i="2" s="1"/>
  <c r="F82" i="2" a="1"/>
  <c r="F82" i="2" s="1"/>
  <c r="E82" i="2" a="1"/>
  <c r="E82" i="2" s="1"/>
  <c r="D82" i="2" a="1"/>
  <c r="D82" i="2" s="1"/>
  <c r="O81" i="2" a="1"/>
  <c r="O81" i="2" s="1"/>
  <c r="N81" i="2" a="1"/>
  <c r="N81" i="2" s="1"/>
  <c r="M81" i="2" a="1"/>
  <c r="M81" i="2" s="1"/>
  <c r="L81" i="2" a="1"/>
  <c r="L81" i="2" s="1"/>
  <c r="K81" i="2" a="1"/>
  <c r="K81" i="2" s="1"/>
  <c r="J81" i="2" a="1"/>
  <c r="J81" i="2" s="1"/>
  <c r="I81" i="2" a="1"/>
  <c r="I81" i="2" s="1"/>
  <c r="H81" i="2" a="1"/>
  <c r="H81" i="2" s="1"/>
  <c r="G81" i="2" a="1"/>
  <c r="G81" i="2" s="1"/>
  <c r="F81" i="2" a="1"/>
  <c r="F81" i="2" s="1"/>
  <c r="E81" i="2" a="1"/>
  <c r="E81" i="2" s="1"/>
  <c r="D81" i="2" a="1"/>
  <c r="D81" i="2" s="1"/>
  <c r="O80" i="2" a="1"/>
  <c r="O80" i="2" s="1"/>
  <c r="N80" i="2" a="1"/>
  <c r="N80" i="2" s="1"/>
  <c r="M80" i="2" a="1"/>
  <c r="M80" i="2" s="1"/>
  <c r="L80" i="2" a="1"/>
  <c r="L80" i="2" s="1"/>
  <c r="K80" i="2" a="1"/>
  <c r="K80" i="2" s="1"/>
  <c r="J80" i="2" a="1"/>
  <c r="J80" i="2" s="1"/>
  <c r="I80" i="2" a="1"/>
  <c r="I80" i="2" s="1"/>
  <c r="H80" i="2" a="1"/>
  <c r="H80" i="2" s="1"/>
  <c r="G80" i="2" a="1"/>
  <c r="G80" i="2" s="1"/>
  <c r="F80" i="2" a="1"/>
  <c r="F80" i="2" s="1"/>
  <c r="E80" i="2" a="1"/>
  <c r="E80" i="2" s="1"/>
  <c r="D80" i="2" a="1"/>
  <c r="D80" i="2" s="1"/>
  <c r="O79" i="2" a="1"/>
  <c r="O79" i="2" s="1"/>
  <c r="N79" i="2" a="1"/>
  <c r="N79" i="2" s="1"/>
  <c r="M79" i="2" a="1"/>
  <c r="M79" i="2" s="1"/>
  <c r="L79" i="2" a="1"/>
  <c r="L79" i="2" s="1"/>
  <c r="K79" i="2" a="1"/>
  <c r="K79" i="2" s="1"/>
  <c r="J79" i="2" a="1"/>
  <c r="J79" i="2" s="1"/>
  <c r="I79" i="2" a="1"/>
  <c r="I79" i="2" s="1"/>
  <c r="H79" i="2" a="1"/>
  <c r="H79" i="2" s="1"/>
  <c r="G79" i="2" a="1"/>
  <c r="G79" i="2" s="1"/>
  <c r="F79" i="2" a="1"/>
  <c r="F79" i="2" s="1"/>
  <c r="E79" i="2" a="1"/>
  <c r="E79" i="2" s="1"/>
  <c r="D79" i="2" a="1"/>
  <c r="D79" i="2" s="1"/>
  <c r="O78" i="2" a="1"/>
  <c r="O78" i="2" s="1"/>
  <c r="N78" i="2" a="1"/>
  <c r="N78" i="2" s="1"/>
  <c r="M78" i="2" a="1"/>
  <c r="M78" i="2" s="1"/>
  <c r="L78" i="2" a="1"/>
  <c r="L78" i="2" s="1"/>
  <c r="K78" i="2" a="1"/>
  <c r="K78" i="2" s="1"/>
  <c r="J78" i="2" a="1"/>
  <c r="J78" i="2" s="1"/>
  <c r="I78" i="2" a="1"/>
  <c r="I78" i="2" s="1"/>
  <c r="H78" i="2" a="1"/>
  <c r="H78" i="2" s="1"/>
  <c r="G78" i="2" a="1"/>
  <c r="G78" i="2" s="1"/>
  <c r="F78" i="2" a="1"/>
  <c r="F78" i="2" s="1"/>
  <c r="E78" i="2" a="1"/>
  <c r="E78" i="2" s="1"/>
  <c r="D78" i="2" a="1"/>
  <c r="D78" i="2" s="1"/>
  <c r="O109" i="2" a="1"/>
  <c r="O109" i="2" s="1"/>
  <c r="N109" i="2" a="1"/>
  <c r="N109" i="2" s="1"/>
  <c r="M109" i="2" a="1"/>
  <c r="M109" i="2" s="1"/>
  <c r="L109" i="2" a="1"/>
  <c r="L109" i="2" s="1"/>
  <c r="K109" i="2" a="1"/>
  <c r="K109" i="2" s="1"/>
  <c r="J109" i="2" a="1"/>
  <c r="J109" i="2" s="1"/>
  <c r="I109" i="2" a="1"/>
  <c r="I109" i="2" s="1"/>
  <c r="H109" i="2" a="1"/>
  <c r="H109" i="2" s="1"/>
  <c r="G109" i="2" a="1"/>
  <c r="G109" i="2" s="1"/>
  <c r="F109" i="2" a="1"/>
  <c r="F109" i="2" s="1"/>
  <c r="E109" i="2" a="1"/>
  <c r="E109" i="2" s="1"/>
  <c r="D109" i="2" a="1"/>
  <c r="D109" i="2" s="1"/>
  <c r="O108" i="2" a="1"/>
  <c r="O108" i="2" s="1"/>
  <c r="N108" i="2" a="1"/>
  <c r="N108" i="2" s="1"/>
  <c r="M108" i="2" a="1"/>
  <c r="M108" i="2" s="1"/>
  <c r="L108" i="2" a="1"/>
  <c r="L108" i="2" s="1"/>
  <c r="K108" i="2" a="1"/>
  <c r="K108" i="2" s="1"/>
  <c r="J108" i="2" a="1"/>
  <c r="J108" i="2" s="1"/>
  <c r="I108" i="2" a="1"/>
  <c r="I108" i="2" s="1"/>
  <c r="H108" i="2" a="1"/>
  <c r="H108" i="2" s="1"/>
  <c r="G108" i="2" a="1"/>
  <c r="G108" i="2" s="1"/>
  <c r="F108" i="2" a="1"/>
  <c r="F108" i="2" s="1"/>
  <c r="E108" i="2" a="1"/>
  <c r="E108" i="2" s="1"/>
  <c r="D108" i="2" a="1"/>
  <c r="D108" i="2" s="1"/>
  <c r="O107" i="2" a="1"/>
  <c r="O107" i="2" s="1"/>
  <c r="N107" i="2" a="1"/>
  <c r="N107" i="2" s="1"/>
  <c r="M107" i="2" a="1"/>
  <c r="M107" i="2" s="1"/>
  <c r="L107" i="2" a="1"/>
  <c r="L107" i="2" s="1"/>
  <c r="K107" i="2" a="1"/>
  <c r="K107" i="2" s="1"/>
  <c r="J107" i="2" a="1"/>
  <c r="J107" i="2" s="1"/>
  <c r="I107" i="2" a="1"/>
  <c r="I107" i="2" s="1"/>
  <c r="H107" i="2" a="1"/>
  <c r="H107" i="2" s="1"/>
  <c r="G107" i="2" a="1"/>
  <c r="G107" i="2" s="1"/>
  <c r="F107" i="2" a="1"/>
  <c r="F107" i="2" s="1"/>
  <c r="E107" i="2" a="1"/>
  <c r="E107" i="2" s="1"/>
  <c r="D107" i="2" a="1"/>
  <c r="D107" i="2" s="1"/>
  <c r="O106" i="2" a="1"/>
  <c r="O106" i="2" s="1"/>
  <c r="N106" i="2" a="1"/>
  <c r="N106" i="2" s="1"/>
  <c r="M106" i="2" a="1"/>
  <c r="M106" i="2" s="1"/>
  <c r="L106" i="2" a="1"/>
  <c r="L106" i="2" s="1"/>
  <c r="K106" i="2" a="1"/>
  <c r="K106" i="2" s="1"/>
  <c r="J106" i="2" a="1"/>
  <c r="J106" i="2" s="1"/>
  <c r="I106" i="2" a="1"/>
  <c r="I106" i="2" s="1"/>
  <c r="H106" i="2" a="1"/>
  <c r="H106" i="2" s="1"/>
  <c r="G106" i="2" a="1"/>
  <c r="G106" i="2" s="1"/>
  <c r="F106" i="2" a="1"/>
  <c r="F106" i="2" s="1"/>
  <c r="E106" i="2" a="1"/>
  <c r="E106" i="2" s="1"/>
  <c r="D106" i="2" a="1"/>
  <c r="D106" i="2" s="1"/>
  <c r="O105" i="2" a="1"/>
  <c r="O105" i="2" s="1"/>
  <c r="N105" i="2" a="1"/>
  <c r="N105" i="2" s="1"/>
  <c r="M105" i="2" a="1"/>
  <c r="M105" i="2" s="1"/>
  <c r="L105" i="2" a="1"/>
  <c r="L105" i="2" s="1"/>
  <c r="K105" i="2" a="1"/>
  <c r="K105" i="2" s="1"/>
  <c r="J105" i="2" a="1"/>
  <c r="J105" i="2" s="1"/>
  <c r="I105" i="2" a="1"/>
  <c r="I105" i="2" s="1"/>
  <c r="H105" i="2" a="1"/>
  <c r="H105" i="2" s="1"/>
  <c r="G105" i="2" a="1"/>
  <c r="G105" i="2" s="1"/>
  <c r="F105" i="2" a="1"/>
  <c r="F105" i="2" s="1"/>
  <c r="E105" i="2" a="1"/>
  <c r="E105" i="2" s="1"/>
  <c r="D105" i="2" a="1"/>
  <c r="D105" i="2" s="1"/>
  <c r="O104" i="2" a="1"/>
  <c r="O104" i="2" s="1"/>
  <c r="N104" i="2" a="1"/>
  <c r="N104" i="2" s="1"/>
  <c r="M104" i="2" a="1"/>
  <c r="M104" i="2" s="1"/>
  <c r="L104" i="2" a="1"/>
  <c r="L104" i="2" s="1"/>
  <c r="K104" i="2" a="1"/>
  <c r="K104" i="2" s="1"/>
  <c r="J104" i="2" a="1"/>
  <c r="J104" i="2" s="1"/>
  <c r="I104" i="2" a="1"/>
  <c r="I104" i="2" s="1"/>
  <c r="H104" i="2" a="1"/>
  <c r="H104" i="2" s="1"/>
  <c r="G104" i="2" a="1"/>
  <c r="G104" i="2" s="1"/>
  <c r="F104" i="2" a="1"/>
  <c r="F104" i="2" s="1"/>
  <c r="E104" i="2" a="1"/>
  <c r="E104" i="2" s="1"/>
  <c r="D104" i="2" a="1"/>
  <c r="D104" i="2" s="1"/>
  <c r="O103" i="2" a="1"/>
  <c r="O103" i="2" s="1"/>
  <c r="N103" i="2" a="1"/>
  <c r="N103" i="2" s="1"/>
  <c r="M103" i="2" a="1"/>
  <c r="M103" i="2" s="1"/>
  <c r="L103" i="2" a="1"/>
  <c r="L103" i="2" s="1"/>
  <c r="K103" i="2" a="1"/>
  <c r="K103" i="2" s="1"/>
  <c r="J103" i="2" a="1"/>
  <c r="J103" i="2" s="1"/>
  <c r="I103" i="2" a="1"/>
  <c r="I103" i="2" s="1"/>
  <c r="H103" i="2" a="1"/>
  <c r="H103" i="2" s="1"/>
  <c r="G103" i="2" a="1"/>
  <c r="G103" i="2" s="1"/>
  <c r="F103" i="2" a="1"/>
  <c r="F103" i="2" s="1"/>
  <c r="E103" i="2" a="1"/>
  <c r="E103" i="2" s="1"/>
  <c r="D103" i="2" a="1"/>
  <c r="D103" i="2" s="1"/>
  <c r="O102" i="2" a="1"/>
  <c r="O102" i="2" s="1"/>
  <c r="N102" i="2" a="1"/>
  <c r="N102" i="2" s="1"/>
  <c r="M102" i="2" a="1"/>
  <c r="M102" i="2" s="1"/>
  <c r="L102" i="2" a="1"/>
  <c r="L102" i="2" s="1"/>
  <c r="K102" i="2" a="1"/>
  <c r="K102" i="2" s="1"/>
  <c r="J102" i="2" a="1"/>
  <c r="J102" i="2" s="1"/>
  <c r="I102" i="2" a="1"/>
  <c r="I102" i="2" s="1"/>
  <c r="H102" i="2" a="1"/>
  <c r="H102" i="2" s="1"/>
  <c r="G102" i="2" a="1"/>
  <c r="G102" i="2" s="1"/>
  <c r="F102" i="2" a="1"/>
  <c r="F102" i="2" s="1"/>
  <c r="E102" i="2" a="1"/>
  <c r="E102" i="2" s="1"/>
  <c r="D102" i="2" a="1"/>
  <c r="D102" i="2" s="1"/>
  <c r="O100" i="2" a="1"/>
  <c r="O100" i="2" s="1"/>
  <c r="N100" i="2" a="1"/>
  <c r="N100" i="2" s="1"/>
  <c r="M100" i="2" a="1"/>
  <c r="M100" i="2" s="1"/>
  <c r="L100" i="2" a="1"/>
  <c r="L100" i="2" s="1"/>
  <c r="K100" i="2" a="1"/>
  <c r="K100" i="2" s="1"/>
  <c r="J100" i="2" a="1"/>
  <c r="J100" i="2" s="1"/>
  <c r="I100" i="2" a="1"/>
  <c r="I100" i="2" s="1"/>
  <c r="H100" i="2" a="1"/>
  <c r="H100" i="2" s="1"/>
  <c r="G100" i="2" a="1"/>
  <c r="G100" i="2" s="1"/>
  <c r="F100" i="2" a="1"/>
  <c r="F100" i="2" s="1"/>
  <c r="E100" i="2" a="1"/>
  <c r="E100" i="2" s="1"/>
  <c r="D100" i="2" a="1"/>
  <c r="D100" i="2" s="1"/>
  <c r="O99" i="2" a="1"/>
  <c r="O99" i="2" s="1"/>
  <c r="N99" i="2" a="1"/>
  <c r="N99" i="2" s="1"/>
  <c r="M99" i="2" a="1"/>
  <c r="M99" i="2" s="1"/>
  <c r="L99" i="2" a="1"/>
  <c r="L99" i="2" s="1"/>
  <c r="K99" i="2" a="1"/>
  <c r="K99" i="2" s="1"/>
  <c r="J99" i="2" a="1"/>
  <c r="J99" i="2" s="1"/>
  <c r="I99" i="2" a="1"/>
  <c r="I99" i="2" s="1"/>
  <c r="H99" i="2" a="1"/>
  <c r="H99" i="2" s="1"/>
  <c r="G99" i="2" a="1"/>
  <c r="G99" i="2" s="1"/>
  <c r="F99" i="2" a="1"/>
  <c r="F99" i="2" s="1"/>
  <c r="E99" i="2" a="1"/>
  <c r="E99" i="2" s="1"/>
  <c r="D99" i="2" a="1"/>
  <c r="D99" i="2" s="1"/>
  <c r="O98" i="2" a="1"/>
  <c r="O98" i="2" s="1"/>
  <c r="N98" i="2" a="1"/>
  <c r="N98" i="2" s="1"/>
  <c r="M98" i="2" a="1"/>
  <c r="M98" i="2" s="1"/>
  <c r="L98" i="2" a="1"/>
  <c r="L98" i="2" s="1"/>
  <c r="K98" i="2" a="1"/>
  <c r="K98" i="2" s="1"/>
  <c r="J98" i="2" a="1"/>
  <c r="J98" i="2" s="1"/>
  <c r="I98" i="2" a="1"/>
  <c r="I98" i="2" s="1"/>
  <c r="H98" i="2" a="1"/>
  <c r="H98" i="2" s="1"/>
  <c r="G98" i="2" a="1"/>
  <c r="G98" i="2" s="1"/>
  <c r="F98" i="2" a="1"/>
  <c r="F98" i="2" s="1"/>
  <c r="E98" i="2" a="1"/>
  <c r="E98" i="2" s="1"/>
  <c r="D98" i="2" a="1"/>
  <c r="D98" i="2" s="1"/>
  <c r="O97" i="2" a="1"/>
  <c r="O97" i="2" s="1"/>
  <c r="N97" i="2" a="1"/>
  <c r="N97" i="2" s="1"/>
  <c r="M97" i="2" a="1"/>
  <c r="M97" i="2" s="1"/>
  <c r="L97" i="2" a="1"/>
  <c r="L97" i="2" s="1"/>
  <c r="K97" i="2" a="1"/>
  <c r="K97" i="2" s="1"/>
  <c r="J97" i="2" a="1"/>
  <c r="J97" i="2" s="1"/>
  <c r="I97" i="2" a="1"/>
  <c r="I97" i="2" s="1"/>
  <c r="H97" i="2" a="1"/>
  <c r="H97" i="2" s="1"/>
  <c r="G97" i="2" a="1"/>
  <c r="G97" i="2" s="1"/>
  <c r="F97" i="2" a="1"/>
  <c r="F97" i="2" s="1"/>
  <c r="E97" i="2" a="1"/>
  <c r="E97" i="2" s="1"/>
  <c r="D97" i="2" a="1"/>
  <c r="D97" i="2" s="1"/>
  <c r="O96" i="2" a="1"/>
  <c r="O96" i="2" s="1"/>
  <c r="N96" i="2" a="1"/>
  <c r="N96" i="2" s="1"/>
  <c r="M96" i="2" a="1"/>
  <c r="M96" i="2" s="1"/>
  <c r="L96" i="2" a="1"/>
  <c r="L96" i="2" s="1"/>
  <c r="K96" i="2" a="1"/>
  <c r="K96" i="2" s="1"/>
  <c r="J96" i="2" a="1"/>
  <c r="J96" i="2" s="1"/>
  <c r="I96" i="2" a="1"/>
  <c r="I96" i="2" s="1"/>
  <c r="H96" i="2" a="1"/>
  <c r="H96" i="2" s="1"/>
  <c r="G96" i="2" a="1"/>
  <c r="G96" i="2" s="1"/>
  <c r="F96" i="2" a="1"/>
  <c r="F96" i="2" s="1"/>
  <c r="E96" i="2" a="1"/>
  <c r="E96" i="2" s="1"/>
  <c r="D96" i="2" a="1"/>
  <c r="D96" i="2" s="1"/>
  <c r="O127" i="2" a="1"/>
  <c r="O127" i="2" s="1"/>
  <c r="N127" i="2" a="1"/>
  <c r="N127" i="2" s="1"/>
  <c r="M127" i="2" a="1"/>
  <c r="M127" i="2" s="1"/>
  <c r="L127" i="2" a="1"/>
  <c r="L127" i="2" s="1"/>
  <c r="K127" i="2" a="1"/>
  <c r="K127" i="2" s="1"/>
  <c r="J127" i="2" a="1"/>
  <c r="J127" i="2" s="1"/>
  <c r="I127" i="2" a="1"/>
  <c r="I127" i="2" s="1"/>
  <c r="H127" i="2" a="1"/>
  <c r="H127" i="2" s="1"/>
  <c r="G127" i="2" a="1"/>
  <c r="G127" i="2" s="1"/>
  <c r="F127" i="2" a="1"/>
  <c r="F127" i="2" s="1"/>
  <c r="E127" i="2" a="1"/>
  <c r="E127" i="2" s="1"/>
  <c r="D127" i="2" a="1"/>
  <c r="D127" i="2" s="1"/>
  <c r="O126" i="2" a="1"/>
  <c r="O126" i="2" s="1"/>
  <c r="N126" i="2" a="1"/>
  <c r="N126" i="2" s="1"/>
  <c r="M126" i="2" a="1"/>
  <c r="M126" i="2" s="1"/>
  <c r="L126" i="2" a="1"/>
  <c r="L126" i="2" s="1"/>
  <c r="K126" i="2" a="1"/>
  <c r="K126" i="2" s="1"/>
  <c r="J126" i="2" a="1"/>
  <c r="J126" i="2" s="1"/>
  <c r="I126" i="2" a="1"/>
  <c r="I126" i="2" s="1"/>
  <c r="H126" i="2" a="1"/>
  <c r="H126" i="2" s="1"/>
  <c r="G126" i="2" a="1"/>
  <c r="G126" i="2" s="1"/>
  <c r="F126" i="2" a="1"/>
  <c r="F126" i="2" s="1"/>
  <c r="E126" i="2" a="1"/>
  <c r="E126" i="2" s="1"/>
  <c r="D126" i="2" a="1"/>
  <c r="D126" i="2" s="1"/>
  <c r="O125" i="2" a="1"/>
  <c r="O125" i="2" s="1"/>
  <c r="N125" i="2" a="1"/>
  <c r="N125" i="2" s="1"/>
  <c r="M125" i="2" a="1"/>
  <c r="M125" i="2" s="1"/>
  <c r="L125" i="2" a="1"/>
  <c r="L125" i="2" s="1"/>
  <c r="K125" i="2" a="1"/>
  <c r="K125" i="2" s="1"/>
  <c r="J125" i="2" a="1"/>
  <c r="J125" i="2" s="1"/>
  <c r="I125" i="2" a="1"/>
  <c r="I125" i="2" s="1"/>
  <c r="H125" i="2" a="1"/>
  <c r="H125" i="2" s="1"/>
  <c r="G125" i="2" a="1"/>
  <c r="G125" i="2" s="1"/>
  <c r="F125" i="2" a="1"/>
  <c r="F125" i="2" s="1"/>
  <c r="E125" i="2" a="1"/>
  <c r="E125" i="2" s="1"/>
  <c r="D125" i="2" a="1"/>
  <c r="D125" i="2" s="1"/>
  <c r="O124" i="2" a="1"/>
  <c r="O124" i="2" s="1"/>
  <c r="N124" i="2" a="1"/>
  <c r="N124" i="2" s="1"/>
  <c r="M124" i="2" a="1"/>
  <c r="M124" i="2" s="1"/>
  <c r="L124" i="2" a="1"/>
  <c r="L124" i="2" s="1"/>
  <c r="K124" i="2" a="1"/>
  <c r="K124" i="2" s="1"/>
  <c r="J124" i="2" a="1"/>
  <c r="J124" i="2" s="1"/>
  <c r="I124" i="2" a="1"/>
  <c r="I124" i="2" s="1"/>
  <c r="H124" i="2" a="1"/>
  <c r="H124" i="2" s="1"/>
  <c r="G124" i="2" a="1"/>
  <c r="G124" i="2" s="1"/>
  <c r="F124" i="2" a="1"/>
  <c r="F124" i="2" s="1"/>
  <c r="E124" i="2" a="1"/>
  <c r="E124" i="2" s="1"/>
  <c r="D124" i="2" a="1"/>
  <c r="D124" i="2" s="1"/>
  <c r="O123" i="2" a="1"/>
  <c r="O123" i="2" s="1"/>
  <c r="N123" i="2" a="1"/>
  <c r="N123" i="2" s="1"/>
  <c r="M123" i="2" a="1"/>
  <c r="M123" i="2" s="1"/>
  <c r="L123" i="2" a="1"/>
  <c r="L123" i="2" s="1"/>
  <c r="K123" i="2" a="1"/>
  <c r="K123" i="2" s="1"/>
  <c r="J123" i="2" a="1"/>
  <c r="J123" i="2" s="1"/>
  <c r="I123" i="2" a="1"/>
  <c r="I123" i="2" s="1"/>
  <c r="H123" i="2" a="1"/>
  <c r="H123" i="2" s="1"/>
  <c r="G123" i="2" a="1"/>
  <c r="G123" i="2" s="1"/>
  <c r="F123" i="2" a="1"/>
  <c r="F123" i="2" s="1"/>
  <c r="E123" i="2" a="1"/>
  <c r="E123" i="2" s="1"/>
  <c r="D123" i="2" a="1"/>
  <c r="D123" i="2" s="1"/>
  <c r="O122" i="2" a="1"/>
  <c r="O122" i="2" s="1"/>
  <c r="N122" i="2" a="1"/>
  <c r="N122" i="2" s="1"/>
  <c r="M122" i="2" a="1"/>
  <c r="M122" i="2" s="1"/>
  <c r="L122" i="2" a="1"/>
  <c r="L122" i="2" s="1"/>
  <c r="K122" i="2" a="1"/>
  <c r="K122" i="2" s="1"/>
  <c r="J122" i="2" a="1"/>
  <c r="J122" i="2" s="1"/>
  <c r="I122" i="2" a="1"/>
  <c r="I122" i="2" s="1"/>
  <c r="H122" i="2" a="1"/>
  <c r="H122" i="2" s="1"/>
  <c r="G122" i="2" a="1"/>
  <c r="G122" i="2" s="1"/>
  <c r="F122" i="2" a="1"/>
  <c r="F122" i="2" s="1"/>
  <c r="E122" i="2" a="1"/>
  <c r="E122" i="2" s="1"/>
  <c r="D122" i="2" a="1"/>
  <c r="D122" i="2" s="1"/>
  <c r="O121" i="2" a="1"/>
  <c r="O121" i="2" s="1"/>
  <c r="N121" i="2" a="1"/>
  <c r="N121" i="2" s="1"/>
  <c r="M121" i="2" a="1"/>
  <c r="M121" i="2" s="1"/>
  <c r="L121" i="2" a="1"/>
  <c r="L121" i="2" s="1"/>
  <c r="K121" i="2" a="1"/>
  <c r="K121" i="2" s="1"/>
  <c r="J121" i="2" a="1"/>
  <c r="J121" i="2" s="1"/>
  <c r="I121" i="2" a="1"/>
  <c r="I121" i="2" s="1"/>
  <c r="H121" i="2" a="1"/>
  <c r="H121" i="2" s="1"/>
  <c r="G121" i="2" a="1"/>
  <c r="G121" i="2" s="1"/>
  <c r="F121" i="2" a="1"/>
  <c r="F121" i="2" s="1"/>
  <c r="E121" i="2" a="1"/>
  <c r="E121" i="2" s="1"/>
  <c r="D121" i="2" a="1"/>
  <c r="D121" i="2" s="1"/>
  <c r="O120" i="2" a="1"/>
  <c r="O120" i="2" s="1"/>
  <c r="N120" i="2" a="1"/>
  <c r="N120" i="2" s="1"/>
  <c r="M120" i="2" a="1"/>
  <c r="M120" i="2" s="1"/>
  <c r="L120" i="2" a="1"/>
  <c r="L120" i="2" s="1"/>
  <c r="K120" i="2" a="1"/>
  <c r="K120" i="2" s="1"/>
  <c r="J120" i="2" a="1"/>
  <c r="J120" i="2" s="1"/>
  <c r="I120" i="2" a="1"/>
  <c r="I120" i="2" s="1"/>
  <c r="H120" i="2" a="1"/>
  <c r="H120" i="2" s="1"/>
  <c r="G120" i="2" a="1"/>
  <c r="G120" i="2" s="1"/>
  <c r="F120" i="2" a="1"/>
  <c r="F120" i="2" s="1"/>
  <c r="E120" i="2" a="1"/>
  <c r="E120" i="2" s="1"/>
  <c r="D120" i="2" a="1"/>
  <c r="D120" i="2" s="1"/>
  <c r="O118" i="2" a="1"/>
  <c r="O118" i="2" s="1"/>
  <c r="N118" i="2" a="1"/>
  <c r="N118" i="2" s="1"/>
  <c r="M118" i="2" a="1"/>
  <c r="M118" i="2" s="1"/>
  <c r="L118" i="2" a="1"/>
  <c r="L118" i="2" s="1"/>
  <c r="K118" i="2" a="1"/>
  <c r="K118" i="2" s="1"/>
  <c r="J118" i="2" a="1"/>
  <c r="J118" i="2" s="1"/>
  <c r="I118" i="2" a="1"/>
  <c r="I118" i="2" s="1"/>
  <c r="H118" i="2" a="1"/>
  <c r="H118" i="2" s="1"/>
  <c r="G118" i="2" a="1"/>
  <c r="G118" i="2" s="1"/>
  <c r="F118" i="2" a="1"/>
  <c r="F118" i="2" s="1"/>
  <c r="E118" i="2" a="1"/>
  <c r="E118" i="2" s="1"/>
  <c r="D118" i="2" a="1"/>
  <c r="D118" i="2" s="1"/>
  <c r="O117" i="2" a="1"/>
  <c r="O117" i="2" s="1"/>
  <c r="N117" i="2" a="1"/>
  <c r="N117" i="2" s="1"/>
  <c r="M117" i="2" a="1"/>
  <c r="M117" i="2" s="1"/>
  <c r="L117" i="2" a="1"/>
  <c r="L117" i="2" s="1"/>
  <c r="K117" i="2" a="1"/>
  <c r="K117" i="2" s="1"/>
  <c r="J117" i="2" a="1"/>
  <c r="J117" i="2" s="1"/>
  <c r="I117" i="2" a="1"/>
  <c r="I117" i="2" s="1"/>
  <c r="H117" i="2" a="1"/>
  <c r="H117" i="2" s="1"/>
  <c r="G117" i="2" a="1"/>
  <c r="G117" i="2" s="1"/>
  <c r="F117" i="2" a="1"/>
  <c r="F117" i="2" s="1"/>
  <c r="E117" i="2" a="1"/>
  <c r="E117" i="2" s="1"/>
  <c r="D117" i="2" a="1"/>
  <c r="D117" i="2" s="1"/>
  <c r="O116" i="2" a="1"/>
  <c r="O116" i="2" s="1"/>
  <c r="N116" i="2" a="1"/>
  <c r="N116" i="2" s="1"/>
  <c r="M116" i="2" a="1"/>
  <c r="M116" i="2" s="1"/>
  <c r="L116" i="2" a="1"/>
  <c r="L116" i="2" s="1"/>
  <c r="K116" i="2" a="1"/>
  <c r="K116" i="2" s="1"/>
  <c r="J116" i="2" a="1"/>
  <c r="J116" i="2" s="1"/>
  <c r="I116" i="2" a="1"/>
  <c r="I116" i="2" s="1"/>
  <c r="H116" i="2" a="1"/>
  <c r="H116" i="2" s="1"/>
  <c r="G116" i="2" a="1"/>
  <c r="G116" i="2" s="1"/>
  <c r="F116" i="2" a="1"/>
  <c r="F116" i="2" s="1"/>
  <c r="E116" i="2" a="1"/>
  <c r="E116" i="2" s="1"/>
  <c r="D116" i="2" a="1"/>
  <c r="D116" i="2" s="1"/>
  <c r="O115" i="2" a="1"/>
  <c r="O115" i="2" s="1"/>
  <c r="N115" i="2" a="1"/>
  <c r="N115" i="2" s="1"/>
  <c r="M115" i="2" a="1"/>
  <c r="M115" i="2" s="1"/>
  <c r="L115" i="2" a="1"/>
  <c r="L115" i="2" s="1"/>
  <c r="K115" i="2" a="1"/>
  <c r="K115" i="2" s="1"/>
  <c r="J115" i="2" a="1"/>
  <c r="J115" i="2" s="1"/>
  <c r="I115" i="2" a="1"/>
  <c r="I115" i="2" s="1"/>
  <c r="H115" i="2" a="1"/>
  <c r="H115" i="2" s="1"/>
  <c r="G115" i="2" a="1"/>
  <c r="G115" i="2" s="1"/>
  <c r="F115" i="2" a="1"/>
  <c r="F115" i="2" s="1"/>
  <c r="E115" i="2" a="1"/>
  <c r="E115" i="2" s="1"/>
  <c r="D115" i="2" a="1"/>
  <c r="D115" i="2" s="1"/>
  <c r="O114" i="2" a="1"/>
  <c r="O114" i="2" s="1"/>
  <c r="N114" i="2" a="1"/>
  <c r="N114" i="2" s="1"/>
  <c r="M114" i="2" a="1"/>
  <c r="M114" i="2" s="1"/>
  <c r="L114" i="2" a="1"/>
  <c r="L114" i="2" s="1"/>
  <c r="K114" i="2" a="1"/>
  <c r="K114" i="2" s="1"/>
  <c r="J114" i="2" a="1"/>
  <c r="J114" i="2" s="1"/>
  <c r="I114" i="2" a="1"/>
  <c r="I114" i="2" s="1"/>
  <c r="H114" i="2" a="1"/>
  <c r="H114" i="2" s="1"/>
  <c r="G114" i="2" a="1"/>
  <c r="G114" i="2" s="1"/>
  <c r="F114" i="2" a="1"/>
  <c r="F114" i="2" s="1"/>
  <c r="E114" i="2" a="1"/>
  <c r="E114" i="2" s="1"/>
  <c r="D114" i="2" a="1"/>
  <c r="D114" i="2" s="1"/>
  <c r="D1027" i="4" l="1"/>
  <c r="D1155" i="4"/>
  <c r="D1092" i="4"/>
  <c r="D1029" i="4"/>
  <c r="D1157" i="4"/>
  <c r="D1094" i="4"/>
  <c r="D1032" i="4"/>
  <c r="D1160" i="4"/>
  <c r="D1097" i="4"/>
  <c r="D1034" i="4"/>
  <c r="D1162" i="4"/>
  <c r="D1099" i="4"/>
  <c r="D1036" i="4"/>
  <c r="D1164" i="4"/>
  <c r="D1101" i="4"/>
  <c r="D1038" i="4"/>
  <c r="D1166" i="4"/>
  <c r="D1103" i="4"/>
  <c r="D834" i="4"/>
  <c r="D771" i="4"/>
  <c r="D899" i="4"/>
  <c r="D836" i="4"/>
  <c r="D773" i="4"/>
  <c r="D901" i="4"/>
  <c r="D838" i="4"/>
  <c r="D776" i="4"/>
  <c r="D904" i="4"/>
  <c r="D841" i="4"/>
  <c r="D778" i="4"/>
  <c r="D906" i="4"/>
  <c r="D843" i="4"/>
  <c r="D780" i="4"/>
  <c r="D908" i="4"/>
  <c r="D845" i="4"/>
  <c r="D782" i="4"/>
  <c r="D910" i="4"/>
  <c r="D847" i="4"/>
  <c r="D578" i="4"/>
  <c r="D706" i="4"/>
  <c r="D643" i="4"/>
  <c r="D580" i="4"/>
  <c r="D708" i="4"/>
  <c r="D645" i="4"/>
  <c r="D582" i="4"/>
  <c r="D710" i="4"/>
  <c r="D648" i="4"/>
  <c r="D585" i="4"/>
  <c r="D713" i="4"/>
  <c r="D650" i="4"/>
  <c r="D587" i="4"/>
  <c r="D715" i="4"/>
  <c r="D652" i="4"/>
  <c r="D589" i="4"/>
  <c r="D717" i="4"/>
  <c r="D654" i="4"/>
  <c r="D591" i="4"/>
  <c r="D719" i="4"/>
  <c r="D450" i="4"/>
  <c r="D387" i="4"/>
  <c r="D515" i="4"/>
  <c r="D452" i="4"/>
  <c r="D389" i="4"/>
  <c r="D517" i="4"/>
  <c r="D454" i="4"/>
  <c r="D392" i="4"/>
  <c r="D520" i="4"/>
  <c r="D457" i="4"/>
  <c r="D394" i="4"/>
  <c r="D522" i="4"/>
  <c r="D459" i="4"/>
  <c r="D396" i="4"/>
  <c r="D524" i="4"/>
  <c r="D461" i="4"/>
  <c r="D398" i="4"/>
  <c r="D526" i="4"/>
  <c r="D463" i="4"/>
  <c r="D194" i="4"/>
  <c r="D322" i="4"/>
  <c r="D259" i="4"/>
  <c r="D196" i="4"/>
  <c r="D324" i="4"/>
  <c r="D261" i="4"/>
  <c r="D198" i="4"/>
  <c r="D326" i="4"/>
  <c r="D264" i="4"/>
  <c r="D201" i="4"/>
  <c r="D329" i="4"/>
  <c r="D266" i="4"/>
  <c r="D203" i="4"/>
  <c r="D331" i="4"/>
  <c r="D268" i="4"/>
  <c r="D205" i="4"/>
  <c r="D333" i="4"/>
  <c r="D270" i="4"/>
  <c r="D207" i="4"/>
  <c r="D335" i="4"/>
  <c r="D1108" i="4"/>
  <c r="D1045" i="4"/>
  <c r="D1173" i="4"/>
  <c r="D1110" i="4"/>
  <c r="D1048" i="4"/>
  <c r="D1176" i="4"/>
  <c r="D1113" i="4"/>
  <c r="D1050" i="4"/>
  <c r="D1178" i="4"/>
  <c r="D1115" i="4"/>
  <c r="D1052" i="4"/>
  <c r="D1180" i="4"/>
  <c r="D1117" i="4"/>
  <c r="D1054" i="4"/>
  <c r="D1182" i="4"/>
  <c r="D1119" i="4"/>
  <c r="D850" i="4"/>
  <c r="D787" i="4"/>
  <c r="D915" i="4"/>
  <c r="D852" i="4"/>
  <c r="D789" i="4"/>
  <c r="D917" i="4"/>
  <c r="D854" i="4"/>
  <c r="D792" i="4"/>
  <c r="D920" i="4"/>
  <c r="D857" i="4"/>
  <c r="D794" i="4"/>
  <c r="D922" i="4"/>
  <c r="D859" i="4"/>
  <c r="D796" i="4"/>
  <c r="D924" i="4"/>
  <c r="D861" i="4"/>
  <c r="D798" i="4"/>
  <c r="D926" i="4"/>
  <c r="D863" i="4"/>
  <c r="D594" i="4"/>
  <c r="D722" i="4"/>
  <c r="D659" i="4"/>
  <c r="D596" i="4"/>
  <c r="D724" i="4"/>
  <c r="D661" i="4"/>
  <c r="D598" i="4"/>
  <c r="D726" i="4"/>
  <c r="D664" i="4"/>
  <c r="D601" i="4"/>
  <c r="D729" i="4"/>
  <c r="D666" i="4"/>
  <c r="D603" i="4"/>
  <c r="D731" i="4"/>
  <c r="D668" i="4"/>
  <c r="D605" i="4"/>
  <c r="D733" i="4"/>
  <c r="D670" i="4"/>
  <c r="D607" i="4"/>
  <c r="D735" i="4"/>
  <c r="D466" i="4"/>
  <c r="D403" i="4"/>
  <c r="D531" i="4"/>
  <c r="D468" i="4"/>
  <c r="D405" i="4"/>
  <c r="D533" i="4"/>
  <c r="D470" i="4"/>
  <c r="D408" i="4"/>
  <c r="D536" i="4"/>
  <c r="D473" i="4"/>
  <c r="D410" i="4"/>
  <c r="D538" i="4"/>
  <c r="D475" i="4"/>
  <c r="D412" i="4"/>
  <c r="D540" i="4"/>
  <c r="D477" i="4"/>
  <c r="D414" i="4"/>
  <c r="D542" i="4"/>
  <c r="D479" i="4"/>
  <c r="D210" i="4"/>
  <c r="D338" i="4"/>
  <c r="D275" i="4"/>
  <c r="D212" i="4"/>
  <c r="D340" i="4"/>
  <c r="D277" i="4"/>
  <c r="D214" i="4"/>
  <c r="D342" i="4"/>
  <c r="D280" i="4"/>
  <c r="D217" i="4"/>
  <c r="D345" i="4"/>
  <c r="D282" i="4"/>
  <c r="D219" i="4"/>
  <c r="D347" i="4"/>
  <c r="D284" i="4"/>
  <c r="D221" i="4"/>
  <c r="D349" i="4"/>
  <c r="D286" i="4"/>
  <c r="D223" i="4"/>
  <c r="D351" i="4"/>
  <c r="D1122" i="4"/>
  <c r="D1124" i="4"/>
  <c r="D1189" i="4"/>
  <c r="D1064" i="4"/>
  <c r="D1129" i="4"/>
  <c r="D1194" i="4"/>
  <c r="D1131" i="4"/>
  <c r="D1068" i="4"/>
  <c r="D1196" i="4"/>
  <c r="D1133" i="4"/>
  <c r="D1070" i="4"/>
  <c r="D1198" i="4"/>
  <c r="D1135" i="4"/>
  <c r="D866" i="4"/>
  <c r="D803" i="4"/>
  <c r="D931" i="4"/>
  <c r="D868" i="4"/>
  <c r="D805" i="4"/>
  <c r="D933" i="4"/>
  <c r="D870" i="4"/>
  <c r="D808" i="4"/>
  <c r="D936" i="4"/>
  <c r="D873" i="4"/>
  <c r="D810" i="4"/>
  <c r="D938" i="4"/>
  <c r="D875" i="4"/>
  <c r="D812" i="4"/>
  <c r="D940" i="4"/>
  <c r="D877" i="4"/>
  <c r="D814" i="4"/>
  <c r="D942" i="4"/>
  <c r="D879" i="4"/>
  <c r="D610" i="4"/>
  <c r="D738" i="4"/>
  <c r="D675" i="4"/>
  <c r="D612" i="4"/>
  <c r="D740" i="4"/>
  <c r="D677" i="4"/>
  <c r="D614" i="4"/>
  <c r="D742" i="4"/>
  <c r="D680" i="4"/>
  <c r="D617" i="4"/>
  <c r="D745" i="4"/>
  <c r="D682" i="4"/>
  <c r="D619" i="4"/>
  <c r="D747" i="4"/>
  <c r="D684" i="4"/>
  <c r="D621" i="4"/>
  <c r="D749" i="4"/>
  <c r="D686" i="4"/>
  <c r="D623" i="4"/>
  <c r="D751" i="4"/>
  <c r="D482" i="4"/>
  <c r="D419" i="4"/>
  <c r="D547" i="4"/>
  <c r="D484" i="4"/>
  <c r="D421" i="4"/>
  <c r="D549" i="4"/>
  <c r="D486" i="4"/>
  <c r="D424" i="4"/>
  <c r="D552" i="4"/>
  <c r="D489" i="4"/>
  <c r="D426" i="4"/>
  <c r="D554" i="4"/>
  <c r="D491" i="4"/>
  <c r="D428" i="4"/>
  <c r="D556" i="4"/>
  <c r="D493" i="4"/>
  <c r="D430" i="4"/>
  <c r="D558" i="4"/>
  <c r="D495" i="4"/>
  <c r="D226" i="4"/>
  <c r="D354" i="4"/>
  <c r="D291" i="4"/>
  <c r="D228" i="4"/>
  <c r="D356" i="4"/>
  <c r="D293" i="4"/>
  <c r="D230" i="4"/>
  <c r="D358" i="4"/>
  <c r="D296" i="4"/>
  <c r="D233" i="4"/>
  <c r="D361" i="4"/>
  <c r="D298" i="4"/>
  <c r="D235" i="4"/>
  <c r="D363" i="4"/>
  <c r="D300" i="4"/>
  <c r="D237" i="4"/>
  <c r="D365" i="4"/>
  <c r="D302" i="4"/>
  <c r="D239" i="4"/>
  <c r="D367" i="4"/>
  <c r="D1059" i="4"/>
  <c r="D1061" i="4"/>
  <c r="D1126" i="4"/>
  <c r="D1192" i="4"/>
  <c r="D1066" i="4"/>
  <c r="D1138" i="4"/>
  <c r="D1075" i="4"/>
  <c r="D1203" i="4"/>
  <c r="D1140" i="4"/>
  <c r="D1077" i="4"/>
  <c r="D1205" i="4"/>
  <c r="D1142" i="4"/>
  <c r="D1080" i="4"/>
  <c r="D1145" i="4"/>
  <c r="D1082" i="4"/>
  <c r="D1210" i="4"/>
  <c r="D1147" i="4"/>
  <c r="D1084" i="4"/>
  <c r="D1212" i="4"/>
  <c r="D1149" i="4"/>
  <c r="D1086" i="4"/>
  <c r="D1214" i="4"/>
  <c r="D1151" i="4"/>
  <c r="D882" i="4"/>
  <c r="D819" i="4"/>
  <c r="D947" i="4"/>
  <c r="D884" i="4"/>
  <c r="D821" i="4"/>
  <c r="D949" i="4"/>
  <c r="D886" i="4"/>
  <c r="D824" i="4"/>
  <c r="D889" i="4"/>
  <c r="D826" i="4"/>
  <c r="D954" i="4"/>
  <c r="D891" i="4"/>
  <c r="D828" i="4"/>
  <c r="D956" i="4"/>
  <c r="D893" i="4"/>
  <c r="D830" i="4"/>
  <c r="D958" i="4"/>
  <c r="D895" i="4"/>
  <c r="D626" i="4"/>
  <c r="D754" i="4"/>
  <c r="D691" i="4"/>
  <c r="D628" i="4"/>
  <c r="D756" i="4"/>
  <c r="D693" i="4"/>
  <c r="D630" i="4"/>
  <c r="D758" i="4"/>
  <c r="D696" i="4"/>
  <c r="D633" i="4"/>
  <c r="D761" i="4"/>
  <c r="D698" i="4"/>
  <c r="D635" i="4"/>
  <c r="D763" i="4"/>
  <c r="D700" i="4"/>
  <c r="D637" i="4"/>
  <c r="D765" i="4"/>
  <c r="D702" i="4"/>
  <c r="D639" i="4"/>
  <c r="D767" i="4"/>
  <c r="D498" i="4"/>
  <c r="D435" i="4"/>
  <c r="D563" i="4"/>
  <c r="D500" i="4"/>
  <c r="D437" i="4"/>
  <c r="D565" i="4"/>
  <c r="D502" i="4"/>
  <c r="D440" i="4"/>
  <c r="D505" i="4"/>
  <c r="D442" i="4"/>
  <c r="D570" i="4"/>
  <c r="D507" i="4"/>
  <c r="D444" i="4"/>
  <c r="D572" i="4"/>
  <c r="D509" i="4"/>
  <c r="D446" i="4"/>
  <c r="D574" i="4"/>
  <c r="D511" i="4"/>
  <c r="D242" i="4"/>
  <c r="D370" i="4"/>
  <c r="D307" i="4"/>
  <c r="D244" i="4"/>
  <c r="D372" i="4"/>
  <c r="D309" i="4"/>
  <c r="D246" i="4"/>
  <c r="D374" i="4"/>
  <c r="D312" i="4"/>
  <c r="D249" i="4"/>
  <c r="D377" i="4"/>
  <c r="D314" i="4"/>
  <c r="D251" i="4"/>
  <c r="D379" i="4"/>
  <c r="D316" i="4"/>
  <c r="D253" i="4"/>
  <c r="D381" i="4"/>
  <c r="D318" i="4"/>
  <c r="D255" i="4"/>
  <c r="D383" i="4"/>
  <c r="D1171" i="4"/>
  <c r="D1026" i="4"/>
  <c r="D1091" i="4"/>
  <c r="D1156" i="4"/>
  <c r="D1030" i="4"/>
  <c r="D1158" i="4"/>
  <c r="D1096" i="4"/>
  <c r="D1033" i="4"/>
  <c r="D1161" i="4"/>
  <c r="D1098" i="4"/>
  <c r="D1035" i="4"/>
  <c r="D1163" i="4"/>
  <c r="D1100" i="4"/>
  <c r="D1037" i="4"/>
  <c r="D1165" i="4"/>
  <c r="D1102" i="4"/>
  <c r="D1039" i="4"/>
  <c r="D1167" i="4"/>
  <c r="D770" i="4"/>
  <c r="D898" i="4"/>
  <c r="D835" i="4"/>
  <c r="D772" i="4"/>
  <c r="D900" i="4"/>
  <c r="D837" i="4"/>
  <c r="D774" i="4"/>
  <c r="D902" i="4"/>
  <c r="D840" i="4"/>
  <c r="D777" i="4"/>
  <c r="D905" i="4"/>
  <c r="D842" i="4"/>
  <c r="D779" i="4"/>
  <c r="D907" i="4"/>
  <c r="D844" i="4"/>
  <c r="D781" i="4"/>
  <c r="D909" i="4"/>
  <c r="D846" i="4"/>
  <c r="D783" i="4"/>
  <c r="D911" i="4"/>
  <c r="D642" i="4"/>
  <c r="D579" i="4"/>
  <c r="D707" i="4"/>
  <c r="D644" i="4"/>
  <c r="D581" i="4"/>
  <c r="D709" i="4"/>
  <c r="D646" i="4"/>
  <c r="D584" i="4"/>
  <c r="D712" i="4"/>
  <c r="D649" i="4"/>
  <c r="D586" i="4"/>
  <c r="D714" i="4"/>
  <c r="D651" i="4"/>
  <c r="D588" i="4"/>
  <c r="D716" i="4"/>
  <c r="D653" i="4"/>
  <c r="D590" i="4"/>
  <c r="D718" i="4"/>
  <c r="D655" i="4"/>
  <c r="D386" i="4"/>
  <c r="D514" i="4"/>
  <c r="D451" i="4"/>
  <c r="D388" i="4"/>
  <c r="D516" i="4"/>
  <c r="D453" i="4"/>
  <c r="D390" i="4"/>
  <c r="D518" i="4"/>
  <c r="D456" i="4"/>
  <c r="D393" i="4"/>
  <c r="D521" i="4"/>
  <c r="D458" i="4"/>
  <c r="D395" i="4"/>
  <c r="D523" i="4"/>
  <c r="D460" i="4"/>
  <c r="D397" i="4"/>
  <c r="D525" i="4"/>
  <c r="D462" i="4"/>
  <c r="D399" i="4"/>
  <c r="D527" i="4"/>
  <c r="D258" i="4"/>
  <c r="D195" i="4"/>
  <c r="D323" i="4"/>
  <c r="D260" i="4"/>
  <c r="D197" i="4"/>
  <c r="D325" i="4"/>
  <c r="D262" i="4"/>
  <c r="D200" i="4"/>
  <c r="D328" i="4"/>
  <c r="D265" i="4"/>
  <c r="D202" i="4"/>
  <c r="D330" i="4"/>
  <c r="D267" i="4"/>
  <c r="D204" i="4"/>
  <c r="D332" i="4"/>
  <c r="D269" i="4"/>
  <c r="D206" i="4"/>
  <c r="D334" i="4"/>
  <c r="D271" i="4"/>
  <c r="D1106" i="4"/>
  <c r="D1187" i="4"/>
  <c r="D1154" i="4"/>
  <c r="D1028" i="4"/>
  <c r="D1093" i="4"/>
  <c r="D1042" i="4"/>
  <c r="D1170" i="4"/>
  <c r="D1107" i="4"/>
  <c r="D1044" i="4"/>
  <c r="D1172" i="4"/>
  <c r="D1109" i="4"/>
  <c r="D1046" i="4"/>
  <c r="D1174" i="4"/>
  <c r="D1112" i="4"/>
  <c r="D1049" i="4"/>
  <c r="D1177" i="4"/>
  <c r="D1114" i="4"/>
  <c r="D1051" i="4"/>
  <c r="D1179" i="4"/>
  <c r="D1116" i="4"/>
  <c r="D1053" i="4"/>
  <c r="D1181" i="4"/>
  <c r="D1118" i="4"/>
  <c r="D1055" i="4"/>
  <c r="D1183" i="4"/>
  <c r="D786" i="4"/>
  <c r="D914" i="4"/>
  <c r="D851" i="4"/>
  <c r="D788" i="4"/>
  <c r="D916" i="4"/>
  <c r="D853" i="4"/>
  <c r="D790" i="4"/>
  <c r="D918" i="4"/>
  <c r="D856" i="4"/>
  <c r="D793" i="4"/>
  <c r="D921" i="4"/>
  <c r="D858" i="4"/>
  <c r="D795" i="4"/>
  <c r="D923" i="4"/>
  <c r="D860" i="4"/>
  <c r="D797" i="4"/>
  <c r="D925" i="4"/>
  <c r="D862" i="4"/>
  <c r="D799" i="4"/>
  <c r="D927" i="4"/>
  <c r="D658" i="4"/>
  <c r="D595" i="4"/>
  <c r="D723" i="4"/>
  <c r="D660" i="4"/>
  <c r="D597" i="4"/>
  <c r="D725" i="4"/>
  <c r="D662" i="4"/>
  <c r="D600" i="4"/>
  <c r="D728" i="4"/>
  <c r="D665" i="4"/>
  <c r="D602" i="4"/>
  <c r="D730" i="4"/>
  <c r="D667" i="4"/>
  <c r="D604" i="4"/>
  <c r="D732" i="4"/>
  <c r="D669" i="4"/>
  <c r="D606" i="4"/>
  <c r="D734" i="4"/>
  <c r="D671" i="4"/>
  <c r="D402" i="4"/>
  <c r="D530" i="4"/>
  <c r="D467" i="4"/>
  <c r="D404" i="4"/>
  <c r="D532" i="4"/>
  <c r="D469" i="4"/>
  <c r="D406" i="4"/>
  <c r="D534" i="4"/>
  <c r="D472" i="4"/>
  <c r="D409" i="4"/>
  <c r="D537" i="4"/>
  <c r="D474" i="4"/>
  <c r="D411" i="4"/>
  <c r="D539" i="4"/>
  <c r="D476" i="4"/>
  <c r="D413" i="4"/>
  <c r="D541" i="4"/>
  <c r="D478" i="4"/>
  <c r="D415" i="4"/>
  <c r="D543" i="4"/>
  <c r="D274" i="4"/>
  <c r="D211" i="4"/>
  <c r="D339" i="4"/>
  <c r="D276" i="4"/>
  <c r="D213" i="4"/>
  <c r="D341" i="4"/>
  <c r="D278" i="4"/>
  <c r="D216" i="4"/>
  <c r="D344" i="4"/>
  <c r="D281" i="4"/>
  <c r="D218" i="4"/>
  <c r="D346" i="4"/>
  <c r="D283" i="4"/>
  <c r="D220" i="4"/>
  <c r="D348" i="4"/>
  <c r="D285" i="4"/>
  <c r="D222" i="4"/>
  <c r="D350" i="4"/>
  <c r="D287" i="4"/>
  <c r="D1043" i="4"/>
  <c r="D1186" i="4"/>
  <c r="D1060" i="4"/>
  <c r="D1125" i="4"/>
  <c r="D1062" i="4"/>
  <c r="D1190" i="4"/>
  <c r="D1128" i="4"/>
  <c r="D1065" i="4"/>
  <c r="D1193" i="4"/>
  <c r="D1130" i="4"/>
  <c r="D1067" i="4"/>
  <c r="D1195" i="4"/>
  <c r="D1132" i="4"/>
  <c r="D1069" i="4"/>
  <c r="D1197" i="4"/>
  <c r="D1134" i="4"/>
  <c r="D1071" i="4"/>
  <c r="D1199" i="4"/>
  <c r="D802" i="4"/>
  <c r="D930" i="4"/>
  <c r="D867" i="4"/>
  <c r="D804" i="4"/>
  <c r="D932" i="4"/>
  <c r="D869" i="4"/>
  <c r="D806" i="4"/>
  <c r="D934" i="4"/>
  <c r="D872" i="4"/>
  <c r="D809" i="4"/>
  <c r="D937" i="4"/>
  <c r="D874" i="4"/>
  <c r="D811" i="4"/>
  <c r="D939" i="4"/>
  <c r="D876" i="4"/>
  <c r="D813" i="4"/>
  <c r="D941" i="4"/>
  <c r="D878" i="4"/>
  <c r="D815" i="4"/>
  <c r="D943" i="4"/>
  <c r="D674" i="4"/>
  <c r="D611" i="4"/>
  <c r="D739" i="4"/>
  <c r="D676" i="4"/>
  <c r="D613" i="4"/>
  <c r="D741" i="4"/>
  <c r="D678" i="4"/>
  <c r="D616" i="4"/>
  <c r="D744" i="4"/>
  <c r="D681" i="4"/>
  <c r="D618" i="4"/>
  <c r="D746" i="4"/>
  <c r="D683" i="4"/>
  <c r="D620" i="4"/>
  <c r="D748" i="4"/>
  <c r="D685" i="4"/>
  <c r="D622" i="4"/>
  <c r="D750" i="4"/>
  <c r="D687" i="4"/>
  <c r="D418" i="4"/>
  <c r="D546" i="4"/>
  <c r="D483" i="4"/>
  <c r="D420" i="4"/>
  <c r="D548" i="4"/>
  <c r="D485" i="4"/>
  <c r="D422" i="4"/>
  <c r="D550" i="4"/>
  <c r="D488" i="4"/>
  <c r="D425" i="4"/>
  <c r="D553" i="4"/>
  <c r="D490" i="4"/>
  <c r="D427" i="4"/>
  <c r="D555" i="4"/>
  <c r="D492" i="4"/>
  <c r="D429" i="4"/>
  <c r="D557" i="4"/>
  <c r="D494" i="4"/>
  <c r="D431" i="4"/>
  <c r="D559" i="4"/>
  <c r="D290" i="4"/>
  <c r="D227" i="4"/>
  <c r="D355" i="4"/>
  <c r="D292" i="4"/>
  <c r="D229" i="4"/>
  <c r="D357" i="4"/>
  <c r="D294" i="4"/>
  <c r="D232" i="4"/>
  <c r="D360" i="4"/>
  <c r="D297" i="4"/>
  <c r="D234" i="4"/>
  <c r="D362" i="4"/>
  <c r="D299" i="4"/>
  <c r="D236" i="4"/>
  <c r="D364" i="4"/>
  <c r="D301" i="4"/>
  <c r="D238" i="4"/>
  <c r="D366" i="4"/>
  <c r="D303" i="4"/>
  <c r="D1090" i="4"/>
  <c r="D1058" i="4"/>
  <c r="D1123" i="4"/>
  <c r="D1188" i="4"/>
  <c r="D1074" i="4"/>
  <c r="D1202" i="4"/>
  <c r="D1139" i="4"/>
  <c r="D1076" i="4"/>
  <c r="D1204" i="4"/>
  <c r="D1141" i="4"/>
  <c r="D1078" i="4"/>
  <c r="D1206" i="4"/>
  <c r="D1144" i="4"/>
  <c r="D1081" i="4"/>
  <c r="D1209" i="4"/>
  <c r="D1146" i="4"/>
  <c r="D1083" i="4"/>
  <c r="D1211" i="4"/>
  <c r="D1148" i="4"/>
  <c r="D1085" i="4"/>
  <c r="D1213" i="4"/>
  <c r="D1150" i="4"/>
  <c r="D1087" i="4"/>
  <c r="D1215" i="4"/>
  <c r="D818" i="4"/>
  <c r="D946" i="4"/>
  <c r="D883" i="4"/>
  <c r="D820" i="4"/>
  <c r="D948" i="4"/>
  <c r="D885" i="4"/>
  <c r="D822" i="4"/>
  <c r="D950" i="4"/>
  <c r="D888" i="4"/>
  <c r="D825" i="4"/>
  <c r="D953" i="4"/>
  <c r="D890" i="4"/>
  <c r="D827" i="4"/>
  <c r="D955" i="4"/>
  <c r="D892" i="4"/>
  <c r="D829" i="4"/>
  <c r="D957" i="4"/>
  <c r="D894" i="4"/>
  <c r="D831" i="4"/>
  <c r="D959" i="4"/>
  <c r="D690" i="4"/>
  <c r="D627" i="4"/>
  <c r="D755" i="4"/>
  <c r="D692" i="4"/>
  <c r="D629" i="4"/>
  <c r="D757" i="4"/>
  <c r="D694" i="4"/>
  <c r="D632" i="4"/>
  <c r="D697" i="4"/>
  <c r="D634" i="4"/>
  <c r="D762" i="4"/>
  <c r="D699" i="4"/>
  <c r="D636" i="4"/>
  <c r="D764" i="4"/>
  <c r="D701" i="4"/>
  <c r="D638" i="4"/>
  <c r="D766" i="4"/>
  <c r="D703" i="4"/>
  <c r="D434" i="4"/>
  <c r="D562" i="4"/>
  <c r="D499" i="4"/>
  <c r="D436" i="4"/>
  <c r="D564" i="4"/>
  <c r="D501" i="4"/>
  <c r="D438" i="4"/>
  <c r="D566" i="4"/>
  <c r="D504" i="4"/>
  <c r="D441" i="4"/>
  <c r="D569" i="4"/>
  <c r="D506" i="4"/>
  <c r="D443" i="4"/>
  <c r="D571" i="4"/>
  <c r="D508" i="4"/>
  <c r="D445" i="4"/>
  <c r="D573" i="4"/>
  <c r="D510" i="4"/>
  <c r="D447" i="4"/>
  <c r="D575" i="4"/>
  <c r="D306" i="4"/>
  <c r="D243" i="4"/>
  <c r="D371" i="4"/>
  <c r="D308" i="4"/>
  <c r="D245" i="4"/>
  <c r="D373" i="4"/>
  <c r="D310" i="4"/>
  <c r="D248" i="4"/>
  <c r="D313" i="4"/>
  <c r="D250" i="4"/>
  <c r="D378" i="4"/>
  <c r="D315" i="4"/>
  <c r="D252" i="4"/>
  <c r="D380" i="4"/>
  <c r="D317" i="4"/>
  <c r="D254" i="4"/>
  <c r="D382" i="4"/>
  <c r="D319" i="4"/>
  <c r="I110" i="2"/>
  <c r="O128" i="2"/>
  <c r="D1208" i="4"/>
  <c r="K110" i="2"/>
  <c r="O92" i="2"/>
  <c r="D952" i="4"/>
  <c r="O56" i="2"/>
  <c r="D568" i="4"/>
  <c r="O110" i="2"/>
  <c r="O74" i="2"/>
  <c r="D760" i="4"/>
  <c r="O38" i="2"/>
  <c r="D376" i="4"/>
  <c r="I128" i="2"/>
  <c r="I92" i="2"/>
  <c r="I74" i="2"/>
  <c r="I38" i="2"/>
  <c r="K74" i="2"/>
  <c r="L128" i="2"/>
  <c r="K128" i="2"/>
  <c r="T67" i="2"/>
  <c r="S110" i="2"/>
  <c r="D1008" i="4" s="1"/>
  <c r="K56" i="2"/>
  <c r="Q79" i="2"/>
  <c r="Q81" i="2"/>
  <c r="Q86" i="2"/>
  <c r="Q88" i="2"/>
  <c r="Q90" i="2"/>
  <c r="S116" i="2"/>
  <c r="S118" i="2"/>
  <c r="S121" i="2"/>
  <c r="S123" i="2"/>
  <c r="S125" i="2"/>
  <c r="S127" i="2"/>
  <c r="H92" i="2"/>
  <c r="T80" i="2"/>
  <c r="T82" i="2"/>
  <c r="T85" i="2"/>
  <c r="T87" i="2"/>
  <c r="T89" i="2"/>
  <c r="T91" i="2"/>
  <c r="S115" i="2"/>
  <c r="S117" i="2"/>
  <c r="S122" i="2"/>
  <c r="S124" i="2"/>
  <c r="S126" i="2"/>
  <c r="R80" i="2"/>
  <c r="R82" i="2"/>
  <c r="Q110" i="2"/>
  <c r="D976" i="4" s="1"/>
  <c r="R110" i="2"/>
  <c r="D992" i="4" s="1"/>
  <c r="T111" i="2"/>
  <c r="D1025" i="4" s="1"/>
  <c r="T101" i="2"/>
  <c r="D1015" i="4" s="1"/>
  <c r="S111" i="2"/>
  <c r="D1009" i="4" s="1"/>
  <c r="S101" i="2"/>
  <c r="D999" i="4" s="1"/>
  <c r="R111" i="2"/>
  <c r="D993" i="4" s="1"/>
  <c r="R101" i="2"/>
  <c r="D983" i="4" s="1"/>
  <c r="Q111" i="2"/>
  <c r="D977" i="4" s="1"/>
  <c r="Q101" i="2"/>
  <c r="D967" i="4" s="1"/>
  <c r="Q25" i="2"/>
  <c r="Q27" i="2"/>
  <c r="Q32" i="2"/>
  <c r="Q34" i="2"/>
  <c r="Q36" i="2"/>
  <c r="Q26" i="2"/>
  <c r="Q28" i="2"/>
  <c r="Q31" i="2"/>
  <c r="Q33" i="2"/>
  <c r="Q35" i="2"/>
  <c r="Q37" i="2"/>
  <c r="Q43" i="2"/>
  <c r="Q45" i="2"/>
  <c r="Q44" i="2"/>
  <c r="Q46" i="2"/>
  <c r="Q49" i="2"/>
  <c r="Q51" i="2"/>
  <c r="Q53" i="2"/>
  <c r="Q55" i="2"/>
  <c r="Q61" i="2"/>
  <c r="Q63" i="2"/>
  <c r="Q68" i="2"/>
  <c r="Q70" i="2"/>
  <c r="Q72" i="2"/>
  <c r="K92" i="2"/>
  <c r="L92" i="2"/>
  <c r="S79" i="2"/>
  <c r="S81" i="2"/>
  <c r="S86" i="2"/>
  <c r="S88" i="2"/>
  <c r="S90" i="2"/>
  <c r="E128" i="2"/>
  <c r="F128" i="2"/>
  <c r="N128" i="2"/>
  <c r="R115" i="2"/>
  <c r="R117" i="2"/>
  <c r="R122" i="2"/>
  <c r="R124" i="2"/>
  <c r="R126" i="2"/>
  <c r="H119" i="2"/>
  <c r="H129" i="2"/>
  <c r="Q115" i="2"/>
  <c r="Q117" i="2"/>
  <c r="Q120" i="2"/>
  <c r="D128" i="2"/>
  <c r="Q122" i="2"/>
  <c r="Q124" i="2"/>
  <c r="Q126" i="2"/>
  <c r="I129" i="2"/>
  <c r="I119" i="2"/>
  <c r="T115" i="2"/>
  <c r="T117" i="2"/>
  <c r="T120" i="2"/>
  <c r="M128" i="2"/>
  <c r="T122" i="2"/>
  <c r="T124" i="2"/>
  <c r="T126" i="2"/>
  <c r="J119" i="2"/>
  <c r="S114" i="2"/>
  <c r="J129" i="2"/>
  <c r="K129" i="2"/>
  <c r="K119" i="2"/>
  <c r="G128" i="2"/>
  <c r="R120" i="2"/>
  <c r="D119" i="2"/>
  <c r="Q114" i="2"/>
  <c r="D129" i="2"/>
  <c r="L119" i="2"/>
  <c r="L129" i="2"/>
  <c r="Q116" i="2"/>
  <c r="Q118" i="2"/>
  <c r="H128" i="2"/>
  <c r="Q121" i="2"/>
  <c r="Q123" i="2"/>
  <c r="Q125" i="2"/>
  <c r="Q127" i="2"/>
  <c r="E129" i="2"/>
  <c r="E119" i="2"/>
  <c r="T114" i="2"/>
  <c r="M129" i="2"/>
  <c r="M119" i="2"/>
  <c r="T116" i="2"/>
  <c r="T118" i="2"/>
  <c r="T121" i="2"/>
  <c r="T123" i="2"/>
  <c r="T125" i="2"/>
  <c r="T127" i="2"/>
  <c r="F119" i="2"/>
  <c r="F129" i="2"/>
  <c r="N119" i="2"/>
  <c r="N129" i="2"/>
  <c r="J128" i="2"/>
  <c r="S120" i="2"/>
  <c r="R114" i="2"/>
  <c r="G129" i="2"/>
  <c r="G119" i="2"/>
  <c r="O129" i="2"/>
  <c r="O119" i="2"/>
  <c r="R116" i="2"/>
  <c r="R118" i="2"/>
  <c r="R121" i="2"/>
  <c r="R123" i="2"/>
  <c r="R125" i="2"/>
  <c r="R127" i="2"/>
  <c r="F101" i="2"/>
  <c r="F111" i="2"/>
  <c r="H111" i="2"/>
  <c r="H101" i="2"/>
  <c r="L110" i="2"/>
  <c r="I111" i="2"/>
  <c r="I101" i="2"/>
  <c r="E110" i="2"/>
  <c r="M110" i="2"/>
  <c r="N101" i="2"/>
  <c r="N111" i="2"/>
  <c r="D110" i="2"/>
  <c r="J101" i="2"/>
  <c r="J111" i="2"/>
  <c r="F110" i="2"/>
  <c r="N110" i="2"/>
  <c r="K111" i="2"/>
  <c r="K101" i="2"/>
  <c r="G110" i="2"/>
  <c r="D111" i="2"/>
  <c r="D101" i="2"/>
  <c r="H110" i="2"/>
  <c r="L111" i="2"/>
  <c r="L101" i="2"/>
  <c r="E111" i="2"/>
  <c r="E101" i="2"/>
  <c r="M111" i="2"/>
  <c r="M101" i="2"/>
  <c r="J110" i="2"/>
  <c r="G111" i="2"/>
  <c r="G101" i="2"/>
  <c r="O111" i="2"/>
  <c r="O101" i="2"/>
  <c r="I93" i="2"/>
  <c r="I83" i="2"/>
  <c r="T79" i="2"/>
  <c r="T81" i="2"/>
  <c r="E92" i="2"/>
  <c r="T84" i="2"/>
  <c r="M92" i="2"/>
  <c r="T86" i="2"/>
  <c r="T88" i="2"/>
  <c r="T90" i="2"/>
  <c r="H93" i="2"/>
  <c r="H83" i="2"/>
  <c r="J93" i="2"/>
  <c r="J83" i="2"/>
  <c r="S78" i="2"/>
  <c r="S80" i="2"/>
  <c r="S82" i="2"/>
  <c r="F92" i="2"/>
  <c r="N92" i="2"/>
  <c r="S85" i="2"/>
  <c r="S87" i="2"/>
  <c r="S89" i="2"/>
  <c r="S91" i="2"/>
  <c r="Q84" i="2"/>
  <c r="D92" i="2"/>
  <c r="K93" i="2"/>
  <c r="K83" i="2"/>
  <c r="R79" i="2"/>
  <c r="R81" i="2"/>
  <c r="G92" i="2"/>
  <c r="R84" i="2"/>
  <c r="R86" i="2"/>
  <c r="R88" i="2"/>
  <c r="R90" i="2"/>
  <c r="Q78" i="2"/>
  <c r="D83" i="2"/>
  <c r="D93" i="2"/>
  <c r="L83" i="2"/>
  <c r="L93" i="2"/>
  <c r="Q80" i="2"/>
  <c r="Q82" i="2"/>
  <c r="Q85" i="2"/>
  <c r="Q87" i="2"/>
  <c r="Q89" i="2"/>
  <c r="Q91" i="2"/>
  <c r="E93" i="2"/>
  <c r="E83" i="2"/>
  <c r="T78" i="2"/>
  <c r="M93" i="2"/>
  <c r="M83" i="2"/>
  <c r="F93" i="2"/>
  <c r="F83" i="2"/>
  <c r="N93" i="2"/>
  <c r="N83" i="2"/>
  <c r="J92" i="2"/>
  <c r="S84" i="2"/>
  <c r="R78" i="2"/>
  <c r="G93" i="2"/>
  <c r="G83" i="2"/>
  <c r="O93" i="2"/>
  <c r="O83" i="2"/>
  <c r="R85" i="2"/>
  <c r="R87" i="2"/>
  <c r="R89" i="2"/>
  <c r="R91" i="2"/>
  <c r="E38" i="2"/>
  <c r="I56" i="2"/>
  <c r="F38" i="2"/>
  <c r="N38" i="2"/>
  <c r="Q50" i="2"/>
  <c r="Q52" i="2"/>
  <c r="Q54" i="2"/>
  <c r="T62" i="2"/>
  <c r="T64" i="2"/>
  <c r="T69" i="2"/>
  <c r="T71" i="2"/>
  <c r="L38" i="2"/>
  <c r="H56" i="2"/>
  <c r="L74" i="2"/>
  <c r="T44" i="2"/>
  <c r="T46" i="2"/>
  <c r="S26" i="2"/>
  <c r="S28" i="2"/>
  <c r="S31" i="2"/>
  <c r="S33" i="2"/>
  <c r="S35" i="2"/>
  <c r="S37" i="2"/>
  <c r="S43" i="2"/>
  <c r="S45" i="2"/>
  <c r="S50" i="2"/>
  <c r="S52" i="2"/>
  <c r="S54" i="2"/>
  <c r="R25" i="2"/>
  <c r="R27" i="2"/>
  <c r="R32" i="2"/>
  <c r="R34" i="2"/>
  <c r="R36" i="2"/>
  <c r="R44" i="2"/>
  <c r="R46" i="2"/>
  <c r="R49" i="2"/>
  <c r="R51" i="2"/>
  <c r="R53" i="2"/>
  <c r="R55" i="2"/>
  <c r="T73" i="2"/>
  <c r="S61" i="2"/>
  <c r="S63" i="2"/>
  <c r="S68" i="2"/>
  <c r="S70" i="2"/>
  <c r="S72" i="2"/>
  <c r="R26" i="2"/>
  <c r="R28" i="2"/>
  <c r="K38" i="2"/>
  <c r="R31" i="2"/>
  <c r="R33" i="2"/>
  <c r="R35" i="2"/>
  <c r="R37" i="2"/>
  <c r="R62" i="2"/>
  <c r="R64" i="2"/>
  <c r="R67" i="2"/>
  <c r="R69" i="2"/>
  <c r="R71" i="2"/>
  <c r="R73" i="2"/>
  <c r="N75" i="2"/>
  <c r="N65" i="2"/>
  <c r="I75" i="2"/>
  <c r="I65" i="2"/>
  <c r="T61" i="2"/>
  <c r="T63" i="2"/>
  <c r="E74" i="2"/>
  <c r="T66" i="2"/>
  <c r="M74" i="2"/>
  <c r="T68" i="2"/>
  <c r="T70" i="2"/>
  <c r="T72" i="2"/>
  <c r="T60" i="2"/>
  <c r="M75" i="2"/>
  <c r="M65" i="2"/>
  <c r="H75" i="2"/>
  <c r="H65" i="2"/>
  <c r="Q66" i="2"/>
  <c r="D74" i="2"/>
  <c r="J65" i="2"/>
  <c r="S60" i="2"/>
  <c r="J75" i="2"/>
  <c r="S62" i="2"/>
  <c r="S64" i="2"/>
  <c r="F74" i="2"/>
  <c r="N74" i="2"/>
  <c r="S67" i="2"/>
  <c r="S69" i="2"/>
  <c r="S71" i="2"/>
  <c r="S73" i="2"/>
  <c r="J74" i="2"/>
  <c r="S66" i="2"/>
  <c r="K75" i="2"/>
  <c r="K65" i="2"/>
  <c r="G74" i="2"/>
  <c r="R66" i="2"/>
  <c r="R72" i="2"/>
  <c r="F75" i="2"/>
  <c r="F65" i="2"/>
  <c r="R60" i="2"/>
  <c r="G75" i="2"/>
  <c r="G65" i="2"/>
  <c r="R61" i="2"/>
  <c r="R63" i="2"/>
  <c r="R68" i="2"/>
  <c r="R70" i="2"/>
  <c r="Q60" i="2"/>
  <c r="D65" i="2"/>
  <c r="D75" i="2"/>
  <c r="L65" i="2"/>
  <c r="L75" i="2"/>
  <c r="Q62" i="2"/>
  <c r="Q64" i="2"/>
  <c r="H74" i="2"/>
  <c r="Q67" i="2"/>
  <c r="Q69" i="2"/>
  <c r="Q71" i="2"/>
  <c r="Q73" i="2"/>
  <c r="E75" i="2"/>
  <c r="E65" i="2"/>
  <c r="O75" i="2"/>
  <c r="O65" i="2"/>
  <c r="R42" i="2"/>
  <c r="G57" i="2"/>
  <c r="G47" i="2"/>
  <c r="H57" i="2"/>
  <c r="H47" i="2"/>
  <c r="D56" i="2"/>
  <c r="Q48" i="2"/>
  <c r="I57" i="2"/>
  <c r="I47" i="2"/>
  <c r="T43" i="2"/>
  <c r="T45" i="2"/>
  <c r="E56" i="2"/>
  <c r="T48" i="2"/>
  <c r="M56" i="2"/>
  <c r="T50" i="2"/>
  <c r="T52" i="2"/>
  <c r="T54" i="2"/>
  <c r="L57" i="2"/>
  <c r="L47" i="2"/>
  <c r="T42" i="2"/>
  <c r="M57" i="2"/>
  <c r="M47" i="2"/>
  <c r="F57" i="2"/>
  <c r="F47" i="2"/>
  <c r="N57" i="2"/>
  <c r="N47" i="2"/>
  <c r="J56" i="2"/>
  <c r="S48" i="2"/>
  <c r="L56" i="2"/>
  <c r="J47" i="2"/>
  <c r="S42" i="2"/>
  <c r="J57" i="2"/>
  <c r="S44" i="2"/>
  <c r="S46" i="2"/>
  <c r="F56" i="2"/>
  <c r="N56" i="2"/>
  <c r="S49" i="2"/>
  <c r="S51" i="2"/>
  <c r="S53" i="2"/>
  <c r="S55" i="2"/>
  <c r="E57" i="2"/>
  <c r="E47" i="2"/>
  <c r="O57" i="2"/>
  <c r="O47" i="2"/>
  <c r="K57" i="2"/>
  <c r="K47" i="2"/>
  <c r="R43" i="2"/>
  <c r="R45" i="2"/>
  <c r="G56" i="2"/>
  <c r="R48" i="2"/>
  <c r="R50" i="2"/>
  <c r="R52" i="2"/>
  <c r="R54" i="2"/>
  <c r="T49" i="2"/>
  <c r="T51" i="2"/>
  <c r="T53" i="2"/>
  <c r="T55" i="2"/>
  <c r="Q42" i="2"/>
  <c r="D57" i="2"/>
  <c r="D47" i="2"/>
  <c r="Q30" i="2"/>
  <c r="D38" i="2"/>
  <c r="I39" i="2"/>
  <c r="I29" i="2"/>
  <c r="T25" i="2"/>
  <c r="T27" i="2"/>
  <c r="T30" i="2"/>
  <c r="M38" i="2"/>
  <c r="T32" i="2"/>
  <c r="T34" i="2"/>
  <c r="T36" i="2"/>
  <c r="R24" i="2"/>
  <c r="G39" i="2"/>
  <c r="G29" i="2"/>
  <c r="G38" i="2"/>
  <c r="R30" i="2"/>
  <c r="H29" i="2"/>
  <c r="H39" i="2"/>
  <c r="J39" i="2"/>
  <c r="J29" i="2"/>
  <c r="S24" i="2"/>
  <c r="H38" i="2"/>
  <c r="O39" i="2"/>
  <c r="O29" i="2"/>
  <c r="D29" i="2"/>
  <c r="Q24" i="2"/>
  <c r="D39" i="2"/>
  <c r="E39" i="2"/>
  <c r="E29" i="2"/>
  <c r="T24" i="2"/>
  <c r="M39" i="2"/>
  <c r="M29" i="2"/>
  <c r="T26" i="2"/>
  <c r="T28" i="2"/>
  <c r="T31" i="2"/>
  <c r="T33" i="2"/>
  <c r="T35" i="2"/>
  <c r="T37" i="2"/>
  <c r="K39" i="2"/>
  <c r="K29" i="2"/>
  <c r="L29" i="2"/>
  <c r="L39" i="2"/>
  <c r="F39" i="2"/>
  <c r="F29" i="2"/>
  <c r="N39" i="2"/>
  <c r="N29" i="2"/>
  <c r="S25" i="2"/>
  <c r="S27" i="2"/>
  <c r="J38" i="2"/>
  <c r="S30" i="2"/>
  <c r="S32" i="2"/>
  <c r="S34" i="2"/>
  <c r="S36" i="2"/>
  <c r="O19" i="2" a="1"/>
  <c r="O19" i="2" s="1"/>
  <c r="N19" i="2" a="1"/>
  <c r="N19" i="2" s="1"/>
  <c r="M19" i="2" a="1"/>
  <c r="M19" i="2" s="1"/>
  <c r="L19" i="2" a="1"/>
  <c r="L19" i="2" s="1"/>
  <c r="K19" i="2" a="1"/>
  <c r="K19" i="2" s="1"/>
  <c r="J19" i="2" a="1"/>
  <c r="J19" i="2" s="1"/>
  <c r="I19" i="2" a="1"/>
  <c r="I19" i="2" s="1"/>
  <c r="H19" i="2" a="1"/>
  <c r="H19" i="2" s="1"/>
  <c r="G19" i="2" a="1"/>
  <c r="G19" i="2" s="1"/>
  <c r="F19" i="2" a="1"/>
  <c r="F19" i="2" s="1"/>
  <c r="E19" i="2" a="1"/>
  <c r="E19" i="2" s="1"/>
  <c r="O18" i="2" a="1"/>
  <c r="O18" i="2" s="1"/>
  <c r="N18" i="2" a="1"/>
  <c r="N18" i="2" s="1"/>
  <c r="M18" i="2" a="1"/>
  <c r="M18" i="2" s="1"/>
  <c r="L18" i="2" a="1"/>
  <c r="L18" i="2" s="1"/>
  <c r="K18" i="2" a="1"/>
  <c r="K18" i="2" s="1"/>
  <c r="J18" i="2" a="1"/>
  <c r="J18" i="2" s="1"/>
  <c r="I18" i="2" a="1"/>
  <c r="I18" i="2" s="1"/>
  <c r="H18" i="2" a="1"/>
  <c r="H18" i="2" s="1"/>
  <c r="G18" i="2" a="1"/>
  <c r="G18" i="2" s="1"/>
  <c r="F18" i="2" a="1"/>
  <c r="F18" i="2" s="1"/>
  <c r="E18" i="2" a="1"/>
  <c r="E18" i="2" s="1"/>
  <c r="O17" i="2" a="1"/>
  <c r="O17" i="2" s="1"/>
  <c r="N17" i="2" a="1"/>
  <c r="N17" i="2" s="1"/>
  <c r="M17" i="2" a="1"/>
  <c r="M17" i="2" s="1"/>
  <c r="L17" i="2" a="1"/>
  <c r="L17" i="2" s="1"/>
  <c r="K17" i="2" a="1"/>
  <c r="K17" i="2" s="1"/>
  <c r="J17" i="2" a="1"/>
  <c r="J17" i="2" s="1"/>
  <c r="I17" i="2" a="1"/>
  <c r="I17" i="2" s="1"/>
  <c r="H17" i="2" a="1"/>
  <c r="H17" i="2" s="1"/>
  <c r="G17" i="2" a="1"/>
  <c r="G17" i="2" s="1"/>
  <c r="F17" i="2" a="1"/>
  <c r="F17" i="2" s="1"/>
  <c r="E17" i="2" a="1"/>
  <c r="E17" i="2" s="1"/>
  <c r="O16" i="2" a="1"/>
  <c r="O16" i="2" s="1"/>
  <c r="N16" i="2" a="1"/>
  <c r="N16" i="2" s="1"/>
  <c r="M16" i="2" a="1"/>
  <c r="M16" i="2" s="1"/>
  <c r="L16" i="2" a="1"/>
  <c r="L16" i="2" s="1"/>
  <c r="K16" i="2" a="1"/>
  <c r="K16" i="2" s="1"/>
  <c r="J16" i="2" a="1"/>
  <c r="J16" i="2" s="1"/>
  <c r="I16" i="2" a="1"/>
  <c r="I16" i="2" s="1"/>
  <c r="H16" i="2" a="1"/>
  <c r="H16" i="2" s="1"/>
  <c r="G16" i="2" a="1"/>
  <c r="G16" i="2" s="1"/>
  <c r="F16" i="2" a="1"/>
  <c r="F16" i="2" s="1"/>
  <c r="E16" i="2" a="1"/>
  <c r="E16" i="2" s="1"/>
  <c r="O15" i="2" a="1"/>
  <c r="O15" i="2" s="1"/>
  <c r="N15" i="2" a="1"/>
  <c r="N15" i="2" s="1"/>
  <c r="M15" i="2" a="1"/>
  <c r="M15" i="2" s="1"/>
  <c r="L15" i="2" a="1"/>
  <c r="L15" i="2" s="1"/>
  <c r="K15" i="2" a="1"/>
  <c r="K15" i="2" s="1"/>
  <c r="J15" i="2" a="1"/>
  <c r="J15" i="2" s="1"/>
  <c r="I15" i="2" a="1"/>
  <c r="I15" i="2" s="1"/>
  <c r="H15" i="2" a="1"/>
  <c r="H15" i="2" s="1"/>
  <c r="G15" i="2" a="1"/>
  <c r="G15" i="2" s="1"/>
  <c r="F15" i="2" a="1"/>
  <c r="F15" i="2" s="1"/>
  <c r="E15" i="2" a="1"/>
  <c r="E15" i="2" s="1"/>
  <c r="O14" i="2" a="1"/>
  <c r="O14" i="2" s="1"/>
  <c r="N14" i="2" a="1"/>
  <c r="N14" i="2" s="1"/>
  <c r="M14" i="2" a="1"/>
  <c r="M14" i="2" s="1"/>
  <c r="L14" i="2" a="1"/>
  <c r="L14" i="2" s="1"/>
  <c r="K14" i="2" a="1"/>
  <c r="K14" i="2" s="1"/>
  <c r="J14" i="2" a="1"/>
  <c r="J14" i="2" s="1"/>
  <c r="I14" i="2" a="1"/>
  <c r="I14" i="2" s="1"/>
  <c r="H14" i="2" a="1"/>
  <c r="H14" i="2" s="1"/>
  <c r="G14" i="2" a="1"/>
  <c r="G14" i="2" s="1"/>
  <c r="F14" i="2" a="1"/>
  <c r="F14" i="2" s="1"/>
  <c r="E14" i="2" a="1"/>
  <c r="E14" i="2" s="1"/>
  <c r="O13" i="2" a="1"/>
  <c r="O13" i="2" s="1"/>
  <c r="N13" i="2" a="1"/>
  <c r="N13" i="2" s="1"/>
  <c r="M13" i="2" a="1"/>
  <c r="M13" i="2" s="1"/>
  <c r="L13" i="2" a="1"/>
  <c r="L13" i="2" s="1"/>
  <c r="K13" i="2" a="1"/>
  <c r="K13" i="2" s="1"/>
  <c r="J13" i="2" a="1"/>
  <c r="J13" i="2" s="1"/>
  <c r="I13" i="2" a="1"/>
  <c r="I13" i="2" s="1"/>
  <c r="H13" i="2" a="1"/>
  <c r="H13" i="2" s="1"/>
  <c r="G13" i="2" a="1"/>
  <c r="G13" i="2" s="1"/>
  <c r="F13" i="2" a="1"/>
  <c r="F13" i="2" s="1"/>
  <c r="E13" i="2" a="1"/>
  <c r="E13" i="2" s="1"/>
  <c r="O12" i="2" a="1"/>
  <c r="O12" i="2" s="1"/>
  <c r="N12" i="2" a="1"/>
  <c r="N12" i="2" s="1"/>
  <c r="M12" i="2" a="1"/>
  <c r="M12" i="2" s="1"/>
  <c r="L12" i="2" a="1"/>
  <c r="L12" i="2" s="1"/>
  <c r="K12" i="2" a="1"/>
  <c r="K12" i="2" s="1"/>
  <c r="J12" i="2" a="1"/>
  <c r="J12" i="2" s="1"/>
  <c r="I12" i="2" a="1"/>
  <c r="I12" i="2" s="1"/>
  <c r="H12" i="2" a="1"/>
  <c r="H12" i="2" s="1"/>
  <c r="G12" i="2" a="1"/>
  <c r="G12" i="2" s="1"/>
  <c r="F12" i="2" a="1"/>
  <c r="F12" i="2" s="1"/>
  <c r="E12" i="2" a="1"/>
  <c r="E12" i="2" s="1"/>
  <c r="O10" i="2" a="1"/>
  <c r="O10" i="2" s="1"/>
  <c r="N10" i="2" a="1"/>
  <c r="N10" i="2" s="1"/>
  <c r="M10" i="2" a="1"/>
  <c r="M10" i="2" s="1"/>
  <c r="L10" i="2" a="1"/>
  <c r="L10" i="2" s="1"/>
  <c r="K10" i="2" a="1"/>
  <c r="K10" i="2" s="1"/>
  <c r="J10" i="2" a="1"/>
  <c r="J10" i="2" s="1"/>
  <c r="I10" i="2" a="1"/>
  <c r="I10" i="2" s="1"/>
  <c r="H10" i="2" a="1"/>
  <c r="H10" i="2" s="1"/>
  <c r="G10" i="2" a="1"/>
  <c r="G10" i="2" s="1"/>
  <c r="O9" i="2" a="1"/>
  <c r="O9" i="2" s="1"/>
  <c r="N9" i="2" a="1"/>
  <c r="N9" i="2" s="1"/>
  <c r="M9" i="2" a="1"/>
  <c r="M9" i="2" s="1"/>
  <c r="L9" i="2" a="1"/>
  <c r="L9" i="2" s="1"/>
  <c r="K9" i="2" a="1"/>
  <c r="K9" i="2" s="1"/>
  <c r="J9" i="2" a="1"/>
  <c r="J9" i="2" s="1"/>
  <c r="I9" i="2" a="1"/>
  <c r="I9" i="2" s="1"/>
  <c r="H9" i="2" a="1"/>
  <c r="H9" i="2" s="1"/>
  <c r="G9" i="2" a="1"/>
  <c r="G9" i="2" s="1"/>
  <c r="O8" i="2" a="1"/>
  <c r="O8" i="2" s="1"/>
  <c r="N8" i="2" a="1"/>
  <c r="N8" i="2" s="1"/>
  <c r="M8" i="2" a="1"/>
  <c r="M8" i="2" s="1"/>
  <c r="L8" i="2" a="1"/>
  <c r="L8" i="2" s="1"/>
  <c r="K8" i="2" a="1"/>
  <c r="K8" i="2" s="1"/>
  <c r="J8" i="2" a="1"/>
  <c r="J8" i="2" s="1"/>
  <c r="I8" i="2" a="1"/>
  <c r="I8" i="2" s="1"/>
  <c r="H8" i="2" a="1"/>
  <c r="H8" i="2" s="1"/>
  <c r="G8" i="2" a="1"/>
  <c r="G8" i="2" s="1"/>
  <c r="O7" i="2" a="1"/>
  <c r="O7" i="2" s="1"/>
  <c r="N7" i="2" a="1"/>
  <c r="N7" i="2" s="1"/>
  <c r="M7" i="2" a="1"/>
  <c r="M7" i="2" s="1"/>
  <c r="L7" i="2" a="1"/>
  <c r="L7" i="2" s="1"/>
  <c r="K7" i="2" a="1"/>
  <c r="K7" i="2" s="1"/>
  <c r="J7" i="2" a="1"/>
  <c r="J7" i="2" s="1"/>
  <c r="I7" i="2" a="1"/>
  <c r="I7" i="2" s="1"/>
  <c r="H7" i="2" a="1"/>
  <c r="H7" i="2" s="1"/>
  <c r="G7" i="2" a="1"/>
  <c r="G7" i="2" s="1"/>
  <c r="O6" i="2" a="1"/>
  <c r="O6" i="2" s="1"/>
  <c r="N6" i="2" a="1"/>
  <c r="N6" i="2" s="1"/>
  <c r="M6" i="2" a="1"/>
  <c r="M6" i="2" s="1"/>
  <c r="L6" i="2" a="1"/>
  <c r="L6" i="2" s="1"/>
  <c r="K6" i="2" a="1"/>
  <c r="K6" i="2" s="1"/>
  <c r="J6" i="2" a="1"/>
  <c r="J6" i="2" s="1"/>
  <c r="I6" i="2" a="1"/>
  <c r="I6" i="2" s="1"/>
  <c r="H6" i="2" a="1"/>
  <c r="H6" i="2" s="1"/>
  <c r="G6" i="2" a="1"/>
  <c r="G6" i="2" s="1"/>
  <c r="F10" i="2" a="1"/>
  <c r="F10" i="2" s="1"/>
  <c r="F9" i="2" a="1"/>
  <c r="F9" i="2" s="1"/>
  <c r="F8" i="2" a="1"/>
  <c r="F8" i="2" s="1"/>
  <c r="F7" i="2" a="1"/>
  <c r="F7" i="2" s="1"/>
  <c r="F6" i="2" a="1"/>
  <c r="F6" i="2" s="1"/>
  <c r="E10" i="2" a="1"/>
  <c r="E10" i="2" s="1"/>
  <c r="E9" i="2" a="1"/>
  <c r="E9" i="2" s="1"/>
  <c r="E8" i="2" a="1"/>
  <c r="E8" i="2" s="1"/>
  <c r="E7" i="2" a="1"/>
  <c r="E7" i="2" s="1"/>
  <c r="E6" i="2" a="1"/>
  <c r="E6" i="2" s="1"/>
  <c r="D19" i="2" a="1"/>
  <c r="D19" i="2" s="1"/>
  <c r="D18" i="2" a="1"/>
  <c r="D18" i="2" s="1"/>
  <c r="D17" i="2" a="1"/>
  <c r="D17" i="2" s="1"/>
  <c r="D16" i="2" a="1"/>
  <c r="D16" i="2" s="1"/>
  <c r="D15" i="2" a="1"/>
  <c r="D15" i="2" s="1"/>
  <c r="D14" i="2" a="1"/>
  <c r="D14" i="2" s="1"/>
  <c r="D13" i="2" a="1"/>
  <c r="D13" i="2" s="1"/>
  <c r="D12" i="2" a="1"/>
  <c r="D12" i="2" s="1"/>
  <c r="D10" i="2" a="1"/>
  <c r="D10" i="2" s="1"/>
  <c r="D9" i="2" a="1"/>
  <c r="D9" i="2" s="1"/>
  <c r="D8" i="2" a="1"/>
  <c r="D8" i="2" s="1"/>
  <c r="D7" i="2" a="1"/>
  <c r="D7" i="2" s="1"/>
  <c r="D6" i="2" a="1"/>
  <c r="D6" i="2" s="1"/>
  <c r="D359" i="4" l="1"/>
  <c r="D272" i="4"/>
  <c r="D247" i="4"/>
  <c r="D407" i="4"/>
  <c r="D551" i="4"/>
  <c r="D529" i="4"/>
  <c r="D449" i="4"/>
  <c r="D583" i="4"/>
  <c r="D657" i="4"/>
  <c r="D224" i="4"/>
  <c r="D833" i="4"/>
  <c r="D919" i="4"/>
  <c r="D897" i="4"/>
  <c r="D816" i="4"/>
  <c r="D855" i="4"/>
  <c r="D1201" i="4"/>
  <c r="D1041" i="4"/>
  <c r="D130" i="4"/>
  <c r="D369" i="4"/>
  <c r="D215" i="4"/>
  <c r="D257" i="4"/>
  <c r="D448" i="4"/>
  <c r="D417" i="4"/>
  <c r="D561" i="4"/>
  <c r="D471" i="4"/>
  <c r="D615" i="4"/>
  <c r="D688" i="4"/>
  <c r="D727" i="4"/>
  <c r="D608" i="4"/>
  <c r="D929" i="4"/>
  <c r="D784" i="4"/>
  <c r="D865" i="4"/>
  <c r="D1207" i="4"/>
  <c r="D1191" i="4"/>
  <c r="D1127" i="4"/>
  <c r="D1111" i="4"/>
  <c r="D1200" i="4"/>
  <c r="D912" i="4"/>
  <c r="D1152" i="4"/>
  <c r="D384" i="4"/>
  <c r="D960" i="4"/>
  <c r="D231" i="4"/>
  <c r="D225" i="4"/>
  <c r="D295" i="4"/>
  <c r="D279" i="4"/>
  <c r="D497" i="4"/>
  <c r="D423" i="4"/>
  <c r="D481" i="4"/>
  <c r="D759" i="4"/>
  <c r="D656" i="4"/>
  <c r="D625" i="4"/>
  <c r="D689" i="4"/>
  <c r="D737" i="4"/>
  <c r="D320" i="4"/>
  <c r="D1217" i="4"/>
  <c r="D1073" i="4"/>
  <c r="D1175" i="4"/>
  <c r="D1031" i="4"/>
  <c r="D1121" i="4"/>
  <c r="D1105" i="4"/>
  <c r="D1072" i="4"/>
  <c r="D896" i="4"/>
  <c r="D848" i="4"/>
  <c r="D1168" i="4"/>
  <c r="D184" i="4"/>
  <c r="D241" i="4"/>
  <c r="D209" i="4"/>
  <c r="D305" i="4"/>
  <c r="D289" i="4"/>
  <c r="D433" i="4"/>
  <c r="D769" i="4"/>
  <c r="D720" i="4"/>
  <c r="D880" i="4"/>
  <c r="D791" i="4"/>
  <c r="D913" i="4"/>
  <c r="D928" i="4"/>
  <c r="D1079" i="4"/>
  <c r="D1063" i="4"/>
  <c r="D1185" i="4"/>
  <c r="D1104" i="4"/>
  <c r="D1095" i="4"/>
  <c r="D1056" i="4"/>
  <c r="D704" i="4"/>
  <c r="D768" i="4"/>
  <c r="D337" i="4"/>
  <c r="D273" i="4"/>
  <c r="D208" i="4"/>
  <c r="D503" i="4"/>
  <c r="D487" i="4"/>
  <c r="D535" i="4"/>
  <c r="D544" i="4"/>
  <c r="D400" i="4"/>
  <c r="D599" i="4"/>
  <c r="D679" i="4"/>
  <c r="D663" i="4"/>
  <c r="D464" i="4"/>
  <c r="D935" i="4"/>
  <c r="D801" i="4"/>
  <c r="D903" i="4"/>
  <c r="D832" i="4"/>
  <c r="D871" i="4"/>
  <c r="D1089" i="4"/>
  <c r="D1088" i="4"/>
  <c r="D288" i="4"/>
  <c r="D304" i="4"/>
  <c r="D327" i="4"/>
  <c r="D199" i="4"/>
  <c r="D263" i="4"/>
  <c r="D513" i="4"/>
  <c r="D528" i="4"/>
  <c r="D545" i="4"/>
  <c r="D455" i="4"/>
  <c r="D609" i="4"/>
  <c r="D721" i="4"/>
  <c r="D640" i="4"/>
  <c r="D592" i="4"/>
  <c r="D673" i="4"/>
  <c r="D336" i="4"/>
  <c r="D368" i="4"/>
  <c r="D951" i="4"/>
  <c r="D945" i="4"/>
  <c r="D785" i="4"/>
  <c r="D881" i="4"/>
  <c r="D800" i="4"/>
  <c r="D1047" i="4"/>
  <c r="D1143" i="4"/>
  <c r="D1184" i="4"/>
  <c r="D672" i="4"/>
  <c r="D1216" i="4"/>
  <c r="D311" i="4"/>
  <c r="D343" i="4"/>
  <c r="D375" i="4"/>
  <c r="D352" i="4"/>
  <c r="D391" i="4"/>
  <c r="D567" i="4"/>
  <c r="D560" i="4"/>
  <c r="D416" i="4"/>
  <c r="D465" i="4"/>
  <c r="D711" i="4"/>
  <c r="D631" i="4"/>
  <c r="D695" i="4"/>
  <c r="D752" i="4"/>
  <c r="D743" i="4"/>
  <c r="D240" i="4"/>
  <c r="D961" i="4"/>
  <c r="D807" i="4"/>
  <c r="D775" i="4"/>
  <c r="D839" i="4"/>
  <c r="D1057" i="4"/>
  <c r="D1169" i="4"/>
  <c r="D1153" i="4"/>
  <c r="D1040" i="4"/>
  <c r="D512" i="4"/>
  <c r="D864" i="4"/>
  <c r="D321" i="4"/>
  <c r="D353" i="4"/>
  <c r="D385" i="4"/>
  <c r="D256" i="4"/>
  <c r="D401" i="4"/>
  <c r="D577" i="4"/>
  <c r="D432" i="4"/>
  <c r="D496" i="4"/>
  <c r="D519" i="4"/>
  <c r="D439" i="4"/>
  <c r="D593" i="4"/>
  <c r="D641" i="4"/>
  <c r="D705" i="4"/>
  <c r="D624" i="4"/>
  <c r="D647" i="4"/>
  <c r="D736" i="4"/>
  <c r="D753" i="4"/>
  <c r="D480" i="4"/>
  <c r="D823" i="4"/>
  <c r="D817" i="4"/>
  <c r="D887" i="4"/>
  <c r="D944" i="4"/>
  <c r="D849" i="4"/>
  <c r="D1136" i="4"/>
  <c r="D1159" i="4"/>
  <c r="D1137" i="4"/>
  <c r="D1120" i="4"/>
  <c r="D576" i="4"/>
  <c r="D132" i="2"/>
  <c r="D2" i="4"/>
  <c r="D144" i="2"/>
  <c r="D14" i="4"/>
  <c r="F133" i="2"/>
  <c r="D35" i="4"/>
  <c r="K132" i="2"/>
  <c r="D114" i="4"/>
  <c r="J133" i="2"/>
  <c r="D99" i="4"/>
  <c r="I134" i="2"/>
  <c r="D84" i="4"/>
  <c r="H135" i="2"/>
  <c r="D69" i="4"/>
  <c r="G136" i="2"/>
  <c r="D54" i="4"/>
  <c r="O136" i="2"/>
  <c r="D182" i="4"/>
  <c r="L138" i="2"/>
  <c r="D136" i="4"/>
  <c r="I139" i="2"/>
  <c r="D89" i="4"/>
  <c r="F140" i="2"/>
  <c r="D42" i="4"/>
  <c r="N140" i="2"/>
  <c r="D170" i="4"/>
  <c r="K141" i="2"/>
  <c r="D123" i="4"/>
  <c r="H142" i="2"/>
  <c r="D76" i="4"/>
  <c r="E143" i="2"/>
  <c r="D29" i="4"/>
  <c r="M143" i="2"/>
  <c r="D157" i="4"/>
  <c r="J144" i="2"/>
  <c r="D110" i="4"/>
  <c r="G145" i="2"/>
  <c r="D63" i="4"/>
  <c r="O145" i="2"/>
  <c r="D191" i="4"/>
  <c r="D134" i="2"/>
  <c r="D4" i="4"/>
  <c r="D136" i="2"/>
  <c r="D6" i="4"/>
  <c r="D145" i="2"/>
  <c r="D15" i="4"/>
  <c r="F134" i="2"/>
  <c r="D36" i="4"/>
  <c r="K133" i="2"/>
  <c r="D115" i="4"/>
  <c r="J134" i="2"/>
  <c r="D100" i="4"/>
  <c r="I135" i="2"/>
  <c r="D85" i="4"/>
  <c r="H136" i="2"/>
  <c r="D70" i="4"/>
  <c r="E138" i="2"/>
  <c r="D24" i="4"/>
  <c r="M138" i="2"/>
  <c r="D152" i="4"/>
  <c r="J139" i="2"/>
  <c r="D105" i="4"/>
  <c r="G140" i="2"/>
  <c r="D58" i="4"/>
  <c r="O140" i="2"/>
  <c r="D186" i="4"/>
  <c r="L141" i="2"/>
  <c r="D139" i="4"/>
  <c r="I142" i="2"/>
  <c r="D92" i="4"/>
  <c r="F143" i="2"/>
  <c r="D45" i="4"/>
  <c r="N143" i="2"/>
  <c r="D173" i="4"/>
  <c r="K144" i="2"/>
  <c r="D126" i="4"/>
  <c r="H145" i="2"/>
  <c r="D79" i="4"/>
  <c r="D133" i="2"/>
  <c r="D3" i="4"/>
  <c r="D138" i="2"/>
  <c r="D8" i="4"/>
  <c r="E132" i="2"/>
  <c r="D18" i="4"/>
  <c r="F135" i="2"/>
  <c r="D37" i="4"/>
  <c r="M132" i="2"/>
  <c r="D146" i="4"/>
  <c r="L133" i="2"/>
  <c r="D131" i="4"/>
  <c r="K134" i="2"/>
  <c r="D116" i="4"/>
  <c r="J135" i="2"/>
  <c r="D101" i="4"/>
  <c r="I136" i="2"/>
  <c r="D86" i="4"/>
  <c r="F138" i="2"/>
  <c r="D40" i="4"/>
  <c r="N138" i="2"/>
  <c r="D168" i="4"/>
  <c r="K139" i="2"/>
  <c r="D121" i="4"/>
  <c r="H140" i="2"/>
  <c r="D74" i="4"/>
  <c r="E141" i="2"/>
  <c r="D27" i="4"/>
  <c r="M141" i="2"/>
  <c r="D155" i="4"/>
  <c r="J142" i="2"/>
  <c r="D108" i="4"/>
  <c r="G143" i="2"/>
  <c r="D61" i="4"/>
  <c r="O143" i="2"/>
  <c r="D189" i="4"/>
  <c r="L144" i="2"/>
  <c r="D142" i="4"/>
  <c r="I145" i="2"/>
  <c r="D95" i="4"/>
  <c r="D135" i="2"/>
  <c r="D5" i="4"/>
  <c r="D139" i="2"/>
  <c r="D9" i="4"/>
  <c r="E133" i="2"/>
  <c r="D19" i="4"/>
  <c r="F136" i="2"/>
  <c r="D38" i="4"/>
  <c r="N132" i="2"/>
  <c r="D162" i="4"/>
  <c r="M133" i="2"/>
  <c r="D147" i="4"/>
  <c r="L134" i="2"/>
  <c r="D132" i="4"/>
  <c r="K135" i="2"/>
  <c r="D117" i="4"/>
  <c r="J136" i="2"/>
  <c r="D102" i="4"/>
  <c r="G138" i="2"/>
  <c r="D56" i="4"/>
  <c r="L139" i="2"/>
  <c r="D137" i="4"/>
  <c r="I140" i="2"/>
  <c r="D90" i="4"/>
  <c r="F141" i="2"/>
  <c r="D43" i="4"/>
  <c r="N141" i="2"/>
  <c r="D171" i="4"/>
  <c r="K142" i="2"/>
  <c r="D124" i="4"/>
  <c r="H143" i="2"/>
  <c r="D77" i="4"/>
  <c r="E144" i="2"/>
  <c r="D30" i="4"/>
  <c r="M144" i="2"/>
  <c r="D158" i="4"/>
  <c r="J145" i="2"/>
  <c r="D111" i="4"/>
  <c r="D140" i="2"/>
  <c r="D10" i="4"/>
  <c r="E134" i="2"/>
  <c r="D20" i="4"/>
  <c r="G132" i="2"/>
  <c r="D50" i="4"/>
  <c r="O132" i="2"/>
  <c r="D178" i="4"/>
  <c r="N133" i="2"/>
  <c r="D163" i="4"/>
  <c r="M134" i="2"/>
  <c r="D148" i="4"/>
  <c r="L135" i="2"/>
  <c r="D133" i="4"/>
  <c r="K136" i="2"/>
  <c r="D118" i="4"/>
  <c r="H138" i="2"/>
  <c r="D72" i="4"/>
  <c r="E139" i="2"/>
  <c r="D25" i="4"/>
  <c r="M139" i="2"/>
  <c r="D153" i="4"/>
  <c r="J140" i="2"/>
  <c r="D106" i="4"/>
  <c r="G141" i="2"/>
  <c r="D59" i="4"/>
  <c r="O141" i="2"/>
  <c r="D187" i="4"/>
  <c r="L142" i="2"/>
  <c r="D140" i="4"/>
  <c r="I143" i="2"/>
  <c r="D93" i="4"/>
  <c r="F144" i="2"/>
  <c r="D46" i="4"/>
  <c r="N144" i="2"/>
  <c r="D174" i="4"/>
  <c r="K145" i="2"/>
  <c r="D127" i="4"/>
  <c r="D141" i="2"/>
  <c r="D11" i="4"/>
  <c r="E135" i="2"/>
  <c r="D21" i="4"/>
  <c r="H132" i="2"/>
  <c r="D66" i="4"/>
  <c r="G133" i="2"/>
  <c r="D51" i="4"/>
  <c r="O133" i="2"/>
  <c r="D179" i="4"/>
  <c r="N134" i="2"/>
  <c r="D164" i="4"/>
  <c r="M135" i="2"/>
  <c r="D149" i="4"/>
  <c r="L136" i="2"/>
  <c r="D134" i="4"/>
  <c r="I138" i="2"/>
  <c r="D88" i="4"/>
  <c r="F139" i="2"/>
  <c r="D41" i="4"/>
  <c r="N139" i="2"/>
  <c r="D169" i="4"/>
  <c r="K140" i="2"/>
  <c r="D122" i="4"/>
  <c r="H141" i="2"/>
  <c r="D75" i="4"/>
  <c r="E142" i="2"/>
  <c r="D28" i="4"/>
  <c r="M142" i="2"/>
  <c r="D156" i="4"/>
  <c r="J143" i="2"/>
  <c r="D109" i="4"/>
  <c r="G144" i="2"/>
  <c r="D62" i="4"/>
  <c r="O144" i="2"/>
  <c r="D190" i="4"/>
  <c r="L145" i="2"/>
  <c r="D143" i="4"/>
  <c r="D142" i="2"/>
  <c r="D12" i="4"/>
  <c r="E136" i="2"/>
  <c r="D22" i="4"/>
  <c r="I132" i="2"/>
  <c r="D82" i="4"/>
  <c r="H133" i="2"/>
  <c r="D67" i="4"/>
  <c r="G134" i="2"/>
  <c r="D52" i="4"/>
  <c r="O134" i="2"/>
  <c r="D180" i="4"/>
  <c r="N135" i="2"/>
  <c r="D165" i="4"/>
  <c r="M136" i="2"/>
  <c r="D150" i="4"/>
  <c r="J138" i="2"/>
  <c r="D104" i="4"/>
  <c r="G139" i="2"/>
  <c r="D57" i="4"/>
  <c r="O139" i="2"/>
  <c r="D185" i="4"/>
  <c r="L140" i="2"/>
  <c r="D138" i="4"/>
  <c r="I141" i="2"/>
  <c r="D91" i="4"/>
  <c r="F142" i="2"/>
  <c r="D44" i="4"/>
  <c r="N142" i="2"/>
  <c r="D172" i="4"/>
  <c r="K143" i="2"/>
  <c r="D125" i="4"/>
  <c r="H144" i="2"/>
  <c r="D78" i="4"/>
  <c r="E145" i="2"/>
  <c r="D31" i="4"/>
  <c r="M145" i="2"/>
  <c r="D159" i="4"/>
  <c r="D143" i="2"/>
  <c r="D13" i="4"/>
  <c r="F132" i="2"/>
  <c r="D34" i="4"/>
  <c r="J132" i="2"/>
  <c r="D98" i="4"/>
  <c r="I133" i="2"/>
  <c r="D83" i="4"/>
  <c r="H134" i="2"/>
  <c r="D68" i="4"/>
  <c r="G135" i="2"/>
  <c r="D53" i="4"/>
  <c r="O135" i="2"/>
  <c r="D181" i="4"/>
  <c r="N136" i="2"/>
  <c r="D166" i="4"/>
  <c r="K138" i="2"/>
  <c r="D120" i="4"/>
  <c r="H139" i="2"/>
  <c r="D73" i="4"/>
  <c r="E140" i="2"/>
  <c r="D26" i="4"/>
  <c r="M140" i="2"/>
  <c r="D154" i="4"/>
  <c r="J141" i="2"/>
  <c r="D107" i="4"/>
  <c r="G142" i="2"/>
  <c r="D60" i="4"/>
  <c r="O142" i="2"/>
  <c r="D188" i="4"/>
  <c r="L143" i="2"/>
  <c r="D141" i="4"/>
  <c r="I144" i="2"/>
  <c r="D94" i="4"/>
  <c r="F145" i="2"/>
  <c r="D47" i="4"/>
  <c r="N145" i="2"/>
  <c r="D175" i="4"/>
  <c r="O20" i="2"/>
  <c r="O138" i="2"/>
  <c r="Q38" i="2"/>
  <c r="L21" i="2"/>
  <c r="L132" i="2"/>
  <c r="S128" i="2"/>
  <c r="S92" i="2"/>
  <c r="T129" i="2"/>
  <c r="T119" i="2"/>
  <c r="R129" i="2"/>
  <c r="R119" i="2"/>
  <c r="T128" i="2"/>
  <c r="Q128" i="2"/>
  <c r="S129" i="2"/>
  <c r="S119" i="2"/>
  <c r="Q119" i="2"/>
  <c r="Q129" i="2"/>
  <c r="R128" i="2"/>
  <c r="Q92" i="2"/>
  <c r="R92" i="2"/>
  <c r="S93" i="2"/>
  <c r="S83" i="2"/>
  <c r="R93" i="2"/>
  <c r="R83" i="2"/>
  <c r="T93" i="2"/>
  <c r="T83" i="2"/>
  <c r="T92" i="2"/>
  <c r="Q93" i="2"/>
  <c r="Q83" i="2"/>
  <c r="Q56" i="2"/>
  <c r="R38" i="2"/>
  <c r="R56" i="2"/>
  <c r="R75" i="2"/>
  <c r="R65" i="2"/>
  <c r="S74" i="2"/>
  <c r="T74" i="2"/>
  <c r="Q75" i="2"/>
  <c r="Q65" i="2"/>
  <c r="S65" i="2"/>
  <c r="S75" i="2"/>
  <c r="T75" i="2"/>
  <c r="T65" i="2"/>
  <c r="R74" i="2"/>
  <c r="Q74" i="2"/>
  <c r="Q57" i="2"/>
  <c r="Q47" i="2"/>
  <c r="S47" i="2"/>
  <c r="S57" i="2"/>
  <c r="T56" i="2"/>
  <c r="S56" i="2"/>
  <c r="T57" i="2"/>
  <c r="T47" i="2"/>
  <c r="R57" i="2"/>
  <c r="R47" i="2"/>
  <c r="Q39" i="2"/>
  <c r="Q29" i="2"/>
  <c r="T38" i="2"/>
  <c r="S38" i="2"/>
  <c r="T39" i="2"/>
  <c r="T29" i="2"/>
  <c r="S39" i="2"/>
  <c r="S29" i="2"/>
  <c r="R39" i="2"/>
  <c r="R29" i="2"/>
  <c r="Q16" i="2"/>
  <c r="E20" i="2"/>
  <c r="M20" i="2"/>
  <c r="O21" i="2"/>
  <c r="I20" i="2"/>
  <c r="K20" i="2"/>
  <c r="F20" i="2"/>
  <c r="N20" i="2"/>
  <c r="N21" i="2"/>
  <c r="H20" i="2"/>
  <c r="D21" i="2"/>
  <c r="H21" i="2"/>
  <c r="E21" i="2"/>
  <c r="M21" i="2"/>
  <c r="G20" i="2"/>
  <c r="G21" i="2"/>
  <c r="I21" i="2"/>
  <c r="J20" i="2"/>
  <c r="F21" i="2"/>
  <c r="J21" i="2"/>
  <c r="K21" i="2"/>
  <c r="L20" i="2"/>
  <c r="Q9" i="2"/>
  <c r="S8" i="2"/>
  <c r="Q10" i="2"/>
  <c r="Q15" i="2"/>
  <c r="Q18" i="2"/>
  <c r="S13" i="2"/>
  <c r="R14" i="2"/>
  <c r="Q13" i="2"/>
  <c r="T18" i="2"/>
  <c r="S9" i="2"/>
  <c r="Q8" i="2"/>
  <c r="Q17" i="2"/>
  <c r="S7" i="2"/>
  <c r="R10" i="2"/>
  <c r="T17" i="2"/>
  <c r="R19" i="2"/>
  <c r="T15" i="2"/>
  <c r="S16" i="2"/>
  <c r="R17" i="2"/>
  <c r="T7" i="2"/>
  <c r="S10" i="2"/>
  <c r="R12" i="2"/>
  <c r="D20" i="2"/>
  <c r="Q12" i="2"/>
  <c r="Q14" i="2"/>
  <c r="O11" i="2"/>
  <c r="T8" i="2"/>
  <c r="T13" i="2"/>
  <c r="S14" i="2"/>
  <c r="R15" i="2"/>
  <c r="S19" i="2"/>
  <c r="R7" i="2"/>
  <c r="T9" i="2"/>
  <c r="T16" i="2"/>
  <c r="S17" i="2"/>
  <c r="R18" i="2"/>
  <c r="Q7" i="2"/>
  <c r="R8" i="2"/>
  <c r="T10" i="2"/>
  <c r="S12" i="2"/>
  <c r="R13" i="2"/>
  <c r="R9" i="2"/>
  <c r="T14" i="2"/>
  <c r="S15" i="2"/>
  <c r="R16" i="2"/>
  <c r="T19" i="2"/>
  <c r="S18" i="2"/>
  <c r="Q19" i="2"/>
  <c r="T12" i="2"/>
  <c r="I11" i="2"/>
  <c r="Q6" i="2"/>
  <c r="D11" i="2"/>
  <c r="F11" i="2"/>
  <c r="S6" i="2"/>
  <c r="J11" i="2"/>
  <c r="K11" i="2"/>
  <c r="L11" i="2"/>
  <c r="E11" i="2"/>
  <c r="T6" i="2"/>
  <c r="M11" i="2"/>
  <c r="N11" i="2"/>
  <c r="R6" i="2"/>
  <c r="G11" i="2"/>
  <c r="H11" i="2"/>
  <c r="V1690" i="1"/>
  <c r="V1689" i="1"/>
  <c r="V1688" i="1"/>
  <c r="V1687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U1690" i="1"/>
  <c r="L1690" i="1"/>
  <c r="U1689" i="1"/>
  <c r="L1689" i="1"/>
  <c r="U1688" i="1"/>
  <c r="L1688" i="1"/>
  <c r="U1687" i="1"/>
  <c r="L1687" i="1"/>
  <c r="U1634" i="1"/>
  <c r="L1634" i="1"/>
  <c r="U1633" i="1"/>
  <c r="L1633" i="1"/>
  <c r="U1632" i="1"/>
  <c r="L1632" i="1"/>
  <c r="U1631" i="1"/>
  <c r="L1631" i="1"/>
  <c r="U1630" i="1"/>
  <c r="L1630" i="1"/>
  <c r="U1629" i="1"/>
  <c r="L1629" i="1"/>
  <c r="U1628" i="1"/>
  <c r="L1628" i="1"/>
  <c r="U1627" i="1"/>
  <c r="L1627" i="1"/>
  <c r="U1626" i="1"/>
  <c r="L1626" i="1"/>
  <c r="U1625" i="1"/>
  <c r="L1625" i="1"/>
  <c r="U1624" i="1"/>
  <c r="L1624" i="1"/>
  <c r="U1623" i="1"/>
  <c r="L1623" i="1"/>
  <c r="U1622" i="1"/>
  <c r="L1622" i="1"/>
  <c r="U1621" i="1"/>
  <c r="L1621" i="1"/>
  <c r="U1620" i="1"/>
  <c r="L1620" i="1"/>
  <c r="U1619" i="1"/>
  <c r="L1619" i="1"/>
  <c r="U1618" i="1"/>
  <c r="L1618" i="1"/>
  <c r="U1617" i="1"/>
  <c r="L1617" i="1"/>
  <c r="U1616" i="1"/>
  <c r="L1616" i="1"/>
  <c r="U1615" i="1"/>
  <c r="L1615" i="1"/>
  <c r="U1614" i="1"/>
  <c r="L1614" i="1"/>
  <c r="U1613" i="1"/>
  <c r="L1613" i="1"/>
  <c r="U1612" i="1"/>
  <c r="L1612" i="1"/>
  <c r="U1611" i="1"/>
  <c r="L1611" i="1"/>
  <c r="U1610" i="1"/>
  <c r="L1610" i="1"/>
  <c r="U1609" i="1"/>
  <c r="L1609" i="1"/>
  <c r="U1608" i="1"/>
  <c r="L1608" i="1"/>
  <c r="U1607" i="1"/>
  <c r="L1607" i="1"/>
  <c r="U1606" i="1"/>
  <c r="L1606" i="1"/>
  <c r="U1605" i="1"/>
  <c r="L1605" i="1"/>
  <c r="U1604" i="1"/>
  <c r="L1604" i="1"/>
  <c r="U1603" i="1"/>
  <c r="L1603" i="1"/>
  <c r="U1602" i="1"/>
  <c r="L1602" i="1"/>
  <c r="U1601" i="1"/>
  <c r="L1601" i="1"/>
  <c r="U1600" i="1"/>
  <c r="L1600" i="1"/>
  <c r="U1599" i="1"/>
  <c r="L1599" i="1"/>
  <c r="U1598" i="1"/>
  <c r="L1598" i="1"/>
  <c r="U1597" i="1"/>
  <c r="L1597" i="1"/>
  <c r="U1596" i="1"/>
  <c r="L1596" i="1"/>
  <c r="U1595" i="1"/>
  <c r="L1595" i="1"/>
  <c r="U1594" i="1"/>
  <c r="L1594" i="1"/>
  <c r="U1593" i="1"/>
  <c r="L1593" i="1"/>
  <c r="U1592" i="1"/>
  <c r="L1592" i="1"/>
  <c r="U1591" i="1"/>
  <c r="L1591" i="1"/>
  <c r="U1590" i="1"/>
  <c r="L1590" i="1"/>
  <c r="U1589" i="1"/>
  <c r="L1589" i="1"/>
  <c r="U1588" i="1"/>
  <c r="L1588" i="1"/>
  <c r="U1587" i="1"/>
  <c r="L1587" i="1"/>
  <c r="U1586" i="1"/>
  <c r="L1586" i="1"/>
  <c r="U1585" i="1"/>
  <c r="L1585" i="1"/>
  <c r="U1584" i="1"/>
  <c r="L1584" i="1"/>
  <c r="U1583" i="1"/>
  <c r="L1583" i="1"/>
  <c r="U1581" i="1"/>
  <c r="L1581" i="1"/>
  <c r="U1580" i="1"/>
  <c r="L1580" i="1"/>
  <c r="U1579" i="1"/>
  <c r="L1579" i="1"/>
  <c r="U1578" i="1"/>
  <c r="L1578" i="1"/>
  <c r="U1577" i="1"/>
  <c r="L1577" i="1"/>
  <c r="U1576" i="1"/>
  <c r="L1576" i="1"/>
  <c r="U1575" i="1"/>
  <c r="L1575" i="1"/>
  <c r="U1574" i="1"/>
  <c r="L1574" i="1"/>
  <c r="U1573" i="1"/>
  <c r="L1573" i="1"/>
  <c r="U1572" i="1"/>
  <c r="L1572" i="1"/>
  <c r="U1571" i="1"/>
  <c r="L1571" i="1"/>
  <c r="U1570" i="1"/>
  <c r="L1570" i="1"/>
  <c r="U1569" i="1"/>
  <c r="L1569" i="1"/>
  <c r="U1568" i="1"/>
  <c r="L1568" i="1"/>
  <c r="U1567" i="1"/>
  <c r="L1567" i="1"/>
  <c r="U1566" i="1"/>
  <c r="L1566" i="1"/>
  <c r="U1565" i="1"/>
  <c r="L1565" i="1"/>
  <c r="U1564" i="1"/>
  <c r="L1564" i="1"/>
  <c r="U1563" i="1"/>
  <c r="L1563" i="1"/>
  <c r="U1562" i="1"/>
  <c r="L1562" i="1"/>
  <c r="U1561" i="1"/>
  <c r="L1561" i="1"/>
  <c r="U1560" i="1"/>
  <c r="L1560" i="1"/>
  <c r="U1559" i="1"/>
  <c r="L1559" i="1"/>
  <c r="U1558" i="1"/>
  <c r="L1558" i="1"/>
  <c r="U1557" i="1"/>
  <c r="L1557" i="1"/>
  <c r="U1556" i="1"/>
  <c r="L1556" i="1"/>
  <c r="U1555" i="1"/>
  <c r="L1555" i="1"/>
  <c r="U1554" i="1"/>
  <c r="L1554" i="1"/>
  <c r="U1553" i="1"/>
  <c r="L1553" i="1"/>
  <c r="U1552" i="1"/>
  <c r="L1552" i="1"/>
  <c r="U1551" i="1"/>
  <c r="L1551" i="1"/>
  <c r="U1582" i="1"/>
  <c r="L1582" i="1"/>
  <c r="U1550" i="1"/>
  <c r="L1550" i="1"/>
  <c r="U1549" i="1"/>
  <c r="L1549" i="1"/>
  <c r="U1548" i="1"/>
  <c r="L1548" i="1"/>
  <c r="U1547" i="1"/>
  <c r="L1547" i="1"/>
  <c r="U1546" i="1"/>
  <c r="L1546" i="1"/>
  <c r="U1545" i="1"/>
  <c r="L1545" i="1"/>
  <c r="U1544" i="1"/>
  <c r="L1544" i="1"/>
  <c r="U1543" i="1"/>
  <c r="L1543" i="1"/>
  <c r="U1542" i="1"/>
  <c r="L1542" i="1"/>
  <c r="U1541" i="1"/>
  <c r="L1541" i="1"/>
  <c r="U1540" i="1"/>
  <c r="L1540" i="1"/>
  <c r="U1539" i="1"/>
  <c r="L1539" i="1"/>
  <c r="U1538" i="1"/>
  <c r="L1538" i="1"/>
  <c r="U1537" i="1"/>
  <c r="L1537" i="1"/>
  <c r="U1535" i="1"/>
  <c r="L1535" i="1"/>
  <c r="U1534" i="1"/>
  <c r="L1534" i="1"/>
  <c r="U1533" i="1"/>
  <c r="L1533" i="1"/>
  <c r="U1532" i="1"/>
  <c r="L1532" i="1"/>
  <c r="U1531" i="1"/>
  <c r="L1531" i="1"/>
  <c r="U1530" i="1"/>
  <c r="L1530" i="1"/>
  <c r="U1529" i="1"/>
  <c r="L1529" i="1"/>
  <c r="U1528" i="1"/>
  <c r="L1528" i="1"/>
  <c r="D23" i="4" l="1"/>
  <c r="D65" i="4"/>
  <c r="D135" i="4"/>
  <c r="D64" i="4"/>
  <c r="D48" i="4"/>
  <c r="D1391" i="4"/>
  <c r="D1404" i="4"/>
  <c r="D1242" i="4"/>
  <c r="D1397" i="4"/>
  <c r="D1314" i="4"/>
  <c r="D1247" i="4"/>
  <c r="D1260" i="4"/>
  <c r="D1273" i="4"/>
  <c r="D1396" i="4"/>
  <c r="D1238" i="4"/>
  <c r="D1278" i="4"/>
  <c r="D1291" i="4"/>
  <c r="D1304" i="4"/>
  <c r="D1395" i="4"/>
  <c r="D1309" i="4"/>
  <c r="D1322" i="4"/>
  <c r="D1334" i="4"/>
  <c r="D1394" i="4"/>
  <c r="D1327" i="4"/>
  <c r="D1340" i="4"/>
  <c r="D1353" i="4"/>
  <c r="D1348" i="4"/>
  <c r="D1235" i="4"/>
  <c r="D1358" i="4"/>
  <c r="D1371" i="4"/>
  <c r="D1384" i="4"/>
  <c r="D1332" i="4"/>
  <c r="D1234" i="4"/>
  <c r="D1342" i="4"/>
  <c r="D1355" i="4"/>
  <c r="D1368" i="4"/>
  <c r="D1316" i="4"/>
  <c r="D1222" i="4"/>
  <c r="D1339" i="4"/>
  <c r="D1300" i="4"/>
  <c r="D128" i="4"/>
  <c r="D119" i="4"/>
  <c r="D33" i="4"/>
  <c r="D96" i="4"/>
  <c r="D1263" i="4"/>
  <c r="D1276" i="4"/>
  <c r="D1289" i="4"/>
  <c r="D1269" i="4"/>
  <c r="D1250" i="4"/>
  <c r="D1294" i="4"/>
  <c r="D1307" i="4"/>
  <c r="D1320" i="4"/>
  <c r="D1268" i="4"/>
  <c r="D1325" i="4"/>
  <c r="D1338" i="4"/>
  <c r="D1350" i="4"/>
  <c r="D1267" i="4"/>
  <c r="D1343" i="4"/>
  <c r="D1356" i="4"/>
  <c r="D1369" i="4"/>
  <c r="D1349" i="4"/>
  <c r="D1266" i="4"/>
  <c r="D1374" i="4"/>
  <c r="D1387" i="4"/>
  <c r="D1272" i="4"/>
  <c r="D1363" i="4"/>
  <c r="D1405" i="4"/>
  <c r="D1243" i="4"/>
  <c r="D1256" i="4"/>
  <c r="D1347" i="4"/>
  <c r="D1224" i="4"/>
  <c r="D1389" i="4"/>
  <c r="D1402" i="4"/>
  <c r="D1240" i="4"/>
  <c r="D1331" i="4"/>
  <c r="D1386" i="4"/>
  <c r="D1398" i="4"/>
  <c r="D1315" i="4"/>
  <c r="D55" i="4"/>
  <c r="D16" i="4"/>
  <c r="D113" i="4"/>
  <c r="D81" i="4"/>
  <c r="D193" i="4"/>
  <c r="D145" i="4"/>
  <c r="D87" i="4"/>
  <c r="D103" i="4"/>
  <c r="D167" i="4"/>
  <c r="D49" i="4"/>
  <c r="D17" i="4"/>
  <c r="D160" i="4"/>
  <c r="D1310" i="4"/>
  <c r="D1323" i="4"/>
  <c r="D1336" i="4"/>
  <c r="D1284" i="4"/>
  <c r="D1341" i="4"/>
  <c r="D1354" i="4"/>
  <c r="D1366" i="4"/>
  <c r="D1283" i="4"/>
  <c r="D1359" i="4"/>
  <c r="D1372" i="4"/>
  <c r="D1385" i="4"/>
  <c r="D1365" i="4"/>
  <c r="D1282" i="4"/>
  <c r="D1390" i="4"/>
  <c r="D1403" i="4"/>
  <c r="D1241" i="4"/>
  <c r="D1364" i="4"/>
  <c r="D1236" i="4"/>
  <c r="D1246" i="4"/>
  <c r="D1259" i="4"/>
  <c r="D1318" i="4"/>
  <c r="D1378" i="4"/>
  <c r="D1221" i="4"/>
  <c r="D1277" i="4"/>
  <c r="D1290" i="4"/>
  <c r="D1302" i="4"/>
  <c r="D1261" i="4"/>
  <c r="D1274" i="4"/>
  <c r="D1286" i="4"/>
  <c r="D1252" i="4"/>
  <c r="D1407" i="4"/>
  <c r="D1245" i="4"/>
  <c r="D1258" i="4"/>
  <c r="D1270" i="4"/>
  <c r="D1330" i="4"/>
  <c r="D161" i="4"/>
  <c r="D129" i="4"/>
  <c r="D39" i="4"/>
  <c r="D151" i="4"/>
  <c r="D7" i="4"/>
  <c r="D112" i="4"/>
  <c r="D80" i="4"/>
  <c r="D32" i="4"/>
  <c r="D183" i="4"/>
  <c r="D176" i="4"/>
  <c r="D71" i="4"/>
  <c r="D144" i="4"/>
  <c r="D97" i="4"/>
  <c r="D177" i="4"/>
  <c r="D192" i="4"/>
  <c r="D1357" i="4"/>
  <c r="D1370" i="4"/>
  <c r="D1382" i="4"/>
  <c r="D1299" i="4"/>
  <c r="D1375" i="4"/>
  <c r="D1388" i="4"/>
  <c r="D1401" i="4"/>
  <c r="D1381" i="4"/>
  <c r="D1298" i="4"/>
  <c r="D1406" i="4"/>
  <c r="D1244" i="4"/>
  <c r="D1257" i="4"/>
  <c r="D1380" i="4"/>
  <c r="D1237" i="4"/>
  <c r="D1262" i="4"/>
  <c r="D1275" i="4"/>
  <c r="D1288" i="4"/>
  <c r="D1379" i="4"/>
  <c r="D1226" i="4"/>
  <c r="D1293" i="4"/>
  <c r="D1306" i="4"/>
  <c r="D1333" i="4"/>
  <c r="D1254" i="4"/>
  <c r="D1311" i="4"/>
  <c r="D1324" i="4"/>
  <c r="D1337" i="4"/>
  <c r="D1317" i="4"/>
  <c r="D1253" i="4"/>
  <c r="D1295" i="4"/>
  <c r="D1308" i="4"/>
  <c r="D1321" i="4"/>
  <c r="D1301" i="4"/>
  <c r="D1279" i="4"/>
  <c r="D1292" i="4"/>
  <c r="D1305" i="4"/>
  <c r="D1285" i="4"/>
  <c r="D1251" i="4"/>
  <c r="R136" i="2"/>
  <c r="T141" i="2"/>
  <c r="Q138" i="2"/>
  <c r="E147" i="2"/>
  <c r="O137" i="2"/>
  <c r="T134" i="2"/>
  <c r="Q140" i="2"/>
  <c r="D147" i="2"/>
  <c r="J147" i="2"/>
  <c r="F146" i="2"/>
  <c r="R139" i="2"/>
  <c r="R144" i="2"/>
  <c r="J146" i="2"/>
  <c r="R135" i="2"/>
  <c r="R141" i="2"/>
  <c r="S139" i="2"/>
  <c r="M137" i="2"/>
  <c r="R140" i="2"/>
  <c r="K147" i="2"/>
  <c r="S138" i="2"/>
  <c r="T133" i="2"/>
  <c r="S140" i="2"/>
  <c r="S133" i="2"/>
  <c r="K137" i="2"/>
  <c r="R138" i="2"/>
  <c r="S134" i="2"/>
  <c r="Q136" i="2"/>
  <c r="D137" i="2"/>
  <c r="I146" i="2"/>
  <c r="R143" i="2"/>
  <c r="Q135" i="2"/>
  <c r="Q142" i="2"/>
  <c r="D1228" i="4"/>
  <c r="N137" i="2"/>
  <c r="J137" i="2"/>
  <c r="K146" i="2"/>
  <c r="O146" i="2"/>
  <c r="D1400" i="4"/>
  <c r="S135" i="2"/>
  <c r="F137" i="2"/>
  <c r="H137" i="2"/>
  <c r="N147" i="2"/>
  <c r="E146" i="2"/>
  <c r="G147" i="2"/>
  <c r="T142" i="2"/>
  <c r="H146" i="2"/>
  <c r="Q143" i="2"/>
  <c r="D1229" i="4"/>
  <c r="M147" i="2"/>
  <c r="D1362" i="4"/>
  <c r="Q133" i="2"/>
  <c r="D1219" i="4"/>
  <c r="I137" i="2"/>
  <c r="M146" i="2"/>
  <c r="H147" i="2"/>
  <c r="T136" i="2"/>
  <c r="D146" i="2"/>
  <c r="S136" i="2"/>
  <c r="T139" i="2"/>
  <c r="N146" i="2"/>
  <c r="Q145" i="2"/>
  <c r="D1231" i="4"/>
  <c r="R145" i="2"/>
  <c r="G137" i="2"/>
  <c r="T135" i="2"/>
  <c r="T132" i="2"/>
  <c r="S143" i="2"/>
  <c r="T145" i="2"/>
  <c r="S142" i="2"/>
  <c r="R132" i="2"/>
  <c r="T144" i="2"/>
  <c r="T140" i="2"/>
  <c r="F147" i="2"/>
  <c r="R133" i="2"/>
  <c r="R142" i="2"/>
  <c r="G146" i="2"/>
  <c r="Q141" i="2"/>
  <c r="D1227" i="4"/>
  <c r="S144" i="2"/>
  <c r="D1326" i="4"/>
  <c r="L146" i="2"/>
  <c r="D1352" i="4"/>
  <c r="Q144" i="2"/>
  <c r="D1230" i="4"/>
  <c r="S132" i="2"/>
  <c r="D1346" i="4"/>
  <c r="R134" i="2"/>
  <c r="E137" i="2"/>
  <c r="S145" i="2"/>
  <c r="S141" i="2"/>
  <c r="I147" i="2"/>
  <c r="Q139" i="2"/>
  <c r="D1225" i="4"/>
  <c r="Q134" i="2"/>
  <c r="D1220" i="4"/>
  <c r="T143" i="2"/>
  <c r="D1373" i="4"/>
  <c r="Q132" i="2"/>
  <c r="D1218" i="4"/>
  <c r="O147" i="2"/>
  <c r="T138" i="2"/>
  <c r="L147" i="2"/>
  <c r="L137" i="2"/>
  <c r="S20" i="2"/>
  <c r="T21" i="2"/>
  <c r="R21" i="2"/>
  <c r="S21" i="2"/>
  <c r="R20" i="2"/>
  <c r="Q21" i="2"/>
  <c r="T20" i="2"/>
  <c r="Q20" i="2"/>
  <c r="S11" i="2"/>
  <c r="T11" i="2"/>
  <c r="Q11" i="2"/>
  <c r="R11" i="2"/>
  <c r="U1536" i="1"/>
  <c r="V1536" i="1"/>
  <c r="L1536" i="1"/>
  <c r="D1345" i="4" l="1"/>
  <c r="D1360" i="4"/>
  <c r="D1232" i="4"/>
  <c r="D1287" i="4"/>
  <c r="D1239" i="4"/>
  <c r="D1271" i="4"/>
  <c r="D1233" i="4"/>
  <c r="D1351" i="4"/>
  <c r="D1297" i="4"/>
  <c r="D1361" i="4"/>
  <c r="D1376" i="4"/>
  <c r="D1296" i="4"/>
  <c r="D1313" i="4"/>
  <c r="D1248" i="4"/>
  <c r="D1393" i="4"/>
  <c r="D1265" i="4"/>
  <c r="D1377" i="4"/>
  <c r="D1329" i="4"/>
  <c r="D1255" i="4"/>
  <c r="D1335" i="4"/>
  <c r="D1303" i="4"/>
  <c r="D1408" i="4"/>
  <c r="D1312" i="4"/>
  <c r="D1328" i="4"/>
  <c r="D1399" i="4"/>
  <c r="D1319" i="4"/>
  <c r="D1264" i="4"/>
  <c r="D1409" i="4"/>
  <c r="D1280" i="4"/>
  <c r="D1392" i="4"/>
  <c r="D1281" i="4"/>
  <c r="D1344" i="4"/>
  <c r="D1223" i="4"/>
  <c r="D1249" i="4"/>
  <c r="D1383" i="4"/>
  <c r="D1367" i="4"/>
  <c r="Q146" i="2"/>
  <c r="Q147" i="2"/>
  <c r="R137" i="2"/>
  <c r="S137" i="2"/>
  <c r="R146" i="2"/>
  <c r="S147" i="2"/>
  <c r="T137" i="2"/>
  <c r="S146" i="2"/>
  <c r="R147" i="2"/>
  <c r="T147" i="2"/>
  <c r="Q137" i="2"/>
  <c r="T146" i="2"/>
  <c r="U1525" i="1"/>
  <c r="L1525" i="1"/>
  <c r="U1524" i="1"/>
  <c r="L1524" i="1"/>
  <c r="U1523" i="1"/>
  <c r="L1523" i="1"/>
  <c r="U1522" i="1"/>
  <c r="L1522" i="1"/>
  <c r="U1521" i="1"/>
  <c r="L1521" i="1"/>
  <c r="U1520" i="1"/>
  <c r="L1520" i="1"/>
  <c r="U1519" i="1"/>
  <c r="L1519" i="1"/>
  <c r="U1518" i="1"/>
  <c r="L1518" i="1"/>
  <c r="U1517" i="1"/>
  <c r="L1517" i="1"/>
  <c r="U1516" i="1"/>
  <c r="L1516" i="1"/>
  <c r="U1515" i="1"/>
  <c r="L1515" i="1"/>
  <c r="U1514" i="1"/>
  <c r="L1514" i="1"/>
  <c r="U1513" i="1"/>
  <c r="L1513" i="1"/>
  <c r="U1512" i="1"/>
  <c r="L1512" i="1"/>
  <c r="U1511" i="1"/>
  <c r="L1511" i="1"/>
  <c r="U1526" i="1"/>
  <c r="L1526" i="1"/>
  <c r="U1510" i="1"/>
  <c r="L1510" i="1"/>
  <c r="U1509" i="1"/>
  <c r="L1509" i="1"/>
  <c r="U1508" i="1"/>
  <c r="L1508" i="1"/>
  <c r="U1507" i="1"/>
  <c r="L1507" i="1"/>
  <c r="U1506" i="1"/>
  <c r="L1506" i="1"/>
  <c r="U1505" i="1"/>
  <c r="L1505" i="1"/>
  <c r="U1504" i="1"/>
  <c r="L1504" i="1"/>
  <c r="U1502" i="1"/>
  <c r="L1502" i="1"/>
  <c r="U1501" i="1"/>
  <c r="L1501" i="1"/>
  <c r="U1500" i="1"/>
  <c r="L1500" i="1"/>
  <c r="U1527" i="1"/>
  <c r="U1503" i="1"/>
  <c r="U1499" i="1"/>
  <c r="U1498" i="1"/>
  <c r="U1497" i="1"/>
  <c r="L1527" i="1"/>
  <c r="L1503" i="1"/>
  <c r="L1499" i="1"/>
  <c r="L1498" i="1"/>
  <c r="L1497" i="1"/>
  <c r="L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U1496" i="1" l="1"/>
  <c r="V795" i="1" l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U764" i="1" l="1"/>
  <c r="V764" i="1"/>
  <c r="U765" i="1"/>
  <c r="V765" i="1"/>
  <c r="U766" i="1"/>
  <c r="V766" i="1"/>
  <c r="U767" i="1"/>
  <c r="V767" i="1"/>
  <c r="U768" i="1"/>
  <c r="V768" i="1"/>
  <c r="U769" i="1"/>
  <c r="V769" i="1"/>
  <c r="U770" i="1"/>
  <c r="V770" i="1"/>
  <c r="U771" i="1"/>
  <c r="V771" i="1"/>
  <c r="U772" i="1"/>
  <c r="V772" i="1"/>
  <c r="U773" i="1"/>
  <c r="V773" i="1"/>
  <c r="U774" i="1"/>
  <c r="V774" i="1"/>
  <c r="U775" i="1"/>
  <c r="V775" i="1"/>
  <c r="U776" i="1"/>
  <c r="V776" i="1"/>
  <c r="U777" i="1"/>
  <c r="V777" i="1"/>
  <c r="U778" i="1"/>
  <c r="V778" i="1"/>
  <c r="U779" i="1"/>
  <c r="V779" i="1"/>
  <c r="U780" i="1"/>
  <c r="V780" i="1"/>
  <c r="U781" i="1"/>
  <c r="V781" i="1"/>
  <c r="U782" i="1"/>
  <c r="V782" i="1"/>
  <c r="U783" i="1"/>
  <c r="V783" i="1"/>
  <c r="U784" i="1"/>
  <c r="V784" i="1"/>
  <c r="U785" i="1"/>
  <c r="V785" i="1"/>
  <c r="U786" i="1"/>
  <c r="V786" i="1"/>
  <c r="U787" i="1"/>
  <c r="V787" i="1"/>
  <c r="U788" i="1"/>
  <c r="V788" i="1"/>
  <c r="U789" i="1"/>
  <c r="V789" i="1"/>
  <c r="U790" i="1"/>
  <c r="V790" i="1"/>
  <c r="U791" i="1"/>
  <c r="V791" i="1"/>
  <c r="U792" i="1"/>
  <c r="V792" i="1"/>
  <c r="U793" i="1"/>
  <c r="V793" i="1"/>
  <c r="U794" i="1"/>
  <c r="V794" i="1"/>
  <c r="U763" i="1" l="1"/>
  <c r="V763" i="1"/>
  <c r="U742" i="1"/>
  <c r="V742" i="1"/>
  <c r="U743" i="1"/>
  <c r="V743" i="1"/>
  <c r="U744" i="1"/>
  <c r="V744" i="1"/>
  <c r="U745" i="1"/>
  <c r="V745" i="1"/>
  <c r="U746" i="1"/>
  <c r="V746" i="1"/>
  <c r="U747" i="1"/>
  <c r="V747" i="1"/>
  <c r="U748" i="1"/>
  <c r="V748" i="1"/>
  <c r="U749" i="1"/>
  <c r="V749" i="1"/>
  <c r="U750" i="1"/>
  <c r="V750" i="1"/>
  <c r="U751" i="1"/>
  <c r="V751" i="1"/>
  <c r="U752" i="1"/>
  <c r="V752" i="1"/>
  <c r="U753" i="1"/>
  <c r="V753" i="1"/>
  <c r="U754" i="1"/>
  <c r="V754" i="1"/>
  <c r="U755" i="1"/>
  <c r="V755" i="1"/>
  <c r="U756" i="1"/>
  <c r="V756" i="1"/>
  <c r="U757" i="1"/>
  <c r="V757" i="1"/>
  <c r="U758" i="1"/>
  <c r="V758" i="1"/>
  <c r="U759" i="1"/>
  <c r="V759" i="1"/>
  <c r="U760" i="1"/>
  <c r="V760" i="1"/>
  <c r="U761" i="1"/>
  <c r="V761" i="1"/>
  <c r="U762" i="1"/>
  <c r="V762" i="1"/>
  <c r="L737" i="1" l="1"/>
  <c r="U719" i="1"/>
  <c r="V719" i="1"/>
  <c r="U720" i="1"/>
  <c r="V720" i="1"/>
  <c r="U721" i="1"/>
  <c r="V721" i="1"/>
  <c r="U722" i="1"/>
  <c r="V722" i="1"/>
  <c r="U723" i="1"/>
  <c r="V723" i="1"/>
  <c r="U724" i="1"/>
  <c r="V724" i="1"/>
  <c r="U725" i="1"/>
  <c r="V725" i="1"/>
  <c r="U726" i="1"/>
  <c r="V726" i="1"/>
  <c r="U727" i="1"/>
  <c r="V727" i="1"/>
  <c r="U728" i="1"/>
  <c r="V728" i="1"/>
  <c r="U729" i="1"/>
  <c r="V729" i="1"/>
  <c r="U730" i="1"/>
  <c r="V730" i="1"/>
  <c r="U731" i="1"/>
  <c r="V731" i="1"/>
  <c r="U732" i="1"/>
  <c r="V732" i="1"/>
  <c r="U733" i="1"/>
  <c r="V733" i="1"/>
  <c r="U734" i="1"/>
  <c r="V734" i="1"/>
  <c r="U735" i="1"/>
  <c r="V735" i="1"/>
  <c r="U736" i="1"/>
  <c r="V736" i="1"/>
  <c r="U737" i="1"/>
  <c r="V737" i="1"/>
  <c r="U738" i="1"/>
  <c r="V738" i="1"/>
  <c r="U739" i="1"/>
  <c r="V739" i="1"/>
  <c r="U740" i="1"/>
  <c r="V740" i="1"/>
  <c r="U741" i="1"/>
  <c r="V741" i="1"/>
  <c r="U718" i="1" l="1"/>
  <c r="U688" i="1"/>
  <c r="V688" i="1"/>
  <c r="U689" i="1"/>
  <c r="V689" i="1"/>
  <c r="U690" i="1"/>
  <c r="V690" i="1"/>
  <c r="U691" i="1"/>
  <c r="V691" i="1"/>
  <c r="U692" i="1"/>
  <c r="V692" i="1"/>
  <c r="U693" i="1"/>
  <c r="V693" i="1"/>
  <c r="U694" i="1"/>
  <c r="V694" i="1"/>
  <c r="U695" i="1"/>
  <c r="V695" i="1"/>
  <c r="U696" i="1"/>
  <c r="V696" i="1"/>
  <c r="U697" i="1"/>
  <c r="V697" i="1"/>
  <c r="U698" i="1"/>
  <c r="V698" i="1"/>
  <c r="U699" i="1"/>
  <c r="V699" i="1"/>
  <c r="U700" i="1"/>
  <c r="V700" i="1"/>
  <c r="U701" i="1"/>
  <c r="V701" i="1"/>
  <c r="U702" i="1"/>
  <c r="V702" i="1"/>
  <c r="U703" i="1"/>
  <c r="V703" i="1"/>
  <c r="U704" i="1"/>
  <c r="V704" i="1"/>
  <c r="U705" i="1"/>
  <c r="V705" i="1"/>
  <c r="U706" i="1"/>
  <c r="V706" i="1"/>
  <c r="U707" i="1"/>
  <c r="V707" i="1"/>
  <c r="U708" i="1"/>
  <c r="V708" i="1"/>
  <c r="U709" i="1"/>
  <c r="V709" i="1"/>
  <c r="U710" i="1"/>
  <c r="V710" i="1"/>
  <c r="U711" i="1"/>
  <c r="V711" i="1"/>
  <c r="U712" i="1"/>
  <c r="V712" i="1"/>
  <c r="U713" i="1"/>
  <c r="V713" i="1"/>
  <c r="U714" i="1"/>
  <c r="V714" i="1"/>
  <c r="U715" i="1"/>
  <c r="V715" i="1"/>
  <c r="U716" i="1"/>
  <c r="V716" i="1"/>
  <c r="U717" i="1"/>
  <c r="V717" i="1"/>
  <c r="V718" i="1" l="1"/>
  <c r="U676" i="1" l="1"/>
  <c r="V676" i="1"/>
  <c r="U677" i="1"/>
  <c r="V677" i="1"/>
  <c r="U678" i="1"/>
  <c r="V678" i="1"/>
  <c r="U679" i="1"/>
  <c r="V679" i="1"/>
  <c r="U680" i="1"/>
  <c r="V680" i="1"/>
  <c r="U681" i="1"/>
  <c r="V681" i="1"/>
  <c r="U682" i="1"/>
  <c r="V682" i="1"/>
  <c r="U683" i="1"/>
  <c r="V683" i="1"/>
  <c r="U684" i="1"/>
  <c r="V684" i="1"/>
  <c r="U685" i="1"/>
  <c r="V685" i="1"/>
  <c r="U686" i="1"/>
  <c r="V686" i="1"/>
  <c r="U687" i="1" l="1"/>
  <c r="V687" i="1"/>
  <c r="U675" i="1"/>
  <c r="U643" i="1"/>
  <c r="V643" i="1"/>
  <c r="U644" i="1"/>
  <c r="V644" i="1"/>
  <c r="U645" i="1"/>
  <c r="V645" i="1"/>
  <c r="U646" i="1"/>
  <c r="V646" i="1"/>
  <c r="U647" i="1"/>
  <c r="V647" i="1"/>
  <c r="U648" i="1"/>
  <c r="V648" i="1"/>
  <c r="U649" i="1"/>
  <c r="V649" i="1"/>
  <c r="U650" i="1"/>
  <c r="V650" i="1"/>
  <c r="U651" i="1"/>
  <c r="V651" i="1"/>
  <c r="U652" i="1"/>
  <c r="V652" i="1"/>
  <c r="U653" i="1"/>
  <c r="V653" i="1"/>
  <c r="U654" i="1"/>
  <c r="V654" i="1"/>
  <c r="U655" i="1"/>
  <c r="V655" i="1"/>
  <c r="U656" i="1"/>
  <c r="V656" i="1"/>
  <c r="U657" i="1"/>
  <c r="V657" i="1"/>
  <c r="U658" i="1"/>
  <c r="V658" i="1"/>
  <c r="U659" i="1"/>
  <c r="V659" i="1"/>
  <c r="U660" i="1"/>
  <c r="V660" i="1"/>
  <c r="U661" i="1"/>
  <c r="V661" i="1"/>
  <c r="U662" i="1"/>
  <c r="V662" i="1"/>
  <c r="U663" i="1"/>
  <c r="V663" i="1"/>
  <c r="U664" i="1"/>
  <c r="V664" i="1"/>
  <c r="U665" i="1"/>
  <c r="V665" i="1"/>
  <c r="U666" i="1"/>
  <c r="V666" i="1"/>
  <c r="U667" i="1"/>
  <c r="V667" i="1"/>
  <c r="U668" i="1"/>
  <c r="V668" i="1"/>
  <c r="U669" i="1"/>
  <c r="V669" i="1"/>
  <c r="U670" i="1"/>
  <c r="V670" i="1"/>
  <c r="U671" i="1"/>
  <c r="V671" i="1"/>
  <c r="U672" i="1"/>
  <c r="V672" i="1"/>
  <c r="U673" i="1"/>
  <c r="V673" i="1"/>
  <c r="U674" i="1"/>
  <c r="V674" i="1"/>
  <c r="V675" i="1" l="1"/>
  <c r="U612" i="1" l="1"/>
  <c r="V612" i="1"/>
  <c r="U613" i="1"/>
  <c r="V613" i="1"/>
  <c r="U614" i="1"/>
  <c r="V614" i="1"/>
  <c r="U615" i="1"/>
  <c r="V615" i="1"/>
  <c r="U616" i="1"/>
  <c r="V616" i="1"/>
  <c r="U617" i="1"/>
  <c r="V617" i="1"/>
  <c r="U618" i="1"/>
  <c r="V618" i="1"/>
  <c r="U619" i="1"/>
  <c r="V619" i="1"/>
  <c r="U620" i="1"/>
  <c r="V620" i="1"/>
  <c r="U621" i="1"/>
  <c r="V621" i="1"/>
  <c r="U622" i="1"/>
  <c r="V622" i="1"/>
  <c r="U623" i="1"/>
  <c r="V623" i="1"/>
  <c r="U624" i="1"/>
  <c r="V624" i="1"/>
  <c r="U625" i="1"/>
  <c r="V625" i="1"/>
  <c r="U626" i="1"/>
  <c r="V626" i="1"/>
  <c r="U627" i="1"/>
  <c r="V627" i="1"/>
  <c r="U628" i="1"/>
  <c r="V628" i="1"/>
  <c r="U629" i="1"/>
  <c r="V629" i="1"/>
  <c r="U630" i="1"/>
  <c r="V630" i="1"/>
  <c r="U631" i="1"/>
  <c r="V631" i="1"/>
  <c r="U632" i="1"/>
  <c r="V632" i="1"/>
  <c r="U633" i="1"/>
  <c r="V633" i="1"/>
  <c r="U634" i="1"/>
  <c r="V634" i="1"/>
  <c r="U635" i="1"/>
  <c r="V635" i="1"/>
  <c r="U636" i="1"/>
  <c r="V636" i="1"/>
  <c r="U637" i="1"/>
  <c r="V637" i="1"/>
  <c r="U638" i="1"/>
  <c r="V638" i="1"/>
  <c r="U639" i="1"/>
  <c r="V639" i="1"/>
  <c r="U640" i="1"/>
  <c r="V640" i="1"/>
  <c r="U641" i="1"/>
  <c r="V641" i="1"/>
  <c r="U642" i="1"/>
  <c r="V642" i="1" l="1"/>
  <c r="U611" i="1" l="1"/>
  <c r="U591" i="1"/>
  <c r="V591" i="1"/>
  <c r="U592" i="1"/>
  <c r="V592" i="1"/>
  <c r="U593" i="1"/>
  <c r="V593" i="1"/>
  <c r="U594" i="1"/>
  <c r="V594" i="1"/>
  <c r="U595" i="1"/>
  <c r="V595" i="1"/>
  <c r="U596" i="1"/>
  <c r="V596" i="1"/>
  <c r="U597" i="1"/>
  <c r="V597" i="1"/>
  <c r="U598" i="1"/>
  <c r="V598" i="1"/>
  <c r="U599" i="1"/>
  <c r="V599" i="1"/>
  <c r="U600" i="1"/>
  <c r="V600" i="1"/>
  <c r="U601" i="1"/>
  <c r="V601" i="1"/>
  <c r="U602" i="1"/>
  <c r="V602" i="1"/>
  <c r="U603" i="1"/>
  <c r="V603" i="1"/>
  <c r="U604" i="1"/>
  <c r="V604" i="1"/>
  <c r="U605" i="1"/>
  <c r="V605" i="1"/>
  <c r="U606" i="1"/>
  <c r="V606" i="1"/>
  <c r="U607" i="1"/>
  <c r="V607" i="1"/>
  <c r="U608" i="1"/>
  <c r="V608" i="1"/>
  <c r="U609" i="1"/>
  <c r="V609" i="1"/>
  <c r="U610" i="1"/>
  <c r="V610" i="1"/>
  <c r="V611" i="1" l="1"/>
  <c r="U567" i="1" l="1"/>
  <c r="V567" i="1"/>
  <c r="U568" i="1"/>
  <c r="V568" i="1"/>
  <c r="U569" i="1"/>
  <c r="V569" i="1"/>
  <c r="U570" i="1"/>
  <c r="V570" i="1"/>
  <c r="U571" i="1"/>
  <c r="V571" i="1"/>
  <c r="U572" i="1"/>
  <c r="V572" i="1"/>
  <c r="U573" i="1"/>
  <c r="V573" i="1"/>
  <c r="U574" i="1"/>
  <c r="V574" i="1"/>
  <c r="U575" i="1"/>
  <c r="V575" i="1"/>
  <c r="U576" i="1"/>
  <c r="V576" i="1"/>
  <c r="U577" i="1"/>
  <c r="V577" i="1"/>
  <c r="U578" i="1"/>
  <c r="V578" i="1"/>
  <c r="U579" i="1"/>
  <c r="V579" i="1"/>
  <c r="U580" i="1"/>
  <c r="V580" i="1"/>
  <c r="U581" i="1"/>
  <c r="V581" i="1"/>
  <c r="U582" i="1"/>
  <c r="V582" i="1"/>
  <c r="U583" i="1"/>
  <c r="V583" i="1"/>
  <c r="U584" i="1"/>
  <c r="V584" i="1"/>
  <c r="U585" i="1"/>
  <c r="V585" i="1"/>
  <c r="U586" i="1"/>
  <c r="V586" i="1"/>
  <c r="U587" i="1"/>
  <c r="V587" i="1"/>
  <c r="U588" i="1"/>
  <c r="V588" i="1"/>
  <c r="U589" i="1"/>
  <c r="V589" i="1"/>
  <c r="U590" i="1"/>
  <c r="V590" i="1"/>
  <c r="U536" i="1" l="1"/>
  <c r="V536" i="1"/>
  <c r="U537" i="1"/>
  <c r="V537" i="1"/>
  <c r="U538" i="1"/>
  <c r="V538" i="1"/>
  <c r="U539" i="1"/>
  <c r="V539" i="1"/>
  <c r="U540" i="1"/>
  <c r="V540" i="1"/>
  <c r="U541" i="1"/>
  <c r="V541" i="1"/>
  <c r="U542" i="1"/>
  <c r="V542" i="1"/>
  <c r="U543" i="1"/>
  <c r="V543" i="1"/>
  <c r="U544" i="1"/>
  <c r="V544" i="1"/>
  <c r="U545" i="1"/>
  <c r="V545" i="1"/>
  <c r="U546" i="1"/>
  <c r="V546" i="1"/>
  <c r="U547" i="1"/>
  <c r="V547" i="1"/>
  <c r="U548" i="1"/>
  <c r="V548" i="1"/>
  <c r="U549" i="1"/>
  <c r="V549" i="1"/>
  <c r="U550" i="1"/>
  <c r="V550" i="1"/>
  <c r="U551" i="1"/>
  <c r="V551" i="1"/>
  <c r="U552" i="1"/>
  <c r="V552" i="1"/>
  <c r="U553" i="1"/>
  <c r="V553" i="1"/>
  <c r="U554" i="1"/>
  <c r="V554" i="1"/>
  <c r="U555" i="1"/>
  <c r="V555" i="1"/>
  <c r="U556" i="1"/>
  <c r="V556" i="1"/>
  <c r="U557" i="1"/>
  <c r="V557" i="1"/>
  <c r="U558" i="1"/>
  <c r="V558" i="1"/>
  <c r="U559" i="1"/>
  <c r="V559" i="1"/>
  <c r="U560" i="1"/>
  <c r="V560" i="1"/>
  <c r="U561" i="1"/>
  <c r="V561" i="1"/>
  <c r="U562" i="1"/>
  <c r="V562" i="1"/>
  <c r="U563" i="1"/>
  <c r="V563" i="1"/>
  <c r="U564" i="1"/>
  <c r="V564" i="1"/>
  <c r="U565" i="1"/>
  <c r="V565" i="1"/>
  <c r="U566" i="1"/>
  <c r="V566" i="1"/>
  <c r="V535" i="1" l="1"/>
  <c r="U535" i="1"/>
  <c r="U521" i="1"/>
  <c r="V521" i="1"/>
  <c r="U522" i="1"/>
  <c r="V522" i="1"/>
  <c r="U523" i="1"/>
  <c r="V523" i="1"/>
  <c r="U524" i="1"/>
  <c r="V524" i="1"/>
  <c r="U525" i="1"/>
  <c r="V525" i="1"/>
  <c r="U526" i="1"/>
  <c r="V526" i="1"/>
  <c r="U527" i="1"/>
  <c r="V527" i="1"/>
  <c r="U528" i="1"/>
  <c r="V528" i="1"/>
  <c r="U529" i="1"/>
  <c r="V529" i="1"/>
  <c r="U530" i="1"/>
  <c r="V530" i="1"/>
  <c r="U531" i="1"/>
  <c r="V531" i="1"/>
  <c r="U532" i="1"/>
  <c r="V532" i="1"/>
  <c r="U533" i="1"/>
  <c r="V533" i="1"/>
  <c r="U534" i="1"/>
  <c r="V534" i="1"/>
  <c r="V520" i="1" l="1"/>
  <c r="U520" i="1"/>
  <c r="U489" i="1"/>
  <c r="V489" i="1"/>
  <c r="U490" i="1"/>
  <c r="V490" i="1"/>
  <c r="U491" i="1"/>
  <c r="V491" i="1"/>
  <c r="U492" i="1"/>
  <c r="V492" i="1"/>
  <c r="U493" i="1"/>
  <c r="V493" i="1"/>
  <c r="U494" i="1"/>
  <c r="V494" i="1"/>
  <c r="U495" i="1"/>
  <c r="V495" i="1"/>
  <c r="U496" i="1"/>
  <c r="V496" i="1"/>
  <c r="U497" i="1"/>
  <c r="V497" i="1"/>
  <c r="U498" i="1"/>
  <c r="V498" i="1"/>
  <c r="U499" i="1"/>
  <c r="V499" i="1"/>
  <c r="U500" i="1"/>
  <c r="V500" i="1"/>
  <c r="U501" i="1"/>
  <c r="V501" i="1"/>
  <c r="U502" i="1"/>
  <c r="V502" i="1"/>
  <c r="U503" i="1"/>
  <c r="V503" i="1"/>
  <c r="U504" i="1"/>
  <c r="V504" i="1"/>
  <c r="U505" i="1"/>
  <c r="V505" i="1"/>
  <c r="U506" i="1"/>
  <c r="V506" i="1"/>
  <c r="U507" i="1"/>
  <c r="V507" i="1"/>
  <c r="U508" i="1"/>
  <c r="V508" i="1"/>
  <c r="U509" i="1"/>
  <c r="V509" i="1"/>
  <c r="U510" i="1"/>
  <c r="V510" i="1"/>
  <c r="U511" i="1"/>
  <c r="V511" i="1"/>
  <c r="U512" i="1"/>
  <c r="V512" i="1"/>
  <c r="U513" i="1"/>
  <c r="V513" i="1"/>
  <c r="U514" i="1"/>
  <c r="V514" i="1"/>
  <c r="U515" i="1"/>
  <c r="V515" i="1"/>
  <c r="U516" i="1"/>
  <c r="V516" i="1"/>
  <c r="U517" i="1"/>
  <c r="V517" i="1"/>
  <c r="U518" i="1"/>
  <c r="V518" i="1"/>
  <c r="U519" i="1"/>
  <c r="V519" i="1"/>
  <c r="U488" i="1" l="1"/>
  <c r="U454" i="1"/>
  <c r="V454" i="1"/>
  <c r="U455" i="1"/>
  <c r="V455" i="1"/>
  <c r="U456" i="1"/>
  <c r="V456" i="1"/>
  <c r="U457" i="1"/>
  <c r="V457" i="1"/>
  <c r="U458" i="1"/>
  <c r="V458" i="1"/>
  <c r="U459" i="1"/>
  <c r="V459" i="1"/>
  <c r="U460" i="1"/>
  <c r="V460" i="1"/>
  <c r="U461" i="1"/>
  <c r="V461" i="1"/>
  <c r="U462" i="1"/>
  <c r="V462" i="1"/>
  <c r="U463" i="1"/>
  <c r="V463" i="1"/>
  <c r="U464" i="1"/>
  <c r="V464" i="1"/>
  <c r="U465" i="1"/>
  <c r="V465" i="1"/>
  <c r="U466" i="1"/>
  <c r="V466" i="1"/>
  <c r="U467" i="1"/>
  <c r="V467" i="1"/>
  <c r="U468" i="1"/>
  <c r="V468" i="1"/>
  <c r="U469" i="1"/>
  <c r="V469" i="1"/>
  <c r="U470" i="1"/>
  <c r="V470" i="1"/>
  <c r="U471" i="1"/>
  <c r="V471" i="1"/>
  <c r="U472" i="1"/>
  <c r="V472" i="1"/>
  <c r="U473" i="1"/>
  <c r="V473" i="1"/>
  <c r="U474" i="1"/>
  <c r="V474" i="1"/>
  <c r="U475" i="1"/>
  <c r="V475" i="1"/>
  <c r="U476" i="1"/>
  <c r="V476" i="1"/>
  <c r="U477" i="1"/>
  <c r="V477" i="1"/>
  <c r="U478" i="1"/>
  <c r="V478" i="1"/>
  <c r="U479" i="1"/>
  <c r="V479" i="1"/>
  <c r="U480" i="1"/>
  <c r="V480" i="1"/>
  <c r="U481" i="1"/>
  <c r="V481" i="1"/>
  <c r="U482" i="1"/>
  <c r="V482" i="1"/>
  <c r="U483" i="1"/>
  <c r="V483" i="1"/>
  <c r="U484" i="1"/>
  <c r="V484" i="1"/>
  <c r="U485" i="1"/>
  <c r="V485" i="1"/>
  <c r="U486" i="1"/>
  <c r="V486" i="1"/>
  <c r="U487" i="1"/>
  <c r="V487" i="1"/>
  <c r="V488" i="1" l="1"/>
  <c r="U433" i="1" l="1"/>
  <c r="V433" i="1"/>
  <c r="U434" i="1"/>
  <c r="V434" i="1"/>
  <c r="U435" i="1"/>
  <c r="V435" i="1"/>
  <c r="U436" i="1"/>
  <c r="V436" i="1"/>
  <c r="U437" i="1"/>
  <c r="V437" i="1"/>
  <c r="U438" i="1"/>
  <c r="V438" i="1"/>
  <c r="U439" i="1"/>
  <c r="V439" i="1"/>
  <c r="U440" i="1"/>
  <c r="V440" i="1"/>
  <c r="U441" i="1"/>
  <c r="V441" i="1"/>
  <c r="U442" i="1"/>
  <c r="V442" i="1"/>
  <c r="U443" i="1"/>
  <c r="V443" i="1"/>
  <c r="U444" i="1"/>
  <c r="V444" i="1"/>
  <c r="U445" i="1"/>
  <c r="V445" i="1"/>
  <c r="U446" i="1"/>
  <c r="V446" i="1"/>
  <c r="U447" i="1"/>
  <c r="V447" i="1"/>
  <c r="U448" i="1"/>
  <c r="V448" i="1"/>
  <c r="U449" i="1"/>
  <c r="V449" i="1"/>
  <c r="U450" i="1"/>
  <c r="V450" i="1"/>
  <c r="U451" i="1"/>
  <c r="V451" i="1"/>
  <c r="U452" i="1"/>
  <c r="V452" i="1"/>
  <c r="U453" i="1"/>
  <c r="V453" i="1"/>
  <c r="U432" i="1" l="1"/>
  <c r="V432" i="1"/>
  <c r="U410" i="1"/>
  <c r="V410" i="1"/>
  <c r="U411" i="1"/>
  <c r="V411" i="1"/>
  <c r="U412" i="1"/>
  <c r="V412" i="1"/>
  <c r="U413" i="1"/>
  <c r="V413" i="1"/>
  <c r="U414" i="1"/>
  <c r="V414" i="1"/>
  <c r="U415" i="1"/>
  <c r="V415" i="1"/>
  <c r="U416" i="1"/>
  <c r="V416" i="1"/>
  <c r="U417" i="1"/>
  <c r="V417" i="1"/>
  <c r="U418" i="1"/>
  <c r="V418" i="1"/>
  <c r="U419" i="1"/>
  <c r="V419" i="1"/>
  <c r="U420" i="1"/>
  <c r="V420" i="1"/>
  <c r="U421" i="1"/>
  <c r="V421" i="1"/>
  <c r="U422" i="1"/>
  <c r="V422" i="1"/>
  <c r="U423" i="1"/>
  <c r="V423" i="1"/>
  <c r="U424" i="1"/>
  <c r="V424" i="1"/>
  <c r="U425" i="1"/>
  <c r="V425" i="1"/>
  <c r="U426" i="1"/>
  <c r="V426" i="1"/>
  <c r="U427" i="1"/>
  <c r="V427" i="1"/>
  <c r="U428" i="1"/>
  <c r="V428" i="1"/>
  <c r="U429" i="1"/>
  <c r="V429" i="1"/>
  <c r="U430" i="1"/>
  <c r="V430" i="1"/>
  <c r="U431" i="1"/>
  <c r="V431" i="1"/>
  <c r="U383" i="1" l="1"/>
  <c r="V383" i="1"/>
  <c r="U384" i="1"/>
  <c r="V384" i="1"/>
  <c r="U385" i="1"/>
  <c r="V385" i="1"/>
  <c r="U386" i="1"/>
  <c r="V386" i="1"/>
  <c r="U387" i="1"/>
  <c r="V387" i="1"/>
  <c r="U388" i="1"/>
  <c r="V388" i="1"/>
  <c r="U389" i="1"/>
  <c r="V389" i="1"/>
  <c r="U390" i="1"/>
  <c r="V390" i="1"/>
  <c r="U391" i="1"/>
  <c r="V391" i="1"/>
  <c r="U392" i="1"/>
  <c r="V392" i="1"/>
  <c r="U393" i="1"/>
  <c r="V393" i="1"/>
  <c r="U394" i="1"/>
  <c r="V394" i="1"/>
  <c r="U395" i="1"/>
  <c r="V395" i="1"/>
  <c r="U396" i="1"/>
  <c r="V396" i="1"/>
  <c r="U397" i="1"/>
  <c r="V397" i="1"/>
  <c r="U398" i="1"/>
  <c r="V398" i="1"/>
  <c r="U399" i="1"/>
  <c r="V399" i="1"/>
  <c r="U400" i="1"/>
  <c r="V400" i="1"/>
  <c r="U401" i="1"/>
  <c r="V401" i="1"/>
  <c r="U402" i="1"/>
  <c r="V402" i="1"/>
  <c r="U403" i="1"/>
  <c r="V403" i="1"/>
  <c r="U404" i="1"/>
  <c r="V404" i="1"/>
  <c r="U405" i="1"/>
  <c r="V405" i="1"/>
  <c r="U406" i="1"/>
  <c r="V406" i="1"/>
  <c r="U407" i="1"/>
  <c r="V407" i="1"/>
  <c r="U408" i="1"/>
  <c r="V408" i="1"/>
  <c r="U409" i="1"/>
  <c r="V409" i="1"/>
  <c r="V382" i="1" l="1"/>
  <c r="U382" i="1"/>
  <c r="V381" i="1"/>
  <c r="U381" i="1"/>
  <c r="V380" i="1"/>
  <c r="U380" i="1"/>
  <c r="V379" i="1"/>
  <c r="U379" i="1"/>
  <c r="V378" i="1"/>
  <c r="U378" i="1"/>
  <c r="V377" i="1"/>
  <c r="U377" i="1"/>
  <c r="V376" i="1"/>
  <c r="U376" i="1"/>
  <c r="V375" i="1"/>
  <c r="U375" i="1"/>
  <c r="V374" i="1"/>
  <c r="U374" i="1"/>
  <c r="V373" i="1"/>
  <c r="U373" i="1"/>
  <c r="V372" i="1"/>
  <c r="U372" i="1"/>
  <c r="V371" i="1"/>
  <c r="U371" i="1"/>
  <c r="V370" i="1"/>
  <c r="U370" i="1"/>
  <c r="U369" i="1"/>
  <c r="U344" i="1" l="1"/>
  <c r="V344" i="1"/>
  <c r="U345" i="1"/>
  <c r="V345" i="1"/>
  <c r="U346" i="1"/>
  <c r="V346" i="1"/>
  <c r="U347" i="1"/>
  <c r="V347" i="1"/>
  <c r="U348" i="1"/>
  <c r="V348" i="1"/>
  <c r="U349" i="1"/>
  <c r="V349" i="1"/>
  <c r="U350" i="1"/>
  <c r="V350" i="1"/>
  <c r="U351" i="1"/>
  <c r="V351" i="1"/>
  <c r="U352" i="1"/>
  <c r="V352" i="1"/>
  <c r="U353" i="1"/>
  <c r="V353" i="1"/>
  <c r="U354" i="1"/>
  <c r="V354" i="1"/>
  <c r="U355" i="1"/>
  <c r="V355" i="1"/>
  <c r="U356" i="1"/>
  <c r="V356" i="1"/>
  <c r="U357" i="1"/>
  <c r="V357" i="1"/>
  <c r="U358" i="1"/>
  <c r="V358" i="1"/>
  <c r="U359" i="1"/>
  <c r="V359" i="1"/>
  <c r="U360" i="1"/>
  <c r="V360" i="1"/>
  <c r="U361" i="1"/>
  <c r="V361" i="1"/>
  <c r="U362" i="1"/>
  <c r="V362" i="1"/>
  <c r="U363" i="1"/>
  <c r="V363" i="1"/>
  <c r="U364" i="1"/>
  <c r="V364" i="1"/>
  <c r="U365" i="1"/>
  <c r="V365" i="1"/>
  <c r="U366" i="1"/>
  <c r="V366" i="1"/>
  <c r="U367" i="1"/>
  <c r="V367" i="1"/>
  <c r="U368" i="1"/>
  <c r="V368" i="1"/>
  <c r="V369" i="1" l="1"/>
  <c r="U343" i="1" l="1"/>
  <c r="V343" i="1"/>
  <c r="U310" i="1"/>
  <c r="V310" i="1"/>
  <c r="U311" i="1"/>
  <c r="V311" i="1"/>
  <c r="U312" i="1"/>
  <c r="V312" i="1"/>
  <c r="U313" i="1"/>
  <c r="V313" i="1"/>
  <c r="U314" i="1"/>
  <c r="V314" i="1"/>
  <c r="U315" i="1"/>
  <c r="V315" i="1"/>
  <c r="U316" i="1"/>
  <c r="V316" i="1"/>
  <c r="U317" i="1"/>
  <c r="V317" i="1"/>
  <c r="U318" i="1"/>
  <c r="V318" i="1"/>
  <c r="U319" i="1"/>
  <c r="V319" i="1"/>
  <c r="U320" i="1"/>
  <c r="V320" i="1"/>
  <c r="U321" i="1"/>
  <c r="V321" i="1"/>
  <c r="U322" i="1"/>
  <c r="V322" i="1"/>
  <c r="U323" i="1"/>
  <c r="V323" i="1"/>
  <c r="U324" i="1"/>
  <c r="V324" i="1"/>
  <c r="U325" i="1"/>
  <c r="V325" i="1"/>
  <c r="U326" i="1"/>
  <c r="V326" i="1"/>
  <c r="U327" i="1"/>
  <c r="V327" i="1"/>
  <c r="U328" i="1"/>
  <c r="V328" i="1"/>
  <c r="U329" i="1"/>
  <c r="V329" i="1"/>
  <c r="U330" i="1"/>
  <c r="V330" i="1"/>
  <c r="U331" i="1"/>
  <c r="V331" i="1"/>
  <c r="U332" i="1"/>
  <c r="V332" i="1"/>
  <c r="U333" i="1"/>
  <c r="V333" i="1"/>
  <c r="U334" i="1"/>
  <c r="V334" i="1"/>
  <c r="U335" i="1"/>
  <c r="V335" i="1"/>
  <c r="U336" i="1"/>
  <c r="V336" i="1"/>
  <c r="U337" i="1"/>
  <c r="V337" i="1"/>
  <c r="U338" i="1"/>
  <c r="V338" i="1"/>
  <c r="U339" i="1"/>
  <c r="V339" i="1"/>
  <c r="U340" i="1"/>
  <c r="V340" i="1"/>
  <c r="U341" i="1"/>
  <c r="V341" i="1"/>
  <c r="U342" i="1"/>
  <c r="V342" i="1"/>
  <c r="U309" i="1" l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0" i="1"/>
  <c r="U141" i="1"/>
  <c r="U142" i="1"/>
  <c r="U143" i="1"/>
  <c r="U144" i="1"/>
  <c r="U145" i="1"/>
  <c r="U146" i="1"/>
  <c r="U147" i="1"/>
  <c r="U148" i="1"/>
  <c r="V309" i="1"/>
  <c r="V305" i="1"/>
  <c r="V306" i="1"/>
  <c r="V307" i="1"/>
  <c r="V308" i="1"/>
  <c r="V228" i="1" l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199" i="1" l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198" i="1" l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 l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U123" i="1" l="1"/>
  <c r="V123" i="1"/>
  <c r="U124" i="1"/>
  <c r="V124" i="1"/>
  <c r="U125" i="1"/>
  <c r="V125" i="1"/>
  <c r="U126" i="1"/>
  <c r="V126" i="1"/>
  <c r="U127" i="1"/>
  <c r="V127" i="1"/>
  <c r="U128" i="1"/>
  <c r="V128" i="1"/>
  <c r="U129" i="1"/>
  <c r="V129" i="1"/>
  <c r="U130" i="1"/>
  <c r="V130" i="1"/>
  <c r="U131" i="1"/>
  <c r="V131" i="1"/>
  <c r="U132" i="1"/>
  <c r="V132" i="1"/>
  <c r="U133" i="1"/>
  <c r="V133" i="1"/>
  <c r="U134" i="1"/>
  <c r="V134" i="1"/>
  <c r="U135" i="1"/>
  <c r="V135" i="1"/>
  <c r="U136" i="1"/>
  <c r="V136" i="1"/>
  <c r="U137" i="1"/>
  <c r="V137" i="1"/>
  <c r="U138" i="1"/>
  <c r="V138" i="1"/>
  <c r="U139" i="1"/>
  <c r="V139" i="1"/>
  <c r="V140" i="1"/>
  <c r="V141" i="1"/>
  <c r="V142" i="1"/>
  <c r="V143" i="1"/>
  <c r="V144" i="1"/>
  <c r="V145" i="1"/>
  <c r="V146" i="1"/>
  <c r="V147" i="1"/>
  <c r="U102" i="1" l="1"/>
  <c r="V102" i="1"/>
  <c r="U103" i="1"/>
  <c r="U104" i="1"/>
  <c r="V104" i="1"/>
  <c r="U105" i="1"/>
  <c r="V105" i="1"/>
  <c r="U106" i="1"/>
  <c r="V106" i="1"/>
  <c r="U107" i="1"/>
  <c r="U108" i="1"/>
  <c r="V108" i="1"/>
  <c r="U109" i="1"/>
  <c r="V109" i="1"/>
  <c r="U110" i="1"/>
  <c r="V110" i="1"/>
  <c r="U111" i="1"/>
  <c r="V111" i="1"/>
  <c r="U112" i="1"/>
  <c r="V112" i="1"/>
  <c r="U113" i="1"/>
  <c r="U114" i="1"/>
  <c r="V114" i="1"/>
  <c r="U115" i="1"/>
  <c r="V115" i="1"/>
  <c r="U116" i="1"/>
  <c r="V116" i="1"/>
  <c r="U117" i="1"/>
  <c r="U118" i="1"/>
  <c r="V118" i="1"/>
  <c r="U119" i="1"/>
  <c r="U120" i="1"/>
  <c r="V120" i="1"/>
  <c r="U121" i="1"/>
  <c r="V121" i="1"/>
  <c r="U122" i="1"/>
  <c r="V122" i="1"/>
  <c r="U78" i="1" l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0" i="1"/>
  <c r="V90" i="1"/>
  <c r="U91" i="1"/>
  <c r="V91" i="1"/>
  <c r="U92" i="1"/>
  <c r="V92" i="1"/>
  <c r="U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U101" i="1"/>
  <c r="V101" i="1"/>
  <c r="V74" i="1" l="1"/>
  <c r="U74" i="1"/>
  <c r="U73" i="1"/>
  <c r="V76" i="1"/>
  <c r="U76" i="1"/>
  <c r="V64" i="1"/>
  <c r="U64" i="1"/>
  <c r="V73" i="1" l="1"/>
  <c r="V77" i="1"/>
  <c r="V75" i="1"/>
  <c r="V7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5" i="1"/>
  <c r="U66" i="1"/>
  <c r="U67" i="1"/>
  <c r="U68" i="1"/>
  <c r="U69" i="1"/>
  <c r="U70" i="1"/>
  <c r="U71" i="1"/>
  <c r="U72" i="1"/>
  <c r="V70" i="1"/>
  <c r="V71" i="1"/>
  <c r="V66" i="1"/>
  <c r="V67" i="1"/>
  <c r="V68" i="1"/>
  <c r="V69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5" i="1"/>
  <c r="U75" i="1"/>
  <c r="U77" i="1"/>
</calcChain>
</file>

<file path=xl/sharedStrings.xml><?xml version="1.0" encoding="utf-8"?>
<sst xmlns="http://schemas.openxmlformats.org/spreadsheetml/2006/main" count="10539" uniqueCount="577">
  <si>
    <t>3120F</t>
  </si>
  <si>
    <t>Baptist</t>
  </si>
  <si>
    <t>3120F_1P</t>
  </si>
  <si>
    <t>3120F_2P</t>
  </si>
  <si>
    <t>3120F_8P</t>
  </si>
  <si>
    <t>12_Lead_ECG_for_Chest_Pain_Cases</t>
  </si>
  <si>
    <t>12_Lead_ECG_for_Chest_Pain_Performance_Score</t>
  </si>
  <si>
    <t>BP_Screening_Cases</t>
  </si>
  <si>
    <t>G8785_BP_not_documented</t>
  </si>
  <si>
    <t>G8950_elevated_BP_with_followup</t>
  </si>
  <si>
    <t>G8952_elevated_BP_no_followup</t>
  </si>
  <si>
    <t>G9744_Not_eligible--active_HTN_Pt refuses_emergent_case</t>
  </si>
  <si>
    <t>G8784_Not_eligible--active_HTN_pt refuses_emergent_case</t>
  </si>
  <si>
    <t>G9745_Reason_given_for_no_screening_or_recommending_followup</t>
  </si>
  <si>
    <t>BP_Screening_Performance_Score</t>
  </si>
  <si>
    <t>Overall_Score</t>
  </si>
  <si>
    <t>Site</t>
  </si>
  <si>
    <t>Year</t>
  </si>
  <si>
    <t>Period</t>
  </si>
  <si>
    <t>Jan</t>
  </si>
  <si>
    <t>Ocala</t>
  </si>
  <si>
    <t>West Marion</t>
  </si>
  <si>
    <t>JFK-Main</t>
  </si>
  <si>
    <t>Jupiter</t>
  </si>
  <si>
    <t>Kendall</t>
  </si>
  <si>
    <t>Feb</t>
  </si>
  <si>
    <t>Mar</t>
  </si>
  <si>
    <t>BOJAN MD, DAVID</t>
  </si>
  <si>
    <t>QUINONES-DEECHEGARAY, JESSICA</t>
  </si>
  <si>
    <t>ROVIRA-FIGUEROA MD, HELEN</t>
  </si>
  <si>
    <t>SLANE DO, MATTHEW L</t>
  </si>
  <si>
    <t>CLARK-BARBER DO, DAWN M</t>
  </si>
  <si>
    <t>KILLELEA MD, ALISON G</t>
  </si>
  <si>
    <t>MARCANTONIO MD, DOMENICA</t>
  </si>
  <si>
    <t>MCCAIG MD, CAMERON S</t>
  </si>
  <si>
    <t>NGUYEN DO, DAVID</t>
  </si>
  <si>
    <t>PETRIK MD, RICHARD F</t>
  </si>
  <si>
    <t>POLLARD MD, STEPHEN</t>
  </si>
  <si>
    <t>Apr</t>
  </si>
  <si>
    <t>ALEMAN-BRIZUELA MD, VLADANA</t>
  </si>
  <si>
    <t>ALLISON MD, TIMOTHY B</t>
  </si>
  <si>
    <t>ABRAM MD, ELIZABETH</t>
  </si>
  <si>
    <t>ADERA MD, HABTU M</t>
  </si>
  <si>
    <t>AL-MULHEM MD, KHALED M</t>
  </si>
  <si>
    <t>May</t>
  </si>
  <si>
    <t>Jun</t>
  </si>
  <si>
    <t>Jul</t>
  </si>
  <si>
    <t>Aug</t>
  </si>
  <si>
    <t>MEDINA-BLASINI MD, YIRAIMA E</t>
  </si>
  <si>
    <t>ADEKUNLE DO, OLUSUNMADE</t>
  </si>
  <si>
    <t>Sep</t>
  </si>
  <si>
    <t>Oct</t>
  </si>
  <si>
    <t>Q1</t>
  </si>
  <si>
    <t>San Ramon</t>
  </si>
  <si>
    <t>Q2</t>
  </si>
  <si>
    <t>MISHRA MD, VIKASH D</t>
  </si>
  <si>
    <t>Q3</t>
  </si>
  <si>
    <t>MASON, BENJAMIN D, MD</t>
  </si>
  <si>
    <t>Prov_Num_Lawson</t>
  </si>
  <si>
    <t>Prov_Num</t>
  </si>
  <si>
    <t>Provider_Name</t>
  </si>
  <si>
    <t>G8783_Normal_BP_no_followup_needed</t>
  </si>
  <si>
    <t>5010</t>
  </si>
  <si>
    <t>4489</t>
  </si>
  <si>
    <t>7115</t>
  </si>
  <si>
    <t>7621</t>
  </si>
  <si>
    <t>5614</t>
  </si>
  <si>
    <t>7616</t>
  </si>
  <si>
    <t>5832</t>
  </si>
  <si>
    <t>9967</t>
  </si>
  <si>
    <t>4356</t>
  </si>
  <si>
    <t>7817</t>
  </si>
  <si>
    <t>5831</t>
  </si>
  <si>
    <t>2834</t>
  </si>
  <si>
    <t>7923</t>
  </si>
  <si>
    <t xml:space="preserve">4536     </t>
  </si>
  <si>
    <t xml:space="preserve">4623     </t>
  </si>
  <si>
    <t>8358</t>
  </si>
  <si>
    <t>7806</t>
  </si>
  <si>
    <t>4492</t>
  </si>
  <si>
    <t>5670</t>
  </si>
  <si>
    <t>222222222</t>
  </si>
  <si>
    <t>7400</t>
  </si>
  <si>
    <t>4357</t>
  </si>
  <si>
    <t>120870</t>
  </si>
  <si>
    <t>7073</t>
  </si>
  <si>
    <t>122114</t>
  </si>
  <si>
    <t xml:space="preserve">5246     </t>
  </si>
  <si>
    <t>122502</t>
  </si>
  <si>
    <t>Nov</t>
  </si>
  <si>
    <t>4713</t>
  </si>
  <si>
    <t>4498</t>
  </si>
  <si>
    <t>119329</t>
  </si>
  <si>
    <t>2726</t>
  </si>
  <si>
    <t>5243</t>
  </si>
  <si>
    <t>2833</t>
  </si>
  <si>
    <t>9748</t>
  </si>
  <si>
    <t>3218</t>
  </si>
  <si>
    <t>3693</t>
  </si>
  <si>
    <t>5419</t>
  </si>
  <si>
    <t>3661</t>
  </si>
  <si>
    <t>3157</t>
  </si>
  <si>
    <t>2741</t>
  </si>
  <si>
    <t>122191</t>
  </si>
  <si>
    <t>2953</t>
  </si>
  <si>
    <t>4727</t>
  </si>
  <si>
    <t>119432</t>
  </si>
  <si>
    <t>4723</t>
  </si>
  <si>
    <t>5437</t>
  </si>
  <si>
    <t>9514</t>
  </si>
  <si>
    <t>5431</t>
  </si>
  <si>
    <t>9918</t>
  </si>
  <si>
    <t>2749</t>
  </si>
  <si>
    <t>4332</t>
  </si>
  <si>
    <t>6046</t>
  </si>
  <si>
    <t>9708</t>
  </si>
  <si>
    <t>121923</t>
  </si>
  <si>
    <t>137</t>
  </si>
  <si>
    <t>29</t>
  </si>
  <si>
    <t>58</t>
  </si>
  <si>
    <t>159</t>
  </si>
  <si>
    <t>124091</t>
  </si>
  <si>
    <t>60</t>
  </si>
  <si>
    <t>7787</t>
  </si>
  <si>
    <t>23</t>
  </si>
  <si>
    <t>28</t>
  </si>
  <si>
    <t>63</t>
  </si>
  <si>
    <t>19</t>
  </si>
  <si>
    <t>68</t>
  </si>
  <si>
    <t>70</t>
  </si>
  <si>
    <t>164</t>
  </si>
  <si>
    <t>124710</t>
  </si>
  <si>
    <t>79</t>
  </si>
  <si>
    <t>10618</t>
  </si>
  <si>
    <t>145</t>
  </si>
  <si>
    <t>5597</t>
  </si>
  <si>
    <t>1</t>
  </si>
  <si>
    <t>6777</t>
  </si>
  <si>
    <t>65</t>
  </si>
  <si>
    <t>27</t>
  </si>
  <si>
    <t>143</t>
  </si>
  <si>
    <t>122604</t>
  </si>
  <si>
    <t>156</t>
  </si>
  <si>
    <t>124582</t>
  </si>
  <si>
    <t>158</t>
  </si>
  <si>
    <t>886</t>
  </si>
  <si>
    <t>25</t>
  </si>
  <si>
    <t>184</t>
  </si>
  <si>
    <t>142</t>
  </si>
  <si>
    <t>7740</t>
  </si>
  <si>
    <t>492</t>
  </si>
  <si>
    <t>7744</t>
  </si>
  <si>
    <t>555</t>
  </si>
  <si>
    <t>119114</t>
  </si>
  <si>
    <t>493</t>
  </si>
  <si>
    <t>7742</t>
  </si>
  <si>
    <t>286</t>
  </si>
  <si>
    <t>119469</t>
  </si>
  <si>
    <t>598</t>
  </si>
  <si>
    <t>593</t>
  </si>
  <si>
    <t>122796</t>
  </si>
  <si>
    <t>592</t>
  </si>
  <si>
    <t>122956</t>
  </si>
  <si>
    <t>494</t>
  </si>
  <si>
    <t>7743</t>
  </si>
  <si>
    <t>559</t>
  </si>
  <si>
    <t>8697</t>
  </si>
  <si>
    <t>533</t>
  </si>
  <si>
    <t>5803</t>
  </si>
  <si>
    <t>596</t>
  </si>
  <si>
    <t>496</t>
  </si>
  <si>
    <t>7741</t>
  </si>
  <si>
    <t>444</t>
  </si>
  <si>
    <t>7314</t>
  </si>
  <si>
    <t>505</t>
  </si>
  <si>
    <t>8344</t>
  </si>
  <si>
    <t>520</t>
  </si>
  <si>
    <t>8687</t>
  </si>
  <si>
    <t>13</t>
  </si>
  <si>
    <t>5621</t>
  </si>
  <si>
    <t>115</t>
  </si>
  <si>
    <t>119430</t>
  </si>
  <si>
    <t>107</t>
  </si>
  <si>
    <t>119171</t>
  </si>
  <si>
    <t>109</t>
  </si>
  <si>
    <t>104</t>
  </si>
  <si>
    <t>118880</t>
  </si>
  <si>
    <t>132</t>
  </si>
  <si>
    <t>121352</t>
  </si>
  <si>
    <t>113</t>
  </si>
  <si>
    <t>119349</t>
  </si>
  <si>
    <t>135</t>
  </si>
  <si>
    <t>121924</t>
  </si>
  <si>
    <t>85</t>
  </si>
  <si>
    <t>10528</t>
  </si>
  <si>
    <t>93</t>
  </si>
  <si>
    <t>118657</t>
  </si>
  <si>
    <t>36</t>
  </si>
  <si>
    <t>118472</t>
  </si>
  <si>
    <t>102</t>
  </si>
  <si>
    <t>119090</t>
  </si>
  <si>
    <t>87</t>
  </si>
  <si>
    <t>10773</t>
  </si>
  <si>
    <t>40</t>
  </si>
  <si>
    <t>6831</t>
  </si>
  <si>
    <t>111</t>
  </si>
  <si>
    <t>118696</t>
  </si>
  <si>
    <t>134</t>
  </si>
  <si>
    <t>4968</t>
  </si>
  <si>
    <t>131</t>
  </si>
  <si>
    <t>121355</t>
  </si>
  <si>
    <t>138</t>
  </si>
  <si>
    <t>122073</t>
  </si>
  <si>
    <t>150</t>
  </si>
  <si>
    <t>123118</t>
  </si>
  <si>
    <t>151</t>
  </si>
  <si>
    <t>123113</t>
  </si>
  <si>
    <t>39</t>
  </si>
  <si>
    <t>6832</t>
  </si>
  <si>
    <t>78</t>
  </si>
  <si>
    <t>8720</t>
  </si>
  <si>
    <t>10623</t>
  </si>
  <si>
    <t>578</t>
  </si>
  <si>
    <t>122349</t>
  </si>
  <si>
    <t>605</t>
  </si>
  <si>
    <t>7198</t>
  </si>
  <si>
    <t>590</t>
  </si>
  <si>
    <t>122682</t>
  </si>
  <si>
    <t>586</t>
  </si>
  <si>
    <t>122754</t>
  </si>
  <si>
    <t>575</t>
  </si>
  <si>
    <t>527</t>
  </si>
  <si>
    <t>9715</t>
  </si>
  <si>
    <t>587</t>
  </si>
  <si>
    <t>404</t>
  </si>
  <si>
    <t>455</t>
  </si>
  <si>
    <t>7401</t>
  </si>
  <si>
    <t>356</t>
  </si>
  <si>
    <t>1674</t>
  </si>
  <si>
    <t>842</t>
  </si>
  <si>
    <t>5618</t>
  </si>
  <si>
    <t>543</t>
  </si>
  <si>
    <t>10917</t>
  </si>
  <si>
    <t>565</t>
  </si>
  <si>
    <t>9507</t>
  </si>
  <si>
    <t>576</t>
  </si>
  <si>
    <t>525</t>
  </si>
  <si>
    <t>10340</t>
  </si>
  <si>
    <t>588</t>
  </si>
  <si>
    <t>122737</t>
  </si>
  <si>
    <t>550</t>
  </si>
  <si>
    <t>119292</t>
  </si>
  <si>
    <t>546</t>
  </si>
  <si>
    <t>119467</t>
  </si>
  <si>
    <t>563</t>
  </si>
  <si>
    <t>5246</t>
  </si>
  <si>
    <t>589</t>
  </si>
  <si>
    <t>124030</t>
  </si>
  <si>
    <t>840</t>
  </si>
  <si>
    <t>403</t>
  </si>
  <si>
    <t>6783</t>
  </si>
  <si>
    <t>531</t>
  </si>
  <si>
    <t>9506</t>
  </si>
  <si>
    <t>595</t>
  </si>
  <si>
    <t>123208</t>
  </si>
  <si>
    <t>766</t>
  </si>
  <si>
    <t>6781</t>
  </si>
  <si>
    <t>777</t>
  </si>
  <si>
    <t>5357</t>
  </si>
  <si>
    <t>536</t>
  </si>
  <si>
    <t>10757</t>
  </si>
  <si>
    <t>Dec</t>
  </si>
  <si>
    <t>12 Lead ECG for Chest Pain Cases</t>
  </si>
  <si>
    <t>3120F 1P</t>
  </si>
  <si>
    <t>3120F 2P</t>
  </si>
  <si>
    <t>3120F 8P</t>
  </si>
  <si>
    <t>12 Lead ECG for Chest Pain Performance Score</t>
  </si>
  <si>
    <t>BP Screening Cases</t>
  </si>
  <si>
    <t>G8783 Normal BP no followup needed</t>
  </si>
  <si>
    <t>G8784 Not eligible--active HTN pt refuses emergent case</t>
  </si>
  <si>
    <t>G8785 BP not documented</t>
  </si>
  <si>
    <t>G8950 elevated BP with followup</t>
  </si>
  <si>
    <t>G8952 elevated BP no followup</t>
  </si>
  <si>
    <t>G9744 Not eligible--active HTN Pt refuses emergent case</t>
  </si>
  <si>
    <t>G9745 Reason given for no screening or recommending followup</t>
  </si>
  <si>
    <t>BP Screening Performance Score</t>
  </si>
  <si>
    <t>Overall Score</t>
  </si>
  <si>
    <t>Q4</t>
  </si>
  <si>
    <t>2017 ED Incentives</t>
  </si>
  <si>
    <t xml:space="preserve">7740     </t>
  </si>
  <si>
    <t xml:space="preserve">7744     </t>
  </si>
  <si>
    <t xml:space="preserve">119114   </t>
  </si>
  <si>
    <t xml:space="preserve">7742     </t>
  </si>
  <si>
    <t xml:space="preserve">122796   </t>
  </si>
  <si>
    <t xml:space="preserve">122956   </t>
  </si>
  <si>
    <t xml:space="preserve">7743     </t>
  </si>
  <si>
    <t xml:space="preserve">10480    </t>
  </si>
  <si>
    <t xml:space="preserve">7741     </t>
  </si>
  <si>
    <t xml:space="preserve">7314     </t>
  </si>
  <si>
    <t xml:space="preserve">8344     </t>
  </si>
  <si>
    <t>5774</t>
  </si>
  <si>
    <t>9529</t>
  </si>
  <si>
    <t>122085</t>
  </si>
  <si>
    <t xml:space="preserve">122349   </t>
  </si>
  <si>
    <t xml:space="preserve">5384     </t>
  </si>
  <si>
    <t xml:space="preserve">122682   </t>
  </si>
  <si>
    <t xml:space="preserve">122754   </t>
  </si>
  <si>
    <t xml:space="preserve">9715     </t>
  </si>
  <si>
    <t xml:space="preserve">10618    </t>
  </si>
  <si>
    <t xml:space="preserve">5597     </t>
  </si>
  <si>
    <t xml:space="preserve">5357     </t>
  </si>
  <si>
    <t xml:space="preserve">10917    </t>
  </si>
  <si>
    <t xml:space="preserve">9507     </t>
  </si>
  <si>
    <t xml:space="preserve">122114   </t>
  </si>
  <si>
    <t xml:space="preserve">10340    </t>
  </si>
  <si>
    <t xml:space="preserve">122737   </t>
  </si>
  <si>
    <t xml:space="preserve">119292   </t>
  </si>
  <si>
    <t xml:space="preserve">119467   </t>
  </si>
  <si>
    <t xml:space="preserve">8687     </t>
  </si>
  <si>
    <t xml:space="preserve">10623    </t>
  </si>
  <si>
    <t xml:space="preserve">6783     </t>
  </si>
  <si>
    <t xml:space="preserve">123208   </t>
  </si>
  <si>
    <t xml:space="preserve">5618     </t>
  </si>
  <si>
    <t xml:space="preserve">119543   </t>
  </si>
  <si>
    <t>All Sites (Months exclude San Ramon)</t>
  </si>
  <si>
    <t>Metric</t>
  </si>
  <si>
    <t>Measure</t>
  </si>
  <si>
    <t>HALL-MOORE MD, KIMBERLY A</t>
  </si>
  <si>
    <t>MCDOW DO, CHRISTOPHER C</t>
  </si>
  <si>
    <t>STEPHENSON MD, AMANDA M</t>
  </si>
  <si>
    <t>ANILUS MD, VESTA</t>
  </si>
  <si>
    <t>BANERJEE DO, PUSHPAL R</t>
  </si>
  <si>
    <t>BOVELL MD, DON W</t>
  </si>
  <si>
    <t>BRASETH MD, NOEL</t>
  </si>
  <si>
    <t>DESAI MD, BOBBY K</t>
  </si>
  <si>
    <t>FALGIANI MD, MICHAEL L</t>
  </si>
  <si>
    <t>INGULSRUD MD, ERIC B</t>
  </si>
  <si>
    <t>LORENZETTI MD, BRETT A</t>
  </si>
  <si>
    <t>LYSSY MD, DOUGLAS A</t>
  </si>
  <si>
    <t>MILLER MD, BRIAN D</t>
  </si>
  <si>
    <t>POLERA DO, CATHERINE B</t>
  </si>
  <si>
    <t>STEENSTRA DO, ROBYN</t>
  </si>
  <si>
    <t>VITERITTI DO, JOHN J</t>
  </si>
  <si>
    <t>WALKER MD, JOSHUA A</t>
  </si>
  <si>
    <t>WELBERN MD, VANESSA R</t>
  </si>
  <si>
    <t>WIDMER MD, DEBORAH A</t>
  </si>
  <si>
    <t>WILEY DO, BRIAN D</t>
  </si>
  <si>
    <t>WILSON MD, DAVID L</t>
  </si>
  <si>
    <t>KEY MD, JASON S</t>
  </si>
  <si>
    <t>SANON DO, REGINALD</t>
  </si>
  <si>
    <t>SAVANI MD, PARESH</t>
  </si>
  <si>
    <t>VON BARGEN DO, WILLIAM F</t>
  </si>
  <si>
    <t>WAXLER DO, JENNIFER L</t>
  </si>
  <si>
    <t>BOWRY MD, RIDDHI</t>
  </si>
  <si>
    <t>BUCHHOLZ DO, KEITH L</t>
  </si>
  <si>
    <t>BUI DO, TRIMINH H</t>
  </si>
  <si>
    <t>CRANE MD, JOSEPH T</t>
  </si>
  <si>
    <t>FISH DO, JAMES A</t>
  </si>
  <si>
    <t>FOWLER MD, DAVID M</t>
  </si>
  <si>
    <t>GIROUX DO, RICHARD D</t>
  </si>
  <si>
    <t>GRENIER DO, DANIEL A</t>
  </si>
  <si>
    <t>HAMMAD MD, OMAR</t>
  </si>
  <si>
    <t>HARRIS MD, HILLEL Z</t>
  </si>
  <si>
    <t>KEEHN DO, STEVEN B</t>
  </si>
  <si>
    <t>KROSNEY MD, JUDSON N</t>
  </si>
  <si>
    <t>LEMAY DO, CHRISTOPHER R</t>
  </si>
  <si>
    <t>MCCALLA MD, TIFFANY N</t>
  </si>
  <si>
    <t>MEZE DO, MEZEDA</t>
  </si>
  <si>
    <t>NECKRITZ DO, DAVID P</t>
  </si>
  <si>
    <t>SALEHI MD, SHARIF</t>
  </si>
  <si>
    <t>SCHEPPKE MD, KENNETH A</t>
  </si>
  <si>
    <t>STURM MD, ANDREW P</t>
  </si>
  <si>
    <t>ZALACAIN MD, JOAQUIN F</t>
  </si>
  <si>
    <t>BRADFORD DO, TODD H</t>
  </si>
  <si>
    <t>CASKER MD, MARGERY V</t>
  </si>
  <si>
    <t>CHAPIN MD, ETHAN A</t>
  </si>
  <si>
    <t>COLLINS MD, CHARLES M</t>
  </si>
  <si>
    <t>DUNTEMAN MD, COLT R</t>
  </si>
  <si>
    <t>FOX MD, TERESITA</t>
  </si>
  <si>
    <t>GOZAR MD, JOHN A</t>
  </si>
  <si>
    <t>HASSAN MD, KEITH L</t>
  </si>
  <si>
    <t>INGEMAN MD, JEFFREY E</t>
  </si>
  <si>
    <t>MILLER MD, SEAN A</t>
  </si>
  <si>
    <t>MUENCHEN MD, CHRISTOPHER C</t>
  </si>
  <si>
    <t>PIREZ DE CARDENAS MD, CRISTINA M</t>
  </si>
  <si>
    <t>RHODES MD, VICKI L</t>
  </si>
  <si>
    <t>SOLANKI DO, EKTA</t>
  </si>
  <si>
    <t>TANABE MD, DON T</t>
  </si>
  <si>
    <t>VENTZEK DO, AL J</t>
  </si>
  <si>
    <t>VIRKLER MD, JONATHAN A</t>
  </si>
  <si>
    <t>AVERBACH MD, JOSEPH B</t>
  </si>
  <si>
    <t>AVILES-LUGO MD, NICOLE M</t>
  </si>
  <si>
    <t>BAZEMORE JR MD, DEREK</t>
  </si>
  <si>
    <t>BREA MD, ISABEL J</t>
  </si>
  <si>
    <t>COUSINS MD, RODERICK D</t>
  </si>
  <si>
    <t>D'ALONZO MD, WALTER M</t>
  </si>
  <si>
    <t>DHADWAL MD, ANISH H</t>
  </si>
  <si>
    <t>DOURIEZ MD, CAROLE A</t>
  </si>
  <si>
    <t>GOLDEN MD, ANTOINETTE</t>
  </si>
  <si>
    <t>GUTIERREZ MD, ALDO</t>
  </si>
  <si>
    <t>KING MD, KEVIN C</t>
  </si>
  <si>
    <t>KUTNER DO, DANELLE A</t>
  </si>
  <si>
    <t>MEDWID MD, KELLY J</t>
  </si>
  <si>
    <t>MORALES MD, FABIAN V</t>
  </si>
  <si>
    <t>RAVAL DO, HITESH Y</t>
  </si>
  <si>
    <t>ROTOLO MD, ALYSSA</t>
  </si>
  <si>
    <t>SEDA MD, JESUS A</t>
  </si>
  <si>
    <t>SUERO-SALVADOR MD, TITO</t>
  </si>
  <si>
    <t>XAVIER MD, ALBIN</t>
  </si>
  <si>
    <t>CLOHESSY DO, BRIAN J</t>
  </si>
  <si>
    <t>FELICIANO MD, ANGEL</t>
  </si>
  <si>
    <t>GONZALEZ MD, JOSE M</t>
  </si>
  <si>
    <t>GRECO DO, FRANCINE</t>
  </si>
  <si>
    <t>MOLINARO DO, NICOLE M</t>
  </si>
  <si>
    <t>NESSELROTH MD, SUSAN M</t>
  </si>
  <si>
    <t>NISENBAUM DO, ROBERT</t>
  </si>
  <si>
    <t>REDMAN MD, DANNY</t>
  </si>
  <si>
    <t>ROACH DO, JAMES</t>
  </si>
  <si>
    <t>ST CLAIR MD, DOUGLAS</t>
  </si>
  <si>
    <t>TULSIAK MD, DAVID</t>
  </si>
  <si>
    <t>GLIKIN MD, SANFORD E</t>
  </si>
  <si>
    <t>RINEY MD, THOMAS D</t>
  </si>
  <si>
    <t>WALKER MD, KRISTEN V</t>
  </si>
  <si>
    <t>BURO DO, DOMINICK</t>
  </si>
  <si>
    <t>SLANE MD, VALORI H</t>
  </si>
  <si>
    <t>BALOGUN DO, MODINAT Y</t>
  </si>
  <si>
    <t>EISNOR MD, DEREK</t>
  </si>
  <si>
    <t>FREEDLAND MD, PETER J</t>
  </si>
  <si>
    <t>NASR MD, RAMY M</t>
  </si>
  <si>
    <t>PAPANDREOU DO, STAVROS</t>
  </si>
  <si>
    <t>RIMMER MD, SYLVIE</t>
  </si>
  <si>
    <t>BANNERMAN MD, CHRISTIAN C</t>
  </si>
  <si>
    <t>VALLADARES MD, GLENN R</t>
  </si>
  <si>
    <t>GELOVICH MD, STEPHEN P</t>
  </si>
  <si>
    <t>DUB MD, LARISSA S</t>
  </si>
  <si>
    <t>ROUHANI MD, MAZYAR</t>
  </si>
  <si>
    <t>BASTOS MARRERO MD, JORGE L</t>
  </si>
  <si>
    <t>CUPID MD, AISHA J</t>
  </si>
  <si>
    <t>PEREZ MD, PEDRO I</t>
  </si>
  <si>
    <t>VARGAS DO, DAMARIS</t>
  </si>
  <si>
    <t>COLARIC MD, KENNETH B</t>
  </si>
  <si>
    <t>BROWNING DO, BRIAN L</t>
  </si>
  <si>
    <t>SALIBA MD, GEORGES N</t>
  </si>
  <si>
    <t>LARSEN MD, ROBERT G</t>
  </si>
  <si>
    <t>TENBRINK MD, KELLY J</t>
  </si>
  <si>
    <t>LEIGHT MD, ADAM M</t>
  </si>
  <si>
    <t>DREYFUSS DO, LAURENT</t>
  </si>
  <si>
    <t>NGANGA MD, JACKSON M</t>
  </si>
  <si>
    <t>VASQUEZ MD, DIBANNI</t>
  </si>
  <si>
    <t>RODENBERG MD, HOWARD</t>
  </si>
  <si>
    <t>SAVKO DO, ELIZABETH A</t>
  </si>
  <si>
    <t>LINETT DO, MICHAEL L</t>
  </si>
  <si>
    <t>FRAME MD, JAMES E</t>
  </si>
  <si>
    <t>BHATTI MD, NAVEENPAL S</t>
  </si>
  <si>
    <t>CARDENA MD, RENZO M</t>
  </si>
  <si>
    <t>CHEN MD, PETER J</t>
  </si>
  <si>
    <t>CRAWFORD MD, JANICE M</t>
  </si>
  <si>
    <t>HALIMI DO, KADEER M</t>
  </si>
  <si>
    <t>HUANG MD, SHAO-I</t>
  </si>
  <si>
    <t>KATZ MD, SAMUEL</t>
  </si>
  <si>
    <t>KNOX DO, CHRISTIE K</t>
  </si>
  <si>
    <t>KOOB MD, JASON W</t>
  </si>
  <si>
    <t>MIMRAN MD, DIANE G</t>
  </si>
  <si>
    <t>RECKTENWALD MD, MATTHEW R</t>
  </si>
  <si>
    <t>TANG MD, HENG K</t>
  </si>
  <si>
    <t>THIARA MD, RANDEEP S</t>
  </si>
  <si>
    <t>TOSCANO MD, JOSEPH D</t>
  </si>
  <si>
    <t>WILKIE JR MD, HAROLD W</t>
  </si>
  <si>
    <t>WOODBURY DO, JOHN B</t>
  </si>
  <si>
    <t>KIM MD, RICHARD E</t>
  </si>
  <si>
    <t>ARNOLD-DOBAL DO, KARIN A</t>
  </si>
  <si>
    <t>BAKHTIARI MD, POOPAK G</t>
  </si>
  <si>
    <t>BETANCOURT DO, ANDREA</t>
  </si>
  <si>
    <t>BRAZDA MD, MICHAEL T</t>
  </si>
  <si>
    <t>DAMORE MD, DANIEL T</t>
  </si>
  <si>
    <t>DIAZ DO, ELAINE</t>
  </si>
  <si>
    <t>ELETTO DO, SARAH J</t>
  </si>
  <si>
    <t>ESCATEL MD, EVA</t>
  </si>
  <si>
    <t>FRIEDMAN MD, ANTHONY</t>
  </si>
  <si>
    <t>GARCIA DO, ALEXANDER</t>
  </si>
  <si>
    <t>GARCIA-GONZALEZ MD, MIGDALIA I</t>
  </si>
  <si>
    <t>HASPIL-CORGAN MD, TESSA A</t>
  </si>
  <si>
    <t>HUYNH DO, LEO</t>
  </si>
  <si>
    <t>ITZKOWITZ DO, ALAN H</t>
  </si>
  <si>
    <t>KARWAL MD, RAHUL S</t>
  </si>
  <si>
    <t>KERNISANT MD, LESLY</t>
  </si>
  <si>
    <t>KOKINAKOS MD, CHRISTIAN</t>
  </si>
  <si>
    <t>KOTAMRAJU MD, RADHA</t>
  </si>
  <si>
    <t>LOERA MD, FELIPE E</t>
  </si>
  <si>
    <t>MAI MD, MICHAEL N V</t>
  </si>
  <si>
    <t>MASON MD, ANDREW D</t>
  </si>
  <si>
    <t>MISHKIN MD, DAVID R</t>
  </si>
  <si>
    <t>PALMA MD, ALEXANDER</t>
  </si>
  <si>
    <t>PATEL MD, SWEHA P</t>
  </si>
  <si>
    <t>POE MD, CHRISTOPHER D</t>
  </si>
  <si>
    <t>RUCKLE MD, SHANE E</t>
  </si>
  <si>
    <t>SANZ MD, CHARLES A</t>
  </si>
  <si>
    <t>SEGARRA MD, SERGIO</t>
  </si>
  <si>
    <t>SILVERSMITH MD, JESSICA S</t>
  </si>
  <si>
    <t>SNYDERMAN DO, JONATHAN L</t>
  </si>
  <si>
    <t>SORONDO MD, JEAN-PAUL O</t>
  </si>
  <si>
    <t>STEINBERG DO, KENNETH I</t>
  </si>
  <si>
    <t>RAMIREZ-BLESSING DO, CARLOS</t>
  </si>
  <si>
    <t>MARTINEZ-URTARTE MD, DANIEL</t>
  </si>
  <si>
    <t>RUIZ-VALCARCEL MD, CARMEN</t>
  </si>
  <si>
    <t>ESTRINE DO, KAREN M</t>
  </si>
  <si>
    <t>BERAHMAN DO, TANAZ T</t>
  </si>
  <si>
    <t>ORLOSKI MD, JOSEPH L</t>
  </si>
  <si>
    <t>119070</t>
  </si>
  <si>
    <t>BHATTI MD, NAVEENPAL S,</t>
  </si>
  <si>
    <t>3</t>
  </si>
  <si>
    <t>119071</t>
  </si>
  <si>
    <t>CARDENA MD, RENZO M,</t>
  </si>
  <si>
    <t>4</t>
  </si>
  <si>
    <t>119072</t>
  </si>
  <si>
    <t>CHEN MD, PETER J,</t>
  </si>
  <si>
    <t>5</t>
  </si>
  <si>
    <t>120247</t>
  </si>
  <si>
    <t>CRAWFORD MD, JANICE M,</t>
  </si>
  <si>
    <t>6</t>
  </si>
  <si>
    <t>119074</t>
  </si>
  <si>
    <t>HALIMI DO, KADEER M,</t>
  </si>
  <si>
    <t>7</t>
  </si>
  <si>
    <t>119073</t>
  </si>
  <si>
    <t>HUANG MD, SHAO-I,</t>
  </si>
  <si>
    <t>8</t>
  </si>
  <si>
    <t>119240</t>
  </si>
  <si>
    <t>KATZ MD, SAMUEL,</t>
  </si>
  <si>
    <t>22</t>
  </si>
  <si>
    <t>122833</t>
  </si>
  <si>
    <t>KNOX DO, CHRISTIE K,</t>
  </si>
  <si>
    <t>20</t>
  </si>
  <si>
    <t>121530</t>
  </si>
  <si>
    <t>KOOB MD, JASON W,</t>
  </si>
  <si>
    <t>9</t>
  </si>
  <si>
    <t>119075</t>
  </si>
  <si>
    <t>MIMRAN MD, DIANE G,</t>
  </si>
  <si>
    <t>123212</t>
  </si>
  <si>
    <t>MISHRA MD, VIKASH D,</t>
  </si>
  <si>
    <t>15</t>
  </si>
  <si>
    <t>119528</t>
  </si>
  <si>
    <t>RECKTENWALD MD, MATTHEW R,</t>
  </si>
  <si>
    <t>21</t>
  </si>
  <si>
    <t>122215</t>
  </si>
  <si>
    <t>STEPHENSON MD, AMANDA M,</t>
  </si>
  <si>
    <t>10</t>
  </si>
  <si>
    <t>119076</t>
  </si>
  <si>
    <t>TANG MD, HENG K,</t>
  </si>
  <si>
    <t>11</t>
  </si>
  <si>
    <t>119077</t>
  </si>
  <si>
    <t>THIARA MD, RANDEEP S,</t>
  </si>
  <si>
    <t>12</t>
  </si>
  <si>
    <t>119078</t>
  </si>
  <si>
    <t>TOSCANO MD, JOSEPH D,</t>
  </si>
  <si>
    <t>16</t>
  </si>
  <si>
    <t>WILEY DO, BRIAN D,</t>
  </si>
  <si>
    <t>119079</t>
  </si>
  <si>
    <t>WILKIE JR MD, HAROLD W,</t>
  </si>
  <si>
    <t>14</t>
  </si>
  <si>
    <t>119080</t>
  </si>
  <si>
    <t>WOODBURY DO, JOHN B,</t>
  </si>
  <si>
    <t>120449</t>
  </si>
  <si>
    <t>118895</t>
  </si>
  <si>
    <t>DIAZ DO, LEONEL</t>
  </si>
  <si>
    <t>161</t>
  </si>
  <si>
    <t>48</t>
  </si>
  <si>
    <t>7383</t>
  </si>
  <si>
    <t>162</t>
  </si>
  <si>
    <t>124131</t>
  </si>
  <si>
    <t>489</t>
  </si>
  <si>
    <t>DAUD MD, LAZARO C</t>
  </si>
  <si>
    <t>123</t>
  </si>
  <si>
    <t>111111111</t>
  </si>
  <si>
    <t>24</t>
  </si>
  <si>
    <t>528</t>
  </si>
  <si>
    <t>336</t>
  </si>
  <si>
    <t>9790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</si>
</sst>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###.00%;\(###.00%\);\-"/>
    <numFmt numFmtId="166" formatCode="#,###;\(#,###\);\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thick">
        <color theme="0" tint="-0.14993743705557422"/>
      </top>
      <bottom style="thick">
        <color theme="0" tint="-0.14993743705557422"/>
      </bottom>
      <diagonal/>
    </border>
    <border>
      <left/>
      <right/>
      <top/>
      <bottom style="hair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0" xfId="0" applyFill="1" applyAlignment="1">
      <alignment horizontal="center" wrapText="1"/>
    </xf>
    <xf numFmtId="0" fontId="0" fillId="0" borderId="0" xfId="0" applyFill="1"/>
    <xf numFmtId="164" fontId="0" fillId="0" borderId="0" xfId="1" applyNumberFormat="1" applyFont="1" applyFill="1"/>
    <xf numFmtId="0" fontId="0" fillId="0" borderId="0" xfId="0" applyAlignment="1">
      <alignment horizontal="left" wrapText="1"/>
    </xf>
    <xf numFmtId="0" fontId="0" fillId="0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/>
    </xf>
    <xf numFmtId="0" fontId="0" fillId="0" borderId="1" xfId="0" applyBorder="1"/>
    <xf numFmtId="0" fontId="3" fillId="0" borderId="0" xfId="0" applyFont="1"/>
    <xf numFmtId="0" fontId="4" fillId="4" borderId="1" xfId="0" applyFont="1" applyFill="1" applyBorder="1"/>
    <xf numFmtId="165" fontId="4" fillId="4" borderId="1" xfId="1" applyNumberFormat="1" applyFont="1" applyFill="1" applyBorder="1"/>
    <xf numFmtId="166" fontId="0" fillId="0" borderId="1" xfId="0" applyNumberFormat="1" applyBorder="1"/>
    <xf numFmtId="0" fontId="4" fillId="0" borderId="0" xfId="0" applyFont="1" applyFill="1" applyBorder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3" xfId="0" applyBorder="1"/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66" fontId="0" fillId="0" borderId="3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quotePrefix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00A1DA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7"/>
  <sheetViews>
    <sheetView showGridLines="0"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7" sqref="B77"/>
    </sheetView>
  </sheetViews>
  <sheetFormatPr defaultRowHeight="15" outlineLevelCol="1" x14ac:dyDescent="0.25"/>
  <cols>
    <col min="1" max="1" width="70.140625" hidden="1" customWidth="1" outlineLevel="1"/>
    <col min="2" max="2" width="2.7109375" customWidth="1" collapsed="1"/>
    <col min="3" max="3" width="56" customWidth="1"/>
    <col min="16" max="16" width="5.7109375" customWidth="1"/>
    <col min="21" max="22" width="9.140625" style="34"/>
  </cols>
  <sheetData>
    <row r="1" spans="1:21" ht="21" x14ac:dyDescent="0.35">
      <c r="A1" s="19"/>
      <c r="B1" s="20" t="s">
        <v>288</v>
      </c>
    </row>
    <row r="4" spans="1:21" ht="17.25" x14ac:dyDescent="0.4">
      <c r="D4" s="11" t="s">
        <v>19</v>
      </c>
      <c r="E4" s="11" t="s">
        <v>25</v>
      </c>
      <c r="F4" s="11" t="s">
        <v>26</v>
      </c>
      <c r="G4" s="11" t="s">
        <v>38</v>
      </c>
      <c r="H4" s="11" t="s">
        <v>44</v>
      </c>
      <c r="I4" s="11" t="s">
        <v>45</v>
      </c>
      <c r="J4" s="11" t="s">
        <v>46</v>
      </c>
      <c r="K4" s="11" t="s">
        <v>47</v>
      </c>
      <c r="L4" s="11" t="s">
        <v>50</v>
      </c>
      <c r="M4" s="11" t="s">
        <v>51</v>
      </c>
      <c r="N4" s="11" t="s">
        <v>89</v>
      </c>
      <c r="O4" s="11" t="s">
        <v>271</v>
      </c>
      <c r="Q4" s="11" t="s">
        <v>52</v>
      </c>
      <c r="R4" s="11" t="s">
        <v>54</v>
      </c>
      <c r="S4" s="11" t="s">
        <v>56</v>
      </c>
      <c r="T4" s="11" t="s">
        <v>287</v>
      </c>
    </row>
    <row r="5" spans="1:21" ht="18.75" x14ac:dyDescent="0.3">
      <c r="A5" s="10"/>
      <c r="B5" s="13" t="s">
        <v>1</v>
      </c>
    </row>
    <row r="6" spans="1:21" x14ac:dyDescent="0.25">
      <c r="A6" s="10" t="s">
        <v>5</v>
      </c>
      <c r="C6" s="12" t="s">
        <v>272</v>
      </c>
      <c r="D6" s="16">
        <f t="array" ref="D6">SUM(IF(Period=D$4,IF(Site=$B$5,data!$G$2:$G$1784)))</f>
        <v>141</v>
      </c>
      <c r="E6" s="16">
        <f t="array" ref="E6">SUM(IF(Period=E$4,IF(Site=$B$5,data!$G$2:$G$1784)))</f>
        <v>297</v>
      </c>
      <c r="F6" s="16">
        <f t="array" ref="F6">SUM(IF(Period=F$4,IF(Site=$B$5,data!$G$2:$G$1784)))</f>
        <v>395</v>
      </c>
      <c r="G6" s="16">
        <f t="array" ref="G6">SUM(IF(Period=G$4,IF(Site=$B$5,data!$G$2:$G$1784)))</f>
        <v>391</v>
      </c>
      <c r="H6" s="16">
        <f t="array" ref="H6">SUM(IF(Period=H$4,IF(Site=$B$5,data!$G$2:$G$1784)))</f>
        <v>456</v>
      </c>
      <c r="I6" s="16">
        <f t="array" ref="I6">SUM(IF(Period=I$4,IF(Site=$B$5,data!$G$2:$G$1784)))</f>
        <v>427</v>
      </c>
      <c r="J6" s="16">
        <f t="array" ref="J6">SUM(IF(Period=J$4,IF(Site=$B$5,data!$G$2:$G$1784)))</f>
        <v>471</v>
      </c>
      <c r="K6" s="16">
        <f t="array" ref="K6">SUM(IF(Period=K$4,IF(Site=$B$5,data!$G$2:$G$1784)))</f>
        <v>393</v>
      </c>
      <c r="L6" s="16">
        <f t="array" ref="L6">SUM(IF(Period=L$4,IF(Site=$B$5,data!$G$2:$G$1784)))</f>
        <v>367</v>
      </c>
      <c r="M6" s="16">
        <f t="array" ref="M6">SUM(IF(Period=M$4,IF(Site=$B$5,data!$G$2:$G$1784)))</f>
        <v>445</v>
      </c>
      <c r="N6" s="16">
        <f t="array" ref="N6">SUM(IF(Period=N$4,IF(Site=$B$5,data!$G$2:$G$1784)))</f>
        <v>164</v>
      </c>
      <c r="O6" s="16">
        <f t="array" ref="O6">SUM(IF(Period=O$4,IF(Site=$B$5,data!$G$2:$G$1784)))</f>
        <v>216</v>
      </c>
      <c r="Q6" s="16">
        <f>SUM(D6:F6)</f>
        <v>833</v>
      </c>
      <c r="R6" s="16">
        <f>SUM(G6:I6)</f>
        <v>1274</v>
      </c>
      <c r="S6" s="16">
        <f>SUM(J6:L6)</f>
        <v>1231</v>
      </c>
      <c r="T6" s="16">
        <f>SUM(M6:O6)</f>
        <v>825</v>
      </c>
      <c r="U6" s="35"/>
    </row>
    <row r="7" spans="1:21" x14ac:dyDescent="0.25">
      <c r="A7" s="10" t="s">
        <v>0</v>
      </c>
      <c r="C7" s="12" t="s">
        <v>0</v>
      </c>
      <c r="D7" s="16">
        <f t="array" ref="D7">SUM(IF(Period=D$4,IF(Site=$B$5,data!$H$2:$H$1784)))</f>
        <v>141</v>
      </c>
      <c r="E7" s="16">
        <f t="array" ref="E7">SUM(IF(Period=E$4,IF(Site=$B$5,data!$H$2:$H$1784)))</f>
        <v>297</v>
      </c>
      <c r="F7" s="16">
        <f t="array" ref="F7">SUM(IF(Period=F$4,IF(Site=$B$5,data!$H$2:$H$1784)))</f>
        <v>395</v>
      </c>
      <c r="G7" s="16">
        <f t="array" ref="G7">SUM(IF(Period=G$4,IF(Site=$B$5,data!$H$2:$H$1784)))</f>
        <v>389</v>
      </c>
      <c r="H7" s="16">
        <f t="array" ref="H7">SUM(IF(Period=H$4,IF(Site=$B$5,data!$H$2:$H$1784)))</f>
        <v>454</v>
      </c>
      <c r="I7" s="16">
        <f t="array" ref="I7">SUM(IF(Period=I$4,IF(Site=$B$5,data!$H$2:$H$1784)))</f>
        <v>425</v>
      </c>
      <c r="J7" s="16">
        <f t="array" ref="J7">SUM(IF(Period=J$4,IF(Site=$B$5,data!$H$2:$H$1784)))</f>
        <v>468</v>
      </c>
      <c r="K7" s="16">
        <f t="array" ref="K7">SUM(IF(Period=K$4,IF(Site=$B$5,data!$H$2:$H$1784)))</f>
        <v>389</v>
      </c>
      <c r="L7" s="16">
        <f t="array" ref="L7">SUM(IF(Period=L$4,IF(Site=$B$5,data!$H$2:$H$1784)))</f>
        <v>366</v>
      </c>
      <c r="M7" s="16">
        <f t="array" ref="M7">SUM(IF(Period=M$4,IF(Site=$B$5,data!$H$2:$H$1784)))</f>
        <v>444</v>
      </c>
      <c r="N7" s="16">
        <f t="array" ref="N7">SUM(IF(Period=N$4,IF(Site=$B$5,data!$H$2:$H$1784)))</f>
        <v>163</v>
      </c>
      <c r="O7" s="16">
        <f t="array" ref="O7">SUM(IF(Period=O$4,IF(Site=$B$5,data!$H$2:$H$1784)))</f>
        <v>215</v>
      </c>
      <c r="Q7" s="16">
        <f>SUM(D7:F7)</f>
        <v>833</v>
      </c>
      <c r="R7" s="16">
        <f>SUM(G7:I7)</f>
        <v>1268</v>
      </c>
      <c r="S7" s="16">
        <f>SUM(J7:L7)</f>
        <v>1223</v>
      </c>
      <c r="T7" s="16">
        <f>SUM(M7:O7)</f>
        <v>822</v>
      </c>
      <c r="U7" s="35"/>
    </row>
    <row r="8" spans="1:21" x14ac:dyDescent="0.25">
      <c r="A8" s="10" t="s">
        <v>2</v>
      </c>
      <c r="C8" s="12" t="s">
        <v>273</v>
      </c>
      <c r="D8" s="16">
        <f t="array" ref="D8">SUM(IF(Period=D$4,IF(Site=$B$5,data!$I$2:$I$1784)))</f>
        <v>0</v>
      </c>
      <c r="E8" s="16">
        <f t="array" ref="E8">SUM(IF(Period=E$4,IF(Site=$B$5,data!$I$2:$I$1784)))</f>
        <v>0</v>
      </c>
      <c r="F8" s="16">
        <f t="array" ref="F8">SUM(IF(Period=F$4,IF(Site=$B$5,data!$I$2:$I$1784)))</f>
        <v>0</v>
      </c>
      <c r="G8" s="16">
        <f t="array" ref="G8">SUM(IF(Period=G$4,IF(Site=$B$5,data!$I$2:$I$1784)))</f>
        <v>0</v>
      </c>
      <c r="H8" s="16">
        <f t="array" ref="H8">SUM(IF(Period=H$4,IF(Site=$B$5,data!$I$2:$I$1784)))</f>
        <v>1</v>
      </c>
      <c r="I8" s="16">
        <f t="array" ref="I8">SUM(IF(Period=I$4,IF(Site=$B$5,data!$I$2:$I$1784)))</f>
        <v>0</v>
      </c>
      <c r="J8" s="16">
        <f t="array" ref="J8">SUM(IF(Period=J$4,IF(Site=$B$5,data!$I$2:$I$1784)))</f>
        <v>0</v>
      </c>
      <c r="K8" s="16">
        <f t="array" ref="K8">SUM(IF(Period=K$4,IF(Site=$B$5,data!$I$2:$I$1784)))</f>
        <v>2</v>
      </c>
      <c r="L8" s="16">
        <f t="array" ref="L8">SUM(IF(Period=L$4,IF(Site=$B$5,data!$I$2:$I$1784)))</f>
        <v>0</v>
      </c>
      <c r="M8" s="16">
        <f t="array" ref="M8">SUM(IF(Period=M$4,IF(Site=$B$5,data!$I$2:$I$1784)))</f>
        <v>0</v>
      </c>
      <c r="N8" s="16">
        <f t="array" ref="N8">SUM(IF(Period=N$4,IF(Site=$B$5,data!$I$2:$I$1784)))</f>
        <v>0</v>
      </c>
      <c r="O8" s="16">
        <f t="array" ref="O8">SUM(IF(Period=O$4,IF(Site=$B$5,data!$I$2:$I$1784)))</f>
        <v>0</v>
      </c>
      <c r="Q8" s="16">
        <f>SUM(D8:F8)</f>
        <v>0</v>
      </c>
      <c r="R8" s="16">
        <f>SUM(G8:I8)</f>
        <v>1</v>
      </c>
      <c r="S8" s="16">
        <f>SUM(J8:L8)</f>
        <v>2</v>
      </c>
      <c r="T8" s="16">
        <f>SUM(M8:O8)</f>
        <v>0</v>
      </c>
      <c r="U8" s="35"/>
    </row>
    <row r="9" spans="1:21" x14ac:dyDescent="0.25">
      <c r="A9" s="10" t="s">
        <v>3</v>
      </c>
      <c r="C9" s="12" t="s">
        <v>274</v>
      </c>
      <c r="D9" s="16">
        <f t="array" ref="D9">SUM(IF(Period=D$4,IF(Site=$B$5,data!$J$2:$J$1784)))</f>
        <v>0</v>
      </c>
      <c r="E9" s="16">
        <f t="array" ref="E9">SUM(IF(Period=E$4,IF(Site=$B$5,data!$J$2:$J$1784)))</f>
        <v>0</v>
      </c>
      <c r="F9" s="16">
        <f t="array" ref="F9">SUM(IF(Period=F$4,IF(Site=$B$5,data!$J$2:$J$1784)))</f>
        <v>0</v>
      </c>
      <c r="G9" s="16">
        <f t="array" ref="G9">SUM(IF(Period=G$4,IF(Site=$B$5,data!$J$2:$J$1784)))</f>
        <v>2</v>
      </c>
      <c r="H9" s="16">
        <f t="array" ref="H9">SUM(IF(Period=H$4,IF(Site=$B$5,data!$J$2:$J$1784)))</f>
        <v>0</v>
      </c>
      <c r="I9" s="16">
        <f t="array" ref="I9">SUM(IF(Period=I$4,IF(Site=$B$5,data!$J$2:$J$1784)))</f>
        <v>1</v>
      </c>
      <c r="J9" s="16">
        <f t="array" ref="J9">SUM(IF(Period=J$4,IF(Site=$B$5,data!$J$2:$J$1784)))</f>
        <v>0</v>
      </c>
      <c r="K9" s="16">
        <f t="array" ref="K9">SUM(IF(Period=K$4,IF(Site=$B$5,data!$J$2:$J$1784)))</f>
        <v>1</v>
      </c>
      <c r="L9" s="16">
        <f t="array" ref="L9">SUM(IF(Period=L$4,IF(Site=$B$5,data!$J$2:$J$1784)))</f>
        <v>0</v>
      </c>
      <c r="M9" s="16">
        <f t="array" ref="M9">SUM(IF(Period=M$4,IF(Site=$B$5,data!$J$2:$J$1784)))</f>
        <v>0</v>
      </c>
      <c r="N9" s="16">
        <f t="array" ref="N9">SUM(IF(Period=N$4,IF(Site=$B$5,data!$J$2:$J$1784)))</f>
        <v>0</v>
      </c>
      <c r="O9" s="16">
        <f t="array" ref="O9">SUM(IF(Period=O$4,IF(Site=$B$5,data!$J$2:$J$1784)))</f>
        <v>0</v>
      </c>
      <c r="Q9" s="16">
        <f>SUM(D9:F9)</f>
        <v>0</v>
      </c>
      <c r="R9" s="16">
        <f>SUM(G9:I9)</f>
        <v>3</v>
      </c>
      <c r="S9" s="16">
        <f>SUM(J9:L9)</f>
        <v>1</v>
      </c>
      <c r="T9" s="16">
        <f>SUM(M9:O9)</f>
        <v>0</v>
      </c>
      <c r="U9" s="35"/>
    </row>
    <row r="10" spans="1:21" x14ac:dyDescent="0.25">
      <c r="A10" s="10" t="s">
        <v>4</v>
      </c>
      <c r="C10" s="12" t="s">
        <v>275</v>
      </c>
      <c r="D10" s="16">
        <f t="array" ref="D10">SUM(IF(Period=D$4,IF(Site=$B$5,data!$K$2:$K$1784)))</f>
        <v>0</v>
      </c>
      <c r="E10" s="16">
        <f t="array" ref="E10">SUM(IF(Period=E$4,IF(Site=$B$5,data!$K$2:$K$1784)))</f>
        <v>0</v>
      </c>
      <c r="F10" s="16">
        <f t="array" ref="F10">SUM(IF(Period=F$4,IF(Site=$B$5,data!$K$2:$K$1784)))</f>
        <v>0</v>
      </c>
      <c r="G10" s="16">
        <f t="array" ref="G10">SUM(IF(Period=G$4,IF(Site=$B$5,data!$K$2:$K$1784)))</f>
        <v>0</v>
      </c>
      <c r="H10" s="16">
        <f t="array" ref="H10">SUM(IF(Period=H$4,IF(Site=$B$5,data!$K$2:$K$1784)))</f>
        <v>1</v>
      </c>
      <c r="I10" s="16">
        <f t="array" ref="I10">SUM(IF(Period=I$4,IF(Site=$B$5,data!$K$2:$K$1784)))</f>
        <v>1</v>
      </c>
      <c r="J10" s="16">
        <f t="array" ref="J10">SUM(IF(Period=J$4,IF(Site=$B$5,data!$K$2:$K$1784)))</f>
        <v>3</v>
      </c>
      <c r="K10" s="16">
        <f t="array" ref="K10">SUM(IF(Period=K$4,IF(Site=$B$5,data!$K$2:$K$1784)))</f>
        <v>1</v>
      </c>
      <c r="L10" s="16">
        <f t="array" ref="L10">SUM(IF(Period=L$4,IF(Site=$B$5,data!$K$2:$K$1784)))</f>
        <v>1</v>
      </c>
      <c r="M10" s="16">
        <f t="array" ref="M10">SUM(IF(Period=M$4,IF(Site=$B$5,data!$K$2:$K$1784)))</f>
        <v>1</v>
      </c>
      <c r="N10" s="16">
        <f t="array" ref="N10">SUM(IF(Period=N$4,IF(Site=$B$5,data!$K$2:$K$1784)))</f>
        <v>1</v>
      </c>
      <c r="O10" s="16">
        <f t="array" ref="O10">SUM(IF(Period=O$4,IF(Site=$B$5,data!$K$2:$K$1784)))</f>
        <v>1</v>
      </c>
      <c r="Q10" s="16">
        <f>SUM(D10:F10)</f>
        <v>0</v>
      </c>
      <c r="R10" s="16">
        <f>SUM(G10:I10)</f>
        <v>2</v>
      </c>
      <c r="S10" s="16">
        <f>SUM(J10:L10)</f>
        <v>5</v>
      </c>
      <c r="T10" s="16">
        <f>SUM(M10:O10)</f>
        <v>3</v>
      </c>
      <c r="U10" s="35"/>
    </row>
    <row r="11" spans="1:21" x14ac:dyDescent="0.25">
      <c r="A11" s="10" t="s">
        <v>6</v>
      </c>
      <c r="C11" s="14" t="s">
        <v>276</v>
      </c>
      <c r="D11" s="15">
        <f>IF(D6=0,0,SUM(D7:D9)/D6)</f>
        <v>1</v>
      </c>
      <c r="E11" s="15">
        <f t="shared" ref="E11:O11" si="0">IF(E6=0,0,SUM(E7:E9)/E6)</f>
        <v>1</v>
      </c>
      <c r="F11" s="15">
        <f t="shared" si="0"/>
        <v>1</v>
      </c>
      <c r="G11" s="15">
        <f t="shared" si="0"/>
        <v>1</v>
      </c>
      <c r="H11" s="15">
        <f t="shared" si="0"/>
        <v>0.9978070175438597</v>
      </c>
      <c r="I11" s="15">
        <f t="shared" si="0"/>
        <v>0.99765807962529274</v>
      </c>
      <c r="J11" s="15">
        <f t="shared" si="0"/>
        <v>0.99363057324840764</v>
      </c>
      <c r="K11" s="15">
        <f t="shared" si="0"/>
        <v>0.99745547073791352</v>
      </c>
      <c r="L11" s="15">
        <f t="shared" si="0"/>
        <v>0.99727520435967298</v>
      </c>
      <c r="M11" s="15">
        <f t="shared" si="0"/>
        <v>0.99775280898876406</v>
      </c>
      <c r="N11" s="15">
        <f t="shared" si="0"/>
        <v>0.99390243902439024</v>
      </c>
      <c r="O11" s="15">
        <f t="shared" si="0"/>
        <v>0.99537037037037035</v>
      </c>
      <c r="P11" s="17"/>
      <c r="Q11" s="15">
        <f t="shared" ref="Q11:T11" si="1">IF(Q6=0,0,SUM(Q7:Q9)/Q6)</f>
        <v>1</v>
      </c>
      <c r="R11" s="15">
        <f t="shared" si="1"/>
        <v>0.99843014128728413</v>
      </c>
      <c r="S11" s="15">
        <f t="shared" si="1"/>
        <v>0.99593826157595455</v>
      </c>
      <c r="T11" s="15">
        <f t="shared" si="1"/>
        <v>0.99636363636363634</v>
      </c>
      <c r="U11" s="35"/>
    </row>
    <row r="12" spans="1:21" x14ac:dyDescent="0.25">
      <c r="A12" s="10" t="s">
        <v>7</v>
      </c>
      <c r="C12" s="12" t="s">
        <v>277</v>
      </c>
      <c r="D12" s="16">
        <f t="array" ref="D12">SUM(IF(Period=D$4,IF(Site=$B$5,data!$M$2:$M$1784)))</f>
        <v>2830</v>
      </c>
      <c r="E12" s="16">
        <f t="array" ref="E12">SUM(IF(Period=E$4,IF(Site=$B$5,data!$M$2:$M$1784)))</f>
        <v>5233</v>
      </c>
      <c r="F12" s="16">
        <f t="array" ref="F12">SUM(IF(Period=F$4,IF(Site=$B$5,data!$M$2:$M$1784)))</f>
        <v>6524</v>
      </c>
      <c r="G12" s="16">
        <f t="array" ref="G12">SUM(IF(Period=G$4,IF(Site=$B$5,data!$M$2:$M$1784)))</f>
        <v>6211</v>
      </c>
      <c r="H12" s="16">
        <f t="array" ref="H12">SUM(IF(Period=H$4,IF(Site=$B$5,data!$M$2:$M$1784)))</f>
        <v>6625</v>
      </c>
      <c r="I12" s="16">
        <f t="array" ref="I12">SUM(IF(Period=I$4,IF(Site=$B$5,data!$M$2:$M$1784)))</f>
        <v>6422</v>
      </c>
      <c r="J12" s="16">
        <f t="array" ref="J12">SUM(IF(Period=J$4,IF(Site=$B$5,data!$M$2:$M$1784)))</f>
        <v>6804</v>
      </c>
      <c r="K12" s="16">
        <f t="array" ref="K12">SUM(IF(Period=K$4,IF(Site=$B$5,data!$M$2:$M$1784)))</f>
        <v>6328</v>
      </c>
      <c r="L12" s="16">
        <f t="array" ref="L12">SUM(IF(Period=L$4,IF(Site=$B$5,data!$M$2:$M$1784)))</f>
        <v>6342</v>
      </c>
      <c r="M12" s="16">
        <f t="array" ref="M12">SUM(IF(Period=M$4,IF(Site=$B$5,data!$M$2:$M$1784)))</f>
        <v>6160</v>
      </c>
      <c r="N12" s="16">
        <f t="array" ref="N12">SUM(IF(Period=N$4,IF(Site=$B$5,data!$M$2:$M$1784)))</f>
        <v>2738</v>
      </c>
      <c r="O12" s="16">
        <f t="array" ref="O12">SUM(IF(Period=O$4,IF(Site=$B$5,data!$M$2:$M$1784)))</f>
        <v>3493</v>
      </c>
      <c r="Q12" s="16">
        <f t="shared" ref="Q12:Q19" si="2">SUM(D12:F12)</f>
        <v>14587</v>
      </c>
      <c r="R12" s="16">
        <f t="shared" ref="R12:R19" si="3">SUM(G12:I12)</f>
        <v>19258</v>
      </c>
      <c r="S12" s="16">
        <f t="shared" ref="S12:S19" si="4">SUM(J12:L12)</f>
        <v>19474</v>
      </c>
      <c r="T12" s="16">
        <f t="shared" ref="T12:T19" si="5">SUM(M12:O12)</f>
        <v>12391</v>
      </c>
      <c r="U12" s="35"/>
    </row>
    <row r="13" spans="1:21" x14ac:dyDescent="0.25">
      <c r="A13" s="10" t="s">
        <v>61</v>
      </c>
      <c r="C13" s="12" t="s">
        <v>278</v>
      </c>
      <c r="D13" s="16">
        <f t="array" ref="D13">SUM(IF(Period=D$4,IF(Site=$B$5,data!$N$2:$N$1784)))</f>
        <v>781</v>
      </c>
      <c r="E13" s="16">
        <f t="array" ref="E13">SUM(IF(Period=E$4,IF(Site=$B$5,data!$N$2:$N$1784)))</f>
        <v>1041</v>
      </c>
      <c r="F13" s="16">
        <f t="array" ref="F13">SUM(IF(Period=F$4,IF(Site=$B$5,data!$N$2:$N$1784)))</f>
        <v>1186</v>
      </c>
      <c r="G13" s="16">
        <f t="array" ref="G13">SUM(IF(Period=G$4,IF(Site=$B$5,data!$N$2:$N$1784)))</f>
        <v>1212</v>
      </c>
      <c r="H13" s="16">
        <f t="array" ref="H13">SUM(IF(Period=H$4,IF(Site=$B$5,data!$N$2:$N$1784)))</f>
        <v>1079</v>
      </c>
      <c r="I13" s="16">
        <f t="array" ref="I13">SUM(IF(Period=I$4,IF(Site=$B$5,data!$N$2:$N$1784)))</f>
        <v>977</v>
      </c>
      <c r="J13" s="16">
        <f t="array" ref="J13">SUM(IF(Period=J$4,IF(Site=$B$5,data!$N$2:$N$1784)))</f>
        <v>973</v>
      </c>
      <c r="K13" s="16">
        <f t="array" ref="K13">SUM(IF(Period=K$4,IF(Site=$B$5,data!$N$2:$N$1784)))</f>
        <v>944</v>
      </c>
      <c r="L13" s="16">
        <f t="array" ref="L13">SUM(IF(Period=L$4,IF(Site=$B$5,data!$N$2:$N$1784)))</f>
        <v>1055</v>
      </c>
      <c r="M13" s="16">
        <f t="array" ref="M13">SUM(IF(Period=M$4,IF(Site=$B$5,data!$N$2:$N$1784)))</f>
        <v>1105</v>
      </c>
      <c r="N13" s="16">
        <f t="array" ref="N13">SUM(IF(Period=N$4,IF(Site=$B$5,data!$N$2:$N$1784)))</f>
        <v>535</v>
      </c>
      <c r="O13" s="16">
        <f t="array" ref="O13">SUM(IF(Period=O$4,IF(Site=$B$5,data!$N$2:$N$1784)))</f>
        <v>622</v>
      </c>
      <c r="Q13" s="16">
        <f t="shared" si="2"/>
        <v>3008</v>
      </c>
      <c r="R13" s="16">
        <f t="shared" si="3"/>
        <v>3268</v>
      </c>
      <c r="S13" s="16">
        <f t="shared" si="4"/>
        <v>2972</v>
      </c>
      <c r="T13" s="16">
        <f t="shared" si="5"/>
        <v>2262</v>
      </c>
      <c r="U13" s="35"/>
    </row>
    <row r="14" spans="1:21" x14ac:dyDescent="0.25">
      <c r="A14" s="10" t="s">
        <v>12</v>
      </c>
      <c r="C14" s="12" t="s">
        <v>279</v>
      </c>
      <c r="D14" s="16">
        <f t="array" ref="D14">SUM(IF(Period=D$4,IF(Site=$B$5,data!$O$2:$O$1784)))</f>
        <v>140</v>
      </c>
      <c r="E14" s="16">
        <f t="array" ref="E14">SUM(IF(Period=E$4,IF(Site=$B$5,data!$O$2:$O$1784)))</f>
        <v>0</v>
      </c>
      <c r="F14" s="16">
        <f t="array" ref="F14">SUM(IF(Period=F$4,IF(Site=$B$5,data!$O$2:$O$1784)))</f>
        <v>0</v>
      </c>
      <c r="G14" s="16">
        <f t="array" ref="G14">SUM(IF(Period=G$4,IF(Site=$B$5,data!$O$2:$O$1784)))</f>
        <v>0</v>
      </c>
      <c r="H14" s="16">
        <f t="array" ref="H14">SUM(IF(Period=H$4,IF(Site=$B$5,data!$O$2:$O$1784)))</f>
        <v>0</v>
      </c>
      <c r="I14" s="16">
        <f t="array" ref="I14">SUM(IF(Period=I$4,IF(Site=$B$5,data!$O$2:$O$1784)))</f>
        <v>0</v>
      </c>
      <c r="J14" s="16">
        <f t="array" ref="J14">SUM(IF(Period=J$4,IF(Site=$B$5,data!$O$2:$O$1784)))</f>
        <v>0</v>
      </c>
      <c r="K14" s="16">
        <f t="array" ref="K14">SUM(IF(Period=K$4,IF(Site=$B$5,data!$O$2:$O$1784)))</f>
        <v>0</v>
      </c>
      <c r="L14" s="16">
        <f t="array" ref="L14">SUM(IF(Period=L$4,IF(Site=$B$5,data!$O$2:$O$1784)))</f>
        <v>0</v>
      </c>
      <c r="M14" s="16">
        <f t="array" ref="M14">SUM(IF(Period=M$4,IF(Site=$B$5,data!$O$2:$O$1784)))</f>
        <v>0</v>
      </c>
      <c r="N14" s="16">
        <f t="array" ref="N14">SUM(IF(Period=N$4,IF(Site=$B$5,data!$O$2:$O$1784)))</f>
        <v>0</v>
      </c>
      <c r="O14" s="16">
        <f t="array" ref="O14">SUM(IF(Period=O$4,IF(Site=$B$5,data!$O$2:$O$1784)))</f>
        <v>0</v>
      </c>
      <c r="Q14" s="16">
        <f t="shared" si="2"/>
        <v>140</v>
      </c>
      <c r="R14" s="16">
        <f t="shared" si="3"/>
        <v>0</v>
      </c>
      <c r="S14" s="16">
        <f t="shared" si="4"/>
        <v>0</v>
      </c>
      <c r="T14" s="16">
        <f t="shared" si="5"/>
        <v>0</v>
      </c>
      <c r="U14" s="35"/>
    </row>
    <row r="15" spans="1:21" x14ac:dyDescent="0.25">
      <c r="A15" s="10" t="s">
        <v>8</v>
      </c>
      <c r="C15" s="12" t="s">
        <v>280</v>
      </c>
      <c r="D15" s="16">
        <f t="array" ref="D15">SUM(IF(Period=D$4,IF(Site=$B$5,data!$P$2:$P$1784)))</f>
        <v>1</v>
      </c>
      <c r="E15" s="16">
        <f t="array" ref="E15">SUM(IF(Period=E$4,IF(Site=$B$5,data!$P$2:$P$1784)))</f>
        <v>0</v>
      </c>
      <c r="F15" s="16">
        <f t="array" ref="F15">SUM(IF(Period=F$4,IF(Site=$B$5,data!$P$2:$P$1784)))</f>
        <v>3</v>
      </c>
      <c r="G15" s="16">
        <f t="array" ref="G15">SUM(IF(Period=G$4,IF(Site=$B$5,data!$P$2:$P$1784)))</f>
        <v>6</v>
      </c>
      <c r="H15" s="16">
        <f t="array" ref="H15">SUM(IF(Period=H$4,IF(Site=$B$5,data!$P$2:$P$1784)))</f>
        <v>9</v>
      </c>
      <c r="I15" s="16">
        <f t="array" ref="I15">SUM(IF(Period=I$4,IF(Site=$B$5,data!$P$2:$P$1784)))</f>
        <v>1</v>
      </c>
      <c r="J15" s="16">
        <f t="array" ref="J15">SUM(IF(Period=J$4,IF(Site=$B$5,data!$P$2:$P$1784)))</f>
        <v>5</v>
      </c>
      <c r="K15" s="16">
        <f t="array" ref="K15">SUM(IF(Period=K$4,IF(Site=$B$5,data!$P$2:$P$1784)))</f>
        <v>0</v>
      </c>
      <c r="L15" s="16">
        <f t="array" ref="L15">SUM(IF(Period=L$4,IF(Site=$B$5,data!$P$2:$P$1784)))</f>
        <v>3</v>
      </c>
      <c r="M15" s="16">
        <f t="array" ref="M15">SUM(IF(Period=M$4,IF(Site=$B$5,data!$P$2:$P$1784)))</f>
        <v>5</v>
      </c>
      <c r="N15" s="16">
        <f t="array" ref="N15">SUM(IF(Period=N$4,IF(Site=$B$5,data!$P$2:$P$1784)))</f>
        <v>0</v>
      </c>
      <c r="O15" s="16">
        <f t="array" ref="O15">SUM(IF(Period=O$4,IF(Site=$B$5,data!$P$2:$P$1784)))</f>
        <v>0</v>
      </c>
      <c r="Q15" s="16">
        <f t="shared" si="2"/>
        <v>4</v>
      </c>
      <c r="R15" s="16">
        <f t="shared" si="3"/>
        <v>16</v>
      </c>
      <c r="S15" s="16">
        <f t="shared" si="4"/>
        <v>8</v>
      </c>
      <c r="T15" s="16">
        <f t="shared" si="5"/>
        <v>5</v>
      </c>
      <c r="U15" s="35"/>
    </row>
    <row r="16" spans="1:21" x14ac:dyDescent="0.25">
      <c r="A16" s="10" t="s">
        <v>9</v>
      </c>
      <c r="C16" s="12" t="s">
        <v>281</v>
      </c>
      <c r="D16" s="16">
        <f t="array" ref="D16">SUM(IF(Period=D$4,IF(Site=$B$5,data!$Q$2:$Q$1784)))</f>
        <v>1900</v>
      </c>
      <c r="E16" s="16">
        <f t="array" ref="E16">SUM(IF(Period=E$4,IF(Site=$B$5,data!$Q$2:$Q$1784)))</f>
        <v>2383</v>
      </c>
      <c r="F16" s="16">
        <f t="array" ref="F16">SUM(IF(Period=F$4,IF(Site=$B$5,data!$Q$2:$Q$1784)))</f>
        <v>2641</v>
      </c>
      <c r="G16" s="16">
        <f t="array" ref="G16">SUM(IF(Period=G$4,IF(Site=$B$5,data!$Q$2:$Q$1784)))</f>
        <v>2499</v>
      </c>
      <c r="H16" s="16">
        <f t="array" ref="H16">SUM(IF(Period=H$4,IF(Site=$B$5,data!$Q$2:$Q$1784)))</f>
        <v>2894</v>
      </c>
      <c r="I16" s="16">
        <f t="array" ref="I16">SUM(IF(Period=I$4,IF(Site=$B$5,data!$Q$2:$Q$1784)))</f>
        <v>2889</v>
      </c>
      <c r="J16" s="16">
        <f t="array" ref="J16">SUM(IF(Period=J$4,IF(Site=$B$5,data!$Q$2:$Q$1784)))</f>
        <v>3075</v>
      </c>
      <c r="K16" s="16">
        <f t="array" ref="K16">SUM(IF(Period=K$4,IF(Site=$B$5,data!$Q$2:$Q$1784)))</f>
        <v>2794</v>
      </c>
      <c r="L16" s="16">
        <f t="array" ref="L16">SUM(IF(Period=L$4,IF(Site=$B$5,data!$Q$2:$Q$1784)))</f>
        <v>2669</v>
      </c>
      <c r="M16" s="16">
        <f t="array" ref="M16">SUM(IF(Period=M$4,IF(Site=$B$5,data!$Q$2:$Q$1784)))</f>
        <v>2606</v>
      </c>
      <c r="N16" s="16">
        <f t="array" ref="N16">SUM(IF(Period=N$4,IF(Site=$B$5,data!$Q$2:$Q$1784)))</f>
        <v>1109</v>
      </c>
      <c r="O16" s="16">
        <f t="array" ref="O16">SUM(IF(Period=O$4,IF(Site=$B$5,data!$Q$2:$Q$1784)))</f>
        <v>1424</v>
      </c>
      <c r="Q16" s="16">
        <f t="shared" si="2"/>
        <v>6924</v>
      </c>
      <c r="R16" s="16">
        <f t="shared" si="3"/>
        <v>8282</v>
      </c>
      <c r="S16" s="16">
        <f t="shared" si="4"/>
        <v>8538</v>
      </c>
      <c r="T16" s="16">
        <f t="shared" si="5"/>
        <v>5139</v>
      </c>
      <c r="U16" s="35"/>
    </row>
    <row r="17" spans="1:22" x14ac:dyDescent="0.25">
      <c r="A17" s="10" t="s">
        <v>10</v>
      </c>
      <c r="C17" s="12" t="s">
        <v>282</v>
      </c>
      <c r="D17" s="16">
        <f t="array" ref="D17">SUM(IF(Period=D$4,IF(Site=$B$5,data!$R$2:$R$1784)))</f>
        <v>9</v>
      </c>
      <c r="E17" s="16">
        <f t="array" ref="E17">SUM(IF(Period=E$4,IF(Site=$B$5,data!$R$2:$R$1784)))</f>
        <v>4</v>
      </c>
      <c r="F17" s="16">
        <f t="array" ref="F17">SUM(IF(Period=F$4,IF(Site=$B$5,data!$R$2:$R$1784)))</f>
        <v>19</v>
      </c>
      <c r="G17" s="16">
        <f t="array" ref="G17">SUM(IF(Period=G$4,IF(Site=$B$5,data!$R$2:$R$1784)))</f>
        <v>14</v>
      </c>
      <c r="H17" s="16">
        <f t="array" ref="H17">SUM(IF(Period=H$4,IF(Site=$B$5,data!$R$2:$R$1784)))</f>
        <v>10</v>
      </c>
      <c r="I17" s="16">
        <f t="array" ref="I17">SUM(IF(Period=I$4,IF(Site=$B$5,data!$R$2:$R$1784)))</f>
        <v>8</v>
      </c>
      <c r="J17" s="16">
        <f t="array" ref="J17">SUM(IF(Period=J$4,IF(Site=$B$5,data!$R$2:$R$1784)))</f>
        <v>2</v>
      </c>
      <c r="K17" s="16">
        <f t="array" ref="K17">SUM(IF(Period=K$4,IF(Site=$B$5,data!$R$2:$R$1784)))</f>
        <v>6</v>
      </c>
      <c r="L17" s="16">
        <f t="array" ref="L17">SUM(IF(Period=L$4,IF(Site=$B$5,data!$R$2:$R$1784)))</f>
        <v>3</v>
      </c>
      <c r="M17" s="16">
        <f t="array" ref="M17">SUM(IF(Period=M$4,IF(Site=$B$5,data!$R$2:$R$1784)))</f>
        <v>8</v>
      </c>
      <c r="N17" s="16">
        <f t="array" ref="N17">SUM(IF(Period=N$4,IF(Site=$B$5,data!$R$2:$R$1784)))</f>
        <v>0</v>
      </c>
      <c r="O17" s="16">
        <f t="array" ref="O17">SUM(IF(Period=O$4,IF(Site=$B$5,data!$R$2:$R$1784)))</f>
        <v>0</v>
      </c>
      <c r="Q17" s="16">
        <f t="shared" si="2"/>
        <v>32</v>
      </c>
      <c r="R17" s="16">
        <f t="shared" si="3"/>
        <v>32</v>
      </c>
      <c r="S17" s="16">
        <f t="shared" si="4"/>
        <v>11</v>
      </c>
      <c r="T17" s="16">
        <f t="shared" si="5"/>
        <v>8</v>
      </c>
      <c r="U17" s="35"/>
    </row>
    <row r="18" spans="1:22" x14ac:dyDescent="0.25">
      <c r="A18" s="10" t="s">
        <v>11</v>
      </c>
      <c r="C18" s="12" t="s">
        <v>283</v>
      </c>
      <c r="D18" s="16">
        <f t="array" ref="D18">SUM(IF(Period=D$4,IF(Site=$B$5,data!$S$2:$S$1784)))</f>
        <v>0</v>
      </c>
      <c r="E18" s="16">
        <f t="array" ref="E18">SUM(IF(Period=E$4,IF(Site=$B$5,data!$S$2:$S$1784)))</f>
        <v>1792</v>
      </c>
      <c r="F18" s="16">
        <f t="array" ref="F18">SUM(IF(Period=F$4,IF(Site=$B$5,data!$S$2:$S$1784)))</f>
        <v>2656</v>
      </c>
      <c r="G18" s="16">
        <f t="array" ref="G18">SUM(IF(Period=G$4,IF(Site=$B$5,data!$S$2:$S$1784)))</f>
        <v>2457</v>
      </c>
      <c r="H18" s="16">
        <f t="array" ref="H18">SUM(IF(Period=H$4,IF(Site=$B$5,data!$S$2:$S$1784)))</f>
        <v>2604</v>
      </c>
      <c r="I18" s="16">
        <f t="array" ref="I18">SUM(IF(Period=I$4,IF(Site=$B$5,data!$S$2:$S$1784)))</f>
        <v>2534</v>
      </c>
      <c r="J18" s="16">
        <f t="array" ref="J18">SUM(IF(Period=J$4,IF(Site=$B$5,data!$S$2:$S$1784)))</f>
        <v>2734</v>
      </c>
      <c r="K18" s="16">
        <f t="array" ref="K18">SUM(IF(Period=K$4,IF(Site=$B$5,data!$S$2:$S$1784)))</f>
        <v>2572</v>
      </c>
      <c r="L18" s="16">
        <f t="array" ref="L18">SUM(IF(Period=L$4,IF(Site=$B$5,data!$S$2:$S$1784)))</f>
        <v>2601</v>
      </c>
      <c r="M18" s="16">
        <f t="array" ref="M18">SUM(IF(Period=M$4,IF(Site=$B$5,data!$S$2:$S$1784)))</f>
        <v>2422</v>
      </c>
      <c r="N18" s="16">
        <f t="array" ref="N18">SUM(IF(Period=N$4,IF(Site=$B$5,data!$S$2:$S$1784)))</f>
        <v>1088</v>
      </c>
      <c r="O18" s="16">
        <f t="array" ref="O18">SUM(IF(Period=O$4,IF(Site=$B$5,data!$S$2:$S$1784)))</f>
        <v>1432</v>
      </c>
      <c r="Q18" s="16">
        <f t="shared" si="2"/>
        <v>4448</v>
      </c>
      <c r="R18" s="16">
        <f t="shared" si="3"/>
        <v>7595</v>
      </c>
      <c r="S18" s="16">
        <f t="shared" si="4"/>
        <v>7907</v>
      </c>
      <c r="T18" s="16">
        <f t="shared" si="5"/>
        <v>4942</v>
      </c>
      <c r="U18" s="35"/>
    </row>
    <row r="19" spans="1:22" x14ac:dyDescent="0.25">
      <c r="A19" s="10" t="s">
        <v>13</v>
      </c>
      <c r="C19" s="12" t="s">
        <v>284</v>
      </c>
      <c r="D19" s="16">
        <f t="array" ref="D19">SUM(IF(Period=D$4,IF(Site=$B$5,data!$T$2:$T$1784)))</f>
        <v>0</v>
      </c>
      <c r="E19" s="16">
        <f t="array" ref="E19">SUM(IF(Period=E$4,IF(Site=$B$5,data!$T$2:$T$1784)))</f>
        <v>13</v>
      </c>
      <c r="F19" s="16">
        <f t="array" ref="F19">SUM(IF(Period=F$4,IF(Site=$B$5,data!$T$2:$T$1784)))</f>
        <v>19</v>
      </c>
      <c r="G19" s="16">
        <f t="array" ref="G19">SUM(IF(Period=G$4,IF(Site=$B$5,data!$T$2:$T$1784)))</f>
        <v>23</v>
      </c>
      <c r="H19" s="16">
        <f t="array" ref="H19">SUM(IF(Period=H$4,IF(Site=$B$5,data!$T$2:$T$1784)))</f>
        <v>29</v>
      </c>
      <c r="I19" s="16">
        <f t="array" ref="I19">SUM(IF(Period=I$4,IF(Site=$B$5,data!$T$2:$T$1784)))</f>
        <v>13</v>
      </c>
      <c r="J19" s="16">
        <f t="array" ref="J19">SUM(IF(Period=J$4,IF(Site=$B$5,data!$T$2:$T$1784)))</f>
        <v>15</v>
      </c>
      <c r="K19" s="16">
        <f t="array" ref="K19">SUM(IF(Period=K$4,IF(Site=$B$5,data!$T$2:$T$1784)))</f>
        <v>12</v>
      </c>
      <c r="L19" s="16">
        <f t="array" ref="L19">SUM(IF(Period=L$4,IF(Site=$B$5,data!$T$2:$T$1784)))</f>
        <v>11</v>
      </c>
      <c r="M19" s="16">
        <f t="array" ref="M19">SUM(IF(Period=M$4,IF(Site=$B$5,data!$T$2:$T$1784)))</f>
        <v>14</v>
      </c>
      <c r="N19" s="16">
        <f t="array" ref="N19">SUM(IF(Period=N$4,IF(Site=$B$5,data!$T$2:$T$1784)))</f>
        <v>6</v>
      </c>
      <c r="O19" s="16">
        <f t="array" ref="O19">SUM(IF(Period=O$4,IF(Site=$B$5,data!$T$2:$T$1784)))</f>
        <v>15</v>
      </c>
      <c r="Q19" s="16">
        <f t="shared" si="2"/>
        <v>32</v>
      </c>
      <c r="R19" s="16">
        <f t="shared" si="3"/>
        <v>65</v>
      </c>
      <c r="S19" s="16">
        <f t="shared" si="4"/>
        <v>38</v>
      </c>
      <c r="T19" s="16">
        <f t="shared" si="5"/>
        <v>35</v>
      </c>
      <c r="U19" s="35"/>
    </row>
    <row r="20" spans="1:22" x14ac:dyDescent="0.25">
      <c r="A20" s="10" t="s">
        <v>14</v>
      </c>
      <c r="C20" s="14" t="s">
        <v>285</v>
      </c>
      <c r="D20" s="15">
        <f>IF(D12=0,0,(D13+D14+D16)/D12)</f>
        <v>0.99681978798586568</v>
      </c>
      <c r="E20" s="15">
        <f>IF(E12=0,0,(E13+E14+E16+E18+E19)/E12)</f>
        <v>0.99923562010319134</v>
      </c>
      <c r="F20" s="15">
        <f t="shared" ref="F20:O20" si="6">IF(F12=0,0,(F13+F14+F16+F18+F19)/F12)</f>
        <v>0.99662783568362967</v>
      </c>
      <c r="G20" s="15">
        <f t="shared" si="6"/>
        <v>0.99677990661729188</v>
      </c>
      <c r="H20" s="15">
        <f t="shared" si="6"/>
        <v>0.99713207547169813</v>
      </c>
      <c r="I20" s="15">
        <f t="shared" si="6"/>
        <v>0.99859856742447839</v>
      </c>
      <c r="J20" s="15">
        <f t="shared" si="6"/>
        <v>0.99897119341563789</v>
      </c>
      <c r="K20" s="15">
        <f t="shared" si="6"/>
        <v>0.99905183312262957</v>
      </c>
      <c r="L20" s="15">
        <f t="shared" si="6"/>
        <v>0.99905392620624411</v>
      </c>
      <c r="M20" s="15">
        <f t="shared" si="6"/>
        <v>0.99788961038961044</v>
      </c>
      <c r="N20" s="15">
        <f t="shared" si="6"/>
        <v>1</v>
      </c>
      <c r="O20" s="15">
        <f t="shared" si="6"/>
        <v>1</v>
      </c>
      <c r="P20" s="17"/>
      <c r="Q20" s="15">
        <f t="shared" ref="Q20:T20" si="7">IF(Q12=0,0,(Q13+Q14+Q16+Q18+Q19)/Q12)</f>
        <v>0.99760060327689037</v>
      </c>
      <c r="R20" s="15">
        <f t="shared" si="7"/>
        <v>0.99750752933845677</v>
      </c>
      <c r="S20" s="15">
        <f t="shared" si="7"/>
        <v>0.99902434014583552</v>
      </c>
      <c r="T20" s="15">
        <f t="shared" si="7"/>
        <v>0.99895085142442097</v>
      </c>
      <c r="U20" s="35"/>
      <c r="V20" s="36"/>
    </row>
    <row r="21" spans="1:22" x14ac:dyDescent="0.25">
      <c r="A21" s="10" t="s">
        <v>15</v>
      </c>
      <c r="C21" s="14" t="s">
        <v>286</v>
      </c>
      <c r="D21" s="15">
        <f>IF(AND(D6=0,D12=0),0,(SUM(D7:D9)+D13+D14+D16+D18+D19)/(D6+D12))</f>
        <v>0.99697071693032646</v>
      </c>
      <c r="E21" s="15">
        <f t="shared" ref="E21:O21" si="8">IF(AND(E6=0,E12=0),0,(SUM(E7:E9)+E13+E14+E16+E18+E19)/(E6+E12))</f>
        <v>0.99927667269439424</v>
      </c>
      <c r="F21" s="15">
        <f t="shared" si="8"/>
        <v>0.99682034976152623</v>
      </c>
      <c r="G21" s="15">
        <f t="shared" si="8"/>
        <v>0.99697061496516204</v>
      </c>
      <c r="H21" s="15">
        <f t="shared" si="8"/>
        <v>0.99717554017794097</v>
      </c>
      <c r="I21" s="15">
        <f t="shared" si="8"/>
        <v>0.99853993283691045</v>
      </c>
      <c r="J21" s="15">
        <f t="shared" si="8"/>
        <v>0.99862542955326461</v>
      </c>
      <c r="K21" s="15">
        <f t="shared" si="8"/>
        <v>0.99895848832019041</v>
      </c>
      <c r="L21" s="15">
        <f t="shared" si="8"/>
        <v>0.99895662542852881</v>
      </c>
      <c r="M21" s="15">
        <f t="shared" si="8"/>
        <v>0.99788039364118097</v>
      </c>
      <c r="N21" s="15">
        <f t="shared" si="8"/>
        <v>0.99965541006202618</v>
      </c>
      <c r="O21" s="15">
        <f t="shared" si="8"/>
        <v>0.99973038554866545</v>
      </c>
      <c r="P21" s="17"/>
      <c r="Q21" s="15">
        <f t="shared" ref="Q21:T21" si="9">IF(AND(Q6=0,Q12=0),0,(SUM(Q7:Q9)+Q13+Q14+Q16+Q18+Q19)/(Q6+Q12))</f>
        <v>0.99773022049286642</v>
      </c>
      <c r="R21" s="15">
        <f t="shared" si="9"/>
        <v>0.99756477693356715</v>
      </c>
      <c r="S21" s="15">
        <f t="shared" si="9"/>
        <v>0.99884085969572567</v>
      </c>
      <c r="T21" s="15">
        <f t="shared" si="9"/>
        <v>0.99878934624697335</v>
      </c>
      <c r="U21" s="35"/>
      <c r="V21" s="36"/>
    </row>
    <row r="22" spans="1:22" x14ac:dyDescent="0.25">
      <c r="A22" s="10"/>
    </row>
    <row r="23" spans="1:22" ht="18.75" x14ac:dyDescent="0.3">
      <c r="A23" s="10"/>
      <c r="B23" s="13" t="s">
        <v>22</v>
      </c>
    </row>
    <row r="24" spans="1:22" x14ac:dyDescent="0.25">
      <c r="A24" s="10" t="s">
        <v>5</v>
      </c>
      <c r="C24" s="12" t="s">
        <v>272</v>
      </c>
      <c r="D24" s="16">
        <f t="array" ref="D24">SUM(IF(Period=D$4,IF(Site=$B$23,data!$G$2:$G$1784)))</f>
        <v>399</v>
      </c>
      <c r="E24" s="16">
        <f t="array" ref="E24">SUM(IF(Period=E$4,IF(Site=$B$23,data!$G$2:$G$1784)))</f>
        <v>447</v>
      </c>
      <c r="F24" s="16">
        <f t="array" ref="F24">SUM(IF(Period=F$4,IF(Site=$B$23,data!$G$2:$G$1784)))</f>
        <v>450</v>
      </c>
      <c r="G24" s="16">
        <f t="array" ref="G24">SUM(IF(Period=G$4,IF(Site=$B$23,data!$G$2:$G$1784)))</f>
        <v>425</v>
      </c>
      <c r="H24" s="16">
        <f t="array" ref="H24">SUM(IF(Period=H$4,IF(Site=$B$23,data!$G$2:$G$1784)))</f>
        <v>453</v>
      </c>
      <c r="I24" s="16">
        <f t="array" ref="I24">SUM(IF(Period=I$4,IF(Site=$B$23,data!$G$2:$G$1784)))</f>
        <v>393</v>
      </c>
      <c r="J24" s="16">
        <f t="array" ref="J24">SUM(IF(Period=J$4,IF(Site=$B$23,data!$G$2:$G$1784)))</f>
        <v>446</v>
      </c>
      <c r="K24" s="16">
        <f t="array" ref="K24">SUM(IF(Period=K$4,IF(Site=$B$23,data!$G$2:$G$1784)))</f>
        <v>429</v>
      </c>
      <c r="L24" s="16">
        <f t="array" ref="L24">SUM(IF(Period=L$4,IF(Site=$B$23,data!$G$2:$G$1784)))</f>
        <v>379</v>
      </c>
      <c r="M24" s="16">
        <f t="array" ref="M24">SUM(IF(Period=M$4,IF(Site=$B$23,data!$G$2:$G$1784)))</f>
        <v>396</v>
      </c>
      <c r="N24" s="16">
        <f t="array" ref="N24">SUM(IF(Period=N$4,IF(Site=$B$23,data!$G$2:$G$1784)))</f>
        <v>401</v>
      </c>
      <c r="O24" s="16">
        <f t="array" ref="O24">SUM(IF(Period=O$4,IF(Site=$B$23,data!$G$2:$G$1784)))</f>
        <v>225</v>
      </c>
      <c r="Q24" s="16">
        <f>SUM(D24:F24)</f>
        <v>1296</v>
      </c>
      <c r="R24" s="16">
        <f>SUM(G24:I24)</f>
        <v>1271</v>
      </c>
      <c r="S24" s="16">
        <f>SUM(J24:L24)</f>
        <v>1254</v>
      </c>
      <c r="T24" s="16">
        <f>SUM(M24:O24)</f>
        <v>1022</v>
      </c>
    </row>
    <row r="25" spans="1:22" x14ac:dyDescent="0.25">
      <c r="A25" s="10" t="s">
        <v>0</v>
      </c>
      <c r="C25" s="12" t="s">
        <v>0</v>
      </c>
      <c r="D25" s="16">
        <f t="array" ref="D25">SUM(IF(Period=D$4,IF(Site=$B$23,data!$H$2:$H$1784)))</f>
        <v>398</v>
      </c>
      <c r="E25" s="16">
        <f t="array" ref="E25">SUM(IF(Period=E$4,IF(Site=$B$23,data!$H$2:$H$1784)))</f>
        <v>435</v>
      </c>
      <c r="F25" s="16">
        <f t="array" ref="F25">SUM(IF(Period=F$4,IF(Site=$B$23,data!$H$2:$H$1784)))</f>
        <v>448</v>
      </c>
      <c r="G25" s="16">
        <f t="array" ref="G25">SUM(IF(Period=G$4,IF(Site=$B$23,data!$H$2:$H$1784)))</f>
        <v>423</v>
      </c>
      <c r="H25" s="16">
        <f t="array" ref="H25">SUM(IF(Period=H$4,IF(Site=$B$23,data!$H$2:$H$1784)))</f>
        <v>447</v>
      </c>
      <c r="I25" s="16">
        <f t="array" ref="I25">SUM(IF(Period=I$4,IF(Site=$B$23,data!$H$2:$H$1784)))</f>
        <v>388</v>
      </c>
      <c r="J25" s="16">
        <f t="array" ref="J25">SUM(IF(Period=J$4,IF(Site=$B$23,data!$H$2:$H$1784)))</f>
        <v>445</v>
      </c>
      <c r="K25" s="16">
        <f t="array" ref="K25">SUM(IF(Period=K$4,IF(Site=$B$23,data!$H$2:$H$1784)))</f>
        <v>428</v>
      </c>
      <c r="L25" s="16">
        <f t="array" ref="L25">SUM(IF(Period=L$4,IF(Site=$B$23,data!$H$2:$H$1784)))</f>
        <v>377</v>
      </c>
      <c r="M25" s="16">
        <f t="array" ref="M25">SUM(IF(Period=M$4,IF(Site=$B$23,data!$H$2:$H$1784)))</f>
        <v>393</v>
      </c>
      <c r="N25" s="16">
        <f t="array" ref="N25">SUM(IF(Period=N$4,IF(Site=$B$23,data!$H$2:$H$1784)))</f>
        <v>399</v>
      </c>
      <c r="O25" s="16">
        <f t="array" ref="O25">SUM(IF(Period=O$4,IF(Site=$B$23,data!$H$2:$H$1784)))</f>
        <v>225</v>
      </c>
      <c r="Q25" s="16">
        <f>SUM(D25:F25)</f>
        <v>1281</v>
      </c>
      <c r="R25" s="16">
        <f>SUM(G25:I25)</f>
        <v>1258</v>
      </c>
      <c r="S25" s="16">
        <f>SUM(J25:L25)</f>
        <v>1250</v>
      </c>
      <c r="T25" s="16">
        <f>SUM(M25:O25)</f>
        <v>1017</v>
      </c>
    </row>
    <row r="26" spans="1:22" x14ac:dyDescent="0.25">
      <c r="A26" s="10" t="s">
        <v>2</v>
      </c>
      <c r="C26" s="12" t="s">
        <v>273</v>
      </c>
      <c r="D26" s="16">
        <f t="array" ref="D26">SUM(IF(Period=D$4,IF(Site=$B$23,data!$I$2:$I$1784)))</f>
        <v>0</v>
      </c>
      <c r="E26" s="16">
        <f t="array" ref="E26">SUM(IF(Period=E$4,IF(Site=$B$23,data!$I$2:$I$1784)))</f>
        <v>9</v>
      </c>
      <c r="F26" s="16">
        <f t="array" ref="F26">SUM(IF(Period=F$4,IF(Site=$B$23,data!$I$2:$I$1784)))</f>
        <v>0</v>
      </c>
      <c r="G26" s="16">
        <f t="array" ref="G26">SUM(IF(Period=G$4,IF(Site=$B$23,data!$I$2:$I$1784)))</f>
        <v>0</v>
      </c>
      <c r="H26" s="16">
        <f t="array" ref="H26">SUM(IF(Period=H$4,IF(Site=$B$23,data!$I$2:$I$1784)))</f>
        <v>0</v>
      </c>
      <c r="I26" s="16">
        <f t="array" ref="I26">SUM(IF(Period=I$4,IF(Site=$B$23,data!$I$2:$I$1784)))</f>
        <v>0</v>
      </c>
      <c r="J26" s="16">
        <f t="array" ref="J26">SUM(IF(Period=J$4,IF(Site=$B$23,data!$I$2:$I$1784)))</f>
        <v>0</v>
      </c>
      <c r="K26" s="16">
        <f t="array" ref="K26">SUM(IF(Period=K$4,IF(Site=$B$23,data!$I$2:$I$1784)))</f>
        <v>0</v>
      </c>
      <c r="L26" s="16">
        <f t="array" ref="L26">SUM(IF(Period=L$4,IF(Site=$B$23,data!$I$2:$I$1784)))</f>
        <v>0</v>
      </c>
      <c r="M26" s="16">
        <f t="array" ref="M26">SUM(IF(Period=M$4,IF(Site=$B$23,data!$I$2:$I$1784)))</f>
        <v>0</v>
      </c>
      <c r="N26" s="16">
        <f t="array" ref="N26">SUM(IF(Period=N$4,IF(Site=$B$23,data!$I$2:$I$1784)))</f>
        <v>1</v>
      </c>
      <c r="O26" s="16">
        <f t="array" ref="O26">SUM(IF(Period=O$4,IF(Site=$B$23,data!$I$2:$I$1784)))</f>
        <v>0</v>
      </c>
      <c r="Q26" s="16">
        <f>SUM(D26:F26)</f>
        <v>9</v>
      </c>
      <c r="R26" s="16">
        <f>SUM(G26:I26)</f>
        <v>0</v>
      </c>
      <c r="S26" s="16">
        <f>SUM(J26:L26)</f>
        <v>0</v>
      </c>
      <c r="T26" s="16">
        <f>SUM(M26:O26)</f>
        <v>1</v>
      </c>
    </row>
    <row r="27" spans="1:22" x14ac:dyDescent="0.25">
      <c r="A27" s="10" t="s">
        <v>3</v>
      </c>
      <c r="C27" s="12" t="s">
        <v>274</v>
      </c>
      <c r="D27" s="16">
        <f t="array" ref="D27">SUM(IF(Period=D$4,IF(Site=$B$23,data!$J$2:$J$1784)))</f>
        <v>0</v>
      </c>
      <c r="E27" s="16">
        <f t="array" ref="E27">SUM(IF(Period=E$4,IF(Site=$B$23,data!$J$2:$J$1784)))</f>
        <v>0</v>
      </c>
      <c r="F27" s="16">
        <f t="array" ref="F27">SUM(IF(Period=F$4,IF(Site=$B$23,data!$J$2:$J$1784)))</f>
        <v>0</v>
      </c>
      <c r="G27" s="16">
        <f t="array" ref="G27">SUM(IF(Period=G$4,IF(Site=$B$23,data!$J$2:$J$1784)))</f>
        <v>0</v>
      </c>
      <c r="H27" s="16">
        <f t="array" ref="H27">SUM(IF(Period=H$4,IF(Site=$B$23,data!$J$2:$J$1784)))</f>
        <v>0</v>
      </c>
      <c r="I27" s="16">
        <f t="array" ref="I27">SUM(IF(Period=I$4,IF(Site=$B$23,data!$J$2:$J$1784)))</f>
        <v>0</v>
      </c>
      <c r="J27" s="16">
        <f t="array" ref="J27">SUM(IF(Period=J$4,IF(Site=$B$23,data!$J$2:$J$1784)))</f>
        <v>0</v>
      </c>
      <c r="K27" s="16">
        <f t="array" ref="K27">SUM(IF(Period=K$4,IF(Site=$B$23,data!$J$2:$J$1784)))</f>
        <v>0</v>
      </c>
      <c r="L27" s="16">
        <f t="array" ref="L27">SUM(IF(Period=L$4,IF(Site=$B$23,data!$J$2:$J$1784)))</f>
        <v>0</v>
      </c>
      <c r="M27" s="16">
        <f t="array" ref="M27">SUM(IF(Period=M$4,IF(Site=$B$23,data!$J$2:$J$1784)))</f>
        <v>0</v>
      </c>
      <c r="N27" s="16">
        <f t="array" ref="N27">SUM(IF(Period=N$4,IF(Site=$B$23,data!$J$2:$J$1784)))</f>
        <v>0</v>
      </c>
      <c r="O27" s="16">
        <f t="array" ref="O27">SUM(IF(Period=O$4,IF(Site=$B$23,data!$J$2:$J$1784)))</f>
        <v>0</v>
      </c>
      <c r="Q27" s="16">
        <f>SUM(D27:F27)</f>
        <v>0</v>
      </c>
      <c r="R27" s="16">
        <f>SUM(G27:I27)</f>
        <v>0</v>
      </c>
      <c r="S27" s="16">
        <f>SUM(J27:L27)</f>
        <v>0</v>
      </c>
      <c r="T27" s="16">
        <f>SUM(M27:O27)</f>
        <v>0</v>
      </c>
    </row>
    <row r="28" spans="1:22" x14ac:dyDescent="0.25">
      <c r="A28" s="10" t="s">
        <v>4</v>
      </c>
      <c r="C28" s="12" t="s">
        <v>275</v>
      </c>
      <c r="D28" s="16">
        <f t="array" ref="D28">SUM(IF(Period=D$4,IF(Site=$B$23,data!$K$2:$K$1784)))</f>
        <v>1</v>
      </c>
      <c r="E28" s="16">
        <f t="array" ref="E28">SUM(IF(Period=E$4,IF(Site=$B$23,data!$K$2:$K$1784)))</f>
        <v>3</v>
      </c>
      <c r="F28" s="16">
        <f t="array" ref="F28">SUM(IF(Period=F$4,IF(Site=$B$23,data!$K$2:$K$1784)))</f>
        <v>2</v>
      </c>
      <c r="G28" s="16">
        <f t="array" ref="G28">SUM(IF(Period=G$4,IF(Site=$B$23,data!$K$2:$K$1784)))</f>
        <v>2</v>
      </c>
      <c r="H28" s="16">
        <f t="array" ref="H28">SUM(IF(Period=H$4,IF(Site=$B$23,data!$K$2:$K$1784)))</f>
        <v>6</v>
      </c>
      <c r="I28" s="16">
        <f t="array" ref="I28">SUM(IF(Period=I$4,IF(Site=$B$23,data!$K$2:$K$1784)))</f>
        <v>5</v>
      </c>
      <c r="J28" s="16">
        <f t="array" ref="J28">SUM(IF(Period=J$4,IF(Site=$B$23,data!$K$2:$K$1784)))</f>
        <v>1</v>
      </c>
      <c r="K28" s="16">
        <f t="array" ref="K28">SUM(IF(Period=K$4,IF(Site=$B$23,data!$K$2:$K$1784)))</f>
        <v>1</v>
      </c>
      <c r="L28" s="16">
        <f t="array" ref="L28">SUM(IF(Period=L$4,IF(Site=$B$23,data!$K$2:$K$1784)))</f>
        <v>2</v>
      </c>
      <c r="M28" s="16">
        <f t="array" ref="M28">SUM(IF(Period=M$4,IF(Site=$B$23,data!$K$2:$K$1784)))</f>
        <v>3</v>
      </c>
      <c r="N28" s="16">
        <f t="array" ref="N28">SUM(IF(Period=N$4,IF(Site=$B$23,data!$K$2:$K$1784)))</f>
        <v>1</v>
      </c>
      <c r="O28" s="16">
        <f t="array" ref="O28">SUM(IF(Period=O$4,IF(Site=$B$23,data!$K$2:$K$1784)))</f>
        <v>0</v>
      </c>
      <c r="Q28" s="16">
        <f>SUM(D28:F28)</f>
        <v>6</v>
      </c>
      <c r="R28" s="16">
        <f>SUM(G28:I28)</f>
        <v>13</v>
      </c>
      <c r="S28" s="16">
        <f>SUM(J28:L28)</f>
        <v>4</v>
      </c>
      <c r="T28" s="16">
        <f>SUM(M28:O28)</f>
        <v>4</v>
      </c>
    </row>
    <row r="29" spans="1:22" x14ac:dyDescent="0.25">
      <c r="A29" s="10" t="s">
        <v>6</v>
      </c>
      <c r="C29" s="14" t="s">
        <v>276</v>
      </c>
      <c r="D29" s="15">
        <f>IF(D24=0,0,SUM(D25:D27)/D24)</f>
        <v>0.99749373433583954</v>
      </c>
      <c r="E29" s="15">
        <f t="shared" ref="E29:O29" si="10">IF(E24=0,0,SUM(E25:E27)/E24)</f>
        <v>0.99328859060402686</v>
      </c>
      <c r="F29" s="15">
        <f t="shared" si="10"/>
        <v>0.99555555555555553</v>
      </c>
      <c r="G29" s="15">
        <f t="shared" si="10"/>
        <v>0.99529411764705877</v>
      </c>
      <c r="H29" s="15">
        <f t="shared" si="10"/>
        <v>0.98675496688741726</v>
      </c>
      <c r="I29" s="15">
        <f t="shared" si="10"/>
        <v>0.98727735368956748</v>
      </c>
      <c r="J29" s="15">
        <f t="shared" si="10"/>
        <v>0.99775784753363228</v>
      </c>
      <c r="K29" s="15">
        <f t="shared" si="10"/>
        <v>0.99766899766899764</v>
      </c>
      <c r="L29" s="15">
        <f t="shared" si="10"/>
        <v>0.99472295514511877</v>
      </c>
      <c r="M29" s="15">
        <f t="shared" si="10"/>
        <v>0.99242424242424243</v>
      </c>
      <c r="N29" s="15">
        <f t="shared" si="10"/>
        <v>0.99750623441396513</v>
      </c>
      <c r="O29" s="15">
        <f t="shared" si="10"/>
        <v>1</v>
      </c>
      <c r="P29" s="17"/>
      <c r="Q29" s="15">
        <f t="shared" ref="Q29:T29" si="11">IF(Q24=0,0,SUM(Q25:Q27)/Q24)</f>
        <v>0.99537037037037035</v>
      </c>
      <c r="R29" s="15">
        <f t="shared" si="11"/>
        <v>0.98977183320220297</v>
      </c>
      <c r="S29" s="15">
        <f t="shared" si="11"/>
        <v>0.99681020733652315</v>
      </c>
      <c r="T29" s="15">
        <f t="shared" si="11"/>
        <v>0.99608610567514677</v>
      </c>
    </row>
    <row r="30" spans="1:22" x14ac:dyDescent="0.25">
      <c r="A30" s="10" t="s">
        <v>7</v>
      </c>
      <c r="C30" s="12" t="s">
        <v>277</v>
      </c>
      <c r="D30" s="16">
        <f t="array" ref="D30">SUM(IF(Period=D$4,IF(Site=$B$23,data!$M$2:$M$1784)))</f>
        <v>4237</v>
      </c>
      <c r="E30" s="16">
        <f t="array" ref="E30">SUM(IF(Period=E$4,IF(Site=$B$23,data!$M$2:$M$1784)))</f>
        <v>7045</v>
      </c>
      <c r="F30" s="16">
        <f t="array" ref="F30">SUM(IF(Period=F$4,IF(Site=$B$23,data!$M$2:$M$1784)))</f>
        <v>6552</v>
      </c>
      <c r="G30" s="16">
        <f t="array" ref="G30">SUM(IF(Period=G$4,IF(Site=$B$23,data!$M$2:$M$1784)))</f>
        <v>6075</v>
      </c>
      <c r="H30" s="16">
        <f t="array" ref="H30">SUM(IF(Period=H$4,IF(Site=$B$23,data!$M$2:$M$1784)))</f>
        <v>6251</v>
      </c>
      <c r="I30" s="16">
        <f t="array" ref="I30">SUM(IF(Period=I$4,IF(Site=$B$23,data!$M$2:$M$1784)))</f>
        <v>5279</v>
      </c>
      <c r="J30" s="16">
        <f t="array" ref="J30">SUM(IF(Period=J$4,IF(Site=$B$23,data!$M$2:$M$1784)))</f>
        <v>6029</v>
      </c>
      <c r="K30" s="16">
        <f t="array" ref="K30">SUM(IF(Period=K$4,IF(Site=$B$23,data!$M$2:$M$1784)))</f>
        <v>5877</v>
      </c>
      <c r="L30" s="16">
        <f t="array" ref="L30">SUM(IF(Period=L$4,IF(Site=$B$23,data!$M$2:$M$1784)))</f>
        <v>5524</v>
      </c>
      <c r="M30" s="16">
        <f t="array" ref="M30">SUM(IF(Period=M$4,IF(Site=$B$23,data!$M$2:$M$1784)))</f>
        <v>5773</v>
      </c>
      <c r="N30" s="16">
        <f t="array" ref="N30">SUM(IF(Period=N$4,IF(Site=$B$23,data!$M$2:$M$1784)))</f>
        <v>5605</v>
      </c>
      <c r="O30" s="16">
        <f t="array" ref="O30">SUM(IF(Period=O$4,IF(Site=$B$23,data!$M$2:$M$1784)))</f>
        <v>3410</v>
      </c>
      <c r="Q30" s="16">
        <f t="shared" ref="Q30:Q37" si="12">SUM(D30:F30)</f>
        <v>17834</v>
      </c>
      <c r="R30" s="16">
        <f t="shared" ref="R30:R37" si="13">SUM(G30:I30)</f>
        <v>17605</v>
      </c>
      <c r="S30" s="16">
        <f t="shared" ref="S30:S37" si="14">SUM(J30:L30)</f>
        <v>17430</v>
      </c>
      <c r="T30" s="16">
        <f t="shared" ref="T30:T37" si="15">SUM(M30:O30)</f>
        <v>14788</v>
      </c>
    </row>
    <row r="31" spans="1:22" x14ac:dyDescent="0.25">
      <c r="A31" s="10" t="s">
        <v>61</v>
      </c>
      <c r="C31" s="12" t="s">
        <v>278</v>
      </c>
      <c r="D31" s="16">
        <f t="array" ref="D31">SUM(IF(Period=D$4,IF(Site=$B$23,data!$N$2:$N$1784)))</f>
        <v>1365</v>
      </c>
      <c r="E31" s="16">
        <f t="array" ref="E31">SUM(IF(Period=E$4,IF(Site=$B$23,data!$N$2:$N$1784)))</f>
        <v>1444</v>
      </c>
      <c r="F31" s="16">
        <f t="array" ref="F31">SUM(IF(Period=F$4,IF(Site=$B$23,data!$N$2:$N$1784)))</f>
        <v>1467</v>
      </c>
      <c r="G31" s="16">
        <f t="array" ref="G31">SUM(IF(Period=G$4,IF(Site=$B$23,data!$N$2:$N$1784)))</f>
        <v>1486</v>
      </c>
      <c r="H31" s="16">
        <f t="array" ref="H31">SUM(IF(Period=H$4,IF(Site=$B$23,data!$N$2:$N$1784)))</f>
        <v>1405</v>
      </c>
      <c r="I31" s="16">
        <f t="array" ref="I31">SUM(IF(Period=I$4,IF(Site=$B$23,data!$N$2:$N$1784)))</f>
        <v>981</v>
      </c>
      <c r="J31" s="16">
        <f t="array" ref="J31">SUM(IF(Period=J$4,IF(Site=$B$23,data!$N$2:$N$1784)))</f>
        <v>1183</v>
      </c>
      <c r="K31" s="16">
        <f t="array" ref="K31">SUM(IF(Period=K$4,IF(Site=$B$23,data!$N$2:$N$1784)))</f>
        <v>1074</v>
      </c>
      <c r="L31" s="16">
        <f t="array" ref="L31">SUM(IF(Period=L$4,IF(Site=$B$23,data!$N$2:$N$1784)))</f>
        <v>1035</v>
      </c>
      <c r="M31" s="16">
        <f t="array" ref="M31">SUM(IF(Period=M$4,IF(Site=$B$23,data!$N$2:$N$1784)))</f>
        <v>1007</v>
      </c>
      <c r="N31" s="16">
        <f t="array" ref="N31">SUM(IF(Period=N$4,IF(Site=$B$23,data!$N$2:$N$1784)))</f>
        <v>998</v>
      </c>
      <c r="O31" s="16">
        <f t="array" ref="O31">SUM(IF(Period=O$4,IF(Site=$B$23,data!$N$2:$N$1784)))</f>
        <v>591</v>
      </c>
      <c r="Q31" s="16">
        <f t="shared" si="12"/>
        <v>4276</v>
      </c>
      <c r="R31" s="16">
        <f t="shared" si="13"/>
        <v>3872</v>
      </c>
      <c r="S31" s="16">
        <f t="shared" si="14"/>
        <v>3292</v>
      </c>
      <c r="T31" s="16">
        <f t="shared" si="15"/>
        <v>2596</v>
      </c>
    </row>
    <row r="32" spans="1:22" x14ac:dyDescent="0.25">
      <c r="A32" s="10" t="s">
        <v>12</v>
      </c>
      <c r="C32" s="12" t="s">
        <v>279</v>
      </c>
      <c r="D32" s="16">
        <f t="array" ref="D32">SUM(IF(Period=D$4,IF(Site=$B$23,data!$O$2:$O$1784)))</f>
        <v>353</v>
      </c>
      <c r="E32" s="16">
        <f t="array" ref="E32">SUM(IF(Period=E$4,IF(Site=$B$23,data!$O$2:$O$1784)))</f>
        <v>0</v>
      </c>
      <c r="F32" s="16">
        <f t="array" ref="F32">SUM(IF(Period=F$4,IF(Site=$B$23,data!$O$2:$O$1784)))</f>
        <v>0</v>
      </c>
      <c r="G32" s="16">
        <f t="array" ref="G32">SUM(IF(Period=G$4,IF(Site=$B$23,data!$O$2:$O$1784)))</f>
        <v>0</v>
      </c>
      <c r="H32" s="16">
        <f t="array" ref="H32">SUM(IF(Period=H$4,IF(Site=$B$23,data!$O$2:$O$1784)))</f>
        <v>0</v>
      </c>
      <c r="I32" s="16">
        <f t="array" ref="I32">SUM(IF(Period=I$4,IF(Site=$B$23,data!$O$2:$O$1784)))</f>
        <v>1</v>
      </c>
      <c r="J32" s="16">
        <f t="array" ref="J32">SUM(IF(Period=J$4,IF(Site=$B$23,data!$O$2:$O$1784)))</f>
        <v>0</v>
      </c>
      <c r="K32" s="16">
        <f t="array" ref="K32">SUM(IF(Period=K$4,IF(Site=$B$23,data!$O$2:$O$1784)))</f>
        <v>0</v>
      </c>
      <c r="L32" s="16">
        <f t="array" ref="L32">SUM(IF(Period=L$4,IF(Site=$B$23,data!$O$2:$O$1784)))</f>
        <v>0</v>
      </c>
      <c r="M32" s="16">
        <f t="array" ref="M32">SUM(IF(Period=M$4,IF(Site=$B$23,data!$O$2:$O$1784)))</f>
        <v>0</v>
      </c>
      <c r="N32" s="16">
        <f t="array" ref="N32">SUM(IF(Period=N$4,IF(Site=$B$23,data!$O$2:$O$1784)))</f>
        <v>0</v>
      </c>
      <c r="O32" s="16">
        <f t="array" ref="O32">SUM(IF(Period=O$4,IF(Site=$B$23,data!$O$2:$O$1784)))</f>
        <v>0</v>
      </c>
      <c r="Q32" s="16">
        <f t="shared" si="12"/>
        <v>353</v>
      </c>
      <c r="R32" s="16">
        <f t="shared" si="13"/>
        <v>1</v>
      </c>
      <c r="S32" s="16">
        <f t="shared" si="14"/>
        <v>0</v>
      </c>
      <c r="T32" s="16">
        <f t="shared" si="15"/>
        <v>0</v>
      </c>
    </row>
    <row r="33" spans="1:20" x14ac:dyDescent="0.25">
      <c r="A33" s="10" t="s">
        <v>8</v>
      </c>
      <c r="C33" s="12" t="s">
        <v>280</v>
      </c>
      <c r="D33" s="16">
        <f t="array" ref="D33">SUM(IF(Period=D$4,IF(Site=$B$23,data!$P$2:$P$1784)))</f>
        <v>3</v>
      </c>
      <c r="E33" s="16">
        <f t="array" ref="E33">SUM(IF(Period=E$4,IF(Site=$B$23,data!$P$2:$P$1784)))</f>
        <v>8</v>
      </c>
      <c r="F33" s="16">
        <f t="array" ref="F33">SUM(IF(Period=F$4,IF(Site=$B$23,data!$P$2:$P$1784)))</f>
        <v>8</v>
      </c>
      <c r="G33" s="16">
        <f t="array" ref="G33">SUM(IF(Period=G$4,IF(Site=$B$23,data!$P$2:$P$1784)))</f>
        <v>4</v>
      </c>
      <c r="H33" s="16">
        <f t="array" ref="H33">SUM(IF(Period=H$4,IF(Site=$B$23,data!$P$2:$P$1784)))</f>
        <v>22</v>
      </c>
      <c r="I33" s="16">
        <f t="array" ref="I33">SUM(IF(Period=I$4,IF(Site=$B$23,data!$P$2:$P$1784)))</f>
        <v>2337</v>
      </c>
      <c r="J33" s="16">
        <f t="array" ref="J33">SUM(IF(Period=J$4,IF(Site=$B$23,data!$P$2:$P$1784)))</f>
        <v>7</v>
      </c>
      <c r="K33" s="16">
        <f t="array" ref="K33">SUM(IF(Period=K$4,IF(Site=$B$23,data!$P$2:$P$1784)))</f>
        <v>5</v>
      </c>
      <c r="L33" s="16">
        <f t="array" ref="L33">SUM(IF(Period=L$4,IF(Site=$B$23,data!$P$2:$P$1784)))</f>
        <v>5</v>
      </c>
      <c r="M33" s="16">
        <f t="array" ref="M33">SUM(IF(Period=M$4,IF(Site=$B$23,data!$P$2:$P$1784)))</f>
        <v>7</v>
      </c>
      <c r="N33" s="16">
        <f t="array" ref="N33">SUM(IF(Period=N$4,IF(Site=$B$23,data!$P$2:$P$1784)))</f>
        <v>15</v>
      </c>
      <c r="O33" s="16">
        <f t="array" ref="O33">SUM(IF(Period=O$4,IF(Site=$B$23,data!$P$2:$P$1784)))</f>
        <v>4</v>
      </c>
      <c r="Q33" s="16">
        <f t="shared" si="12"/>
        <v>19</v>
      </c>
      <c r="R33" s="16">
        <f t="shared" si="13"/>
        <v>2363</v>
      </c>
      <c r="S33" s="16">
        <f t="shared" si="14"/>
        <v>17</v>
      </c>
      <c r="T33" s="16">
        <f t="shared" si="15"/>
        <v>26</v>
      </c>
    </row>
    <row r="34" spans="1:20" x14ac:dyDescent="0.25">
      <c r="A34" s="10" t="s">
        <v>9</v>
      </c>
      <c r="C34" s="12" t="s">
        <v>281</v>
      </c>
      <c r="D34" s="16">
        <f t="array" ref="D34">SUM(IF(Period=D$4,IF(Site=$B$23,data!$Q$2:$Q$1784)))</f>
        <v>2459</v>
      </c>
      <c r="E34" s="16">
        <f t="array" ref="E34">SUM(IF(Period=E$4,IF(Site=$B$23,data!$Q$2:$Q$1784)))</f>
        <v>2783</v>
      </c>
      <c r="F34" s="16">
        <f t="array" ref="F34">SUM(IF(Period=F$4,IF(Site=$B$23,data!$Q$2:$Q$1784)))</f>
        <v>2442</v>
      </c>
      <c r="G34" s="16">
        <f t="array" ref="G34">SUM(IF(Period=G$4,IF(Site=$B$23,data!$Q$2:$Q$1784)))</f>
        <v>2308</v>
      </c>
      <c r="H34" s="16">
        <f t="array" ref="H34">SUM(IF(Period=H$4,IF(Site=$B$23,data!$Q$2:$Q$1784)))</f>
        <v>2742</v>
      </c>
      <c r="I34" s="16">
        <f t="array" ref="I34">SUM(IF(Period=I$4,IF(Site=$B$23,data!$Q$2:$Q$1784)))</f>
        <v>67</v>
      </c>
      <c r="J34" s="16">
        <f t="array" ref="J34">SUM(IF(Period=J$4,IF(Site=$B$23,data!$Q$2:$Q$1784)))</f>
        <v>2733</v>
      </c>
      <c r="K34" s="16">
        <f t="array" ref="K34">SUM(IF(Period=K$4,IF(Site=$B$23,data!$Q$2:$Q$1784)))</f>
        <v>2745</v>
      </c>
      <c r="L34" s="16">
        <f t="array" ref="L34">SUM(IF(Period=L$4,IF(Site=$B$23,data!$Q$2:$Q$1784)))</f>
        <v>2454</v>
      </c>
      <c r="M34" s="16">
        <f t="array" ref="M34">SUM(IF(Period=M$4,IF(Site=$B$23,data!$Q$2:$Q$1784)))</f>
        <v>2590</v>
      </c>
      <c r="N34" s="16">
        <f t="array" ref="N34">SUM(IF(Period=N$4,IF(Site=$B$23,data!$Q$2:$Q$1784)))</f>
        <v>2455</v>
      </c>
      <c r="O34" s="16">
        <f t="array" ref="O34">SUM(IF(Period=O$4,IF(Site=$B$23,data!$Q$2:$Q$1784)))</f>
        <v>1580</v>
      </c>
      <c r="Q34" s="16">
        <f t="shared" si="12"/>
        <v>7684</v>
      </c>
      <c r="R34" s="16">
        <f t="shared" si="13"/>
        <v>5117</v>
      </c>
      <c r="S34" s="16">
        <f t="shared" si="14"/>
        <v>7932</v>
      </c>
      <c r="T34" s="16">
        <f t="shared" si="15"/>
        <v>6625</v>
      </c>
    </row>
    <row r="35" spans="1:20" x14ac:dyDescent="0.25">
      <c r="A35" s="10" t="s">
        <v>10</v>
      </c>
      <c r="C35" s="12" t="s">
        <v>282</v>
      </c>
      <c r="D35" s="16">
        <f t="array" ref="D35">SUM(IF(Period=D$4,IF(Site=$B$23,data!$R$2:$R$1784)))</f>
        <v>57</v>
      </c>
      <c r="E35" s="16">
        <f t="array" ref="E35">SUM(IF(Period=E$4,IF(Site=$B$23,data!$R$2:$R$1784)))</f>
        <v>47</v>
      </c>
      <c r="F35" s="16">
        <f t="array" ref="F35">SUM(IF(Period=F$4,IF(Site=$B$23,data!$R$2:$R$1784)))</f>
        <v>36</v>
      </c>
      <c r="G35" s="16">
        <f t="array" ref="G35">SUM(IF(Period=G$4,IF(Site=$B$23,data!$R$2:$R$1784)))</f>
        <v>72</v>
      </c>
      <c r="H35" s="16">
        <f t="array" ref="H35">SUM(IF(Period=H$4,IF(Site=$B$23,data!$R$2:$R$1784)))</f>
        <v>36</v>
      </c>
      <c r="I35" s="16">
        <f t="array" ref="I35">SUM(IF(Period=I$4,IF(Site=$B$23,data!$R$2:$R$1784)))</f>
        <v>1855</v>
      </c>
      <c r="J35" s="16">
        <f t="array" ref="J35">SUM(IF(Period=J$4,IF(Site=$B$23,data!$R$2:$R$1784)))</f>
        <v>52</v>
      </c>
      <c r="K35" s="16">
        <f t="array" ref="K35">SUM(IF(Period=K$4,IF(Site=$B$23,data!$R$2:$R$1784)))</f>
        <v>32</v>
      </c>
      <c r="L35" s="16">
        <f t="array" ref="L35">SUM(IF(Period=L$4,IF(Site=$B$23,data!$R$2:$R$1784)))</f>
        <v>46</v>
      </c>
      <c r="M35" s="16">
        <f t="array" ref="M35">SUM(IF(Period=M$4,IF(Site=$B$23,data!$R$2:$R$1784)))</f>
        <v>14</v>
      </c>
      <c r="N35" s="16">
        <f t="array" ref="N35">SUM(IF(Period=N$4,IF(Site=$B$23,data!$R$2:$R$1784)))</f>
        <v>39</v>
      </c>
      <c r="O35" s="16">
        <f t="array" ref="O35">SUM(IF(Period=O$4,IF(Site=$B$23,data!$R$2:$R$1784)))</f>
        <v>23</v>
      </c>
      <c r="Q35" s="16">
        <f t="shared" si="12"/>
        <v>140</v>
      </c>
      <c r="R35" s="16">
        <f t="shared" si="13"/>
        <v>1963</v>
      </c>
      <c r="S35" s="16">
        <f t="shared" si="14"/>
        <v>130</v>
      </c>
      <c r="T35" s="16">
        <f t="shared" si="15"/>
        <v>76</v>
      </c>
    </row>
    <row r="36" spans="1:20" x14ac:dyDescent="0.25">
      <c r="A36" s="10" t="s">
        <v>11</v>
      </c>
      <c r="C36" s="12" t="s">
        <v>283</v>
      </c>
      <c r="D36" s="16">
        <f t="array" ref="D36">SUM(IF(Period=D$4,IF(Site=$B$23,data!$S$2:$S$1784)))</f>
        <v>0</v>
      </c>
      <c r="E36" s="16">
        <f t="array" ref="E36">SUM(IF(Period=E$4,IF(Site=$B$23,data!$S$2:$S$1784)))</f>
        <v>2680</v>
      </c>
      <c r="F36" s="16">
        <f t="array" ref="F36">SUM(IF(Period=F$4,IF(Site=$B$23,data!$S$2:$S$1784)))</f>
        <v>2535</v>
      </c>
      <c r="G36" s="16">
        <f t="array" ref="G36">SUM(IF(Period=G$4,IF(Site=$B$23,data!$S$2:$S$1784)))</f>
        <v>2157</v>
      </c>
      <c r="H36" s="16">
        <f t="array" ref="H36">SUM(IF(Period=H$4,IF(Site=$B$23,data!$S$2:$S$1784)))</f>
        <v>2007</v>
      </c>
      <c r="I36" s="16">
        <f t="array" ref="I36">SUM(IF(Period=I$4,IF(Site=$B$23,data!$S$2:$S$1784)))</f>
        <v>38</v>
      </c>
      <c r="J36" s="16">
        <f t="array" ref="J36">SUM(IF(Period=J$4,IF(Site=$B$23,data!$S$2:$S$1784)))</f>
        <v>2014</v>
      </c>
      <c r="K36" s="16">
        <f t="array" ref="K36">SUM(IF(Period=K$4,IF(Site=$B$23,data!$S$2:$S$1784)))</f>
        <v>1992</v>
      </c>
      <c r="L36" s="16">
        <f t="array" ref="L36">SUM(IF(Period=L$4,IF(Site=$B$23,data!$S$2:$S$1784)))</f>
        <v>1947</v>
      </c>
      <c r="M36" s="16">
        <f t="array" ref="M36">SUM(IF(Period=M$4,IF(Site=$B$23,data!$S$2:$S$1784)))</f>
        <v>2126</v>
      </c>
      <c r="N36" s="16">
        <f t="array" ref="N36">SUM(IF(Period=N$4,IF(Site=$B$23,data!$S$2:$S$1784)))</f>
        <v>2074</v>
      </c>
      <c r="O36" s="16">
        <f t="array" ref="O36">SUM(IF(Period=O$4,IF(Site=$B$23,data!$S$2:$S$1784)))</f>
        <v>1200</v>
      </c>
      <c r="Q36" s="16">
        <f t="shared" si="12"/>
        <v>5215</v>
      </c>
      <c r="R36" s="16">
        <f t="shared" si="13"/>
        <v>4202</v>
      </c>
      <c r="S36" s="16">
        <f t="shared" si="14"/>
        <v>5953</v>
      </c>
      <c r="T36" s="16">
        <f t="shared" si="15"/>
        <v>5400</v>
      </c>
    </row>
    <row r="37" spans="1:20" x14ac:dyDescent="0.25">
      <c r="A37" s="10" t="s">
        <v>13</v>
      </c>
      <c r="C37" s="12" t="s">
        <v>284</v>
      </c>
      <c r="D37" s="16">
        <f t="array" ref="D37">SUM(IF(Period=D$4,IF(Site=$B$23,data!$T$2:$T$1784)))</f>
        <v>0</v>
      </c>
      <c r="E37" s="16">
        <f t="array" ref="E37">SUM(IF(Period=E$4,IF(Site=$B$23,data!$T$2:$T$1784)))</f>
        <v>83</v>
      </c>
      <c r="F37" s="16">
        <f t="array" ref="F37">SUM(IF(Period=F$4,IF(Site=$B$23,data!$T$2:$T$1784)))</f>
        <v>64</v>
      </c>
      <c r="G37" s="16">
        <f t="array" ref="G37">SUM(IF(Period=G$4,IF(Site=$B$23,data!$T$2:$T$1784)))</f>
        <v>48</v>
      </c>
      <c r="H37" s="16">
        <f t="array" ref="H37">SUM(IF(Period=H$4,IF(Site=$B$23,data!$T$2:$T$1784)))</f>
        <v>39</v>
      </c>
      <c r="I37" s="16">
        <f t="array" ref="I37">SUM(IF(Period=I$4,IF(Site=$B$23,data!$T$2:$T$1784)))</f>
        <v>27.753831035597436</v>
      </c>
      <c r="J37" s="16">
        <f t="array" ref="J37">SUM(IF(Period=J$4,IF(Site=$B$23,data!$T$2:$T$1784)))</f>
        <v>40</v>
      </c>
      <c r="K37" s="16">
        <f t="array" ref="K37">SUM(IF(Period=K$4,IF(Site=$B$23,data!$T$2:$T$1784)))</f>
        <v>29</v>
      </c>
      <c r="L37" s="16">
        <f t="array" ref="L37">SUM(IF(Period=L$4,IF(Site=$B$23,data!$T$2:$T$1784)))</f>
        <v>37</v>
      </c>
      <c r="M37" s="16">
        <f t="array" ref="M37">SUM(IF(Period=M$4,IF(Site=$B$23,data!$T$2:$T$1784)))</f>
        <v>29</v>
      </c>
      <c r="N37" s="16">
        <f t="array" ref="N37">SUM(IF(Period=N$4,IF(Site=$B$23,data!$T$2:$T$1784)))</f>
        <v>24</v>
      </c>
      <c r="O37" s="16">
        <f t="array" ref="O37">SUM(IF(Period=O$4,IF(Site=$B$23,data!$T$2:$T$1784)))</f>
        <v>12</v>
      </c>
      <c r="Q37" s="16">
        <f t="shared" si="12"/>
        <v>147</v>
      </c>
      <c r="R37" s="16">
        <f t="shared" si="13"/>
        <v>114.75383103559744</v>
      </c>
      <c r="S37" s="16">
        <f t="shared" si="14"/>
        <v>106</v>
      </c>
      <c r="T37" s="16">
        <f t="shared" si="15"/>
        <v>65</v>
      </c>
    </row>
    <row r="38" spans="1:20" x14ac:dyDescent="0.25">
      <c r="A38" s="10" t="s">
        <v>14</v>
      </c>
      <c r="C38" s="14" t="s">
        <v>285</v>
      </c>
      <c r="D38" s="15">
        <f>IF(D30=0,0,(D31+D32+D34)/D30)</f>
        <v>0.9858390370545197</v>
      </c>
      <c r="E38" s="15">
        <f>IF(E30=0,0,(E31+E32+E34+E36+E37)/E30)</f>
        <v>0.99219304471256209</v>
      </c>
      <c r="F38" s="15">
        <f t="shared" ref="F38" si="16">IF(F30=0,0,(F31+F32+F34+F36+F37)/F30)</f>
        <v>0.99328449328449331</v>
      </c>
      <c r="G38" s="15">
        <f t="shared" ref="G38" si="17">IF(G30=0,0,(G31+G32+G34+G36+G37)/G30)</f>
        <v>0.98748971193415636</v>
      </c>
      <c r="H38" s="15">
        <f t="shared" ref="H38" si="18">IF(H30=0,0,(H31+H32+H34+H36+H37)/H30)</f>
        <v>0.99072148456247</v>
      </c>
      <c r="I38" s="15">
        <f t="shared" ref="I38" si="19">IF(I30=0,0,(I31+I32+I34+I36+I37)/I30)</f>
        <v>0.21116761338048823</v>
      </c>
      <c r="J38" s="15">
        <f t="shared" ref="J38" si="20">IF(J30=0,0,(J31+J32+J34+J36+J37)/J30)</f>
        <v>0.99021396583181287</v>
      </c>
      <c r="K38" s="15">
        <f t="shared" ref="K38" si="21">IF(K30=0,0,(K31+K32+K34+K36+K37)/K30)</f>
        <v>0.9937042708865067</v>
      </c>
      <c r="L38" s="15">
        <f t="shared" ref="L38" si="22">IF(L30=0,0,(L31+L32+L34+L36+L37)/L30)</f>
        <v>0.99076755973931929</v>
      </c>
      <c r="M38" s="15">
        <f t="shared" ref="M38" si="23">IF(M30=0,0,(M31+M32+M34+M36+M37)/M30)</f>
        <v>0.99636237658063398</v>
      </c>
      <c r="N38" s="15">
        <f t="shared" ref="N38" si="24">IF(N30=0,0,(N31+N32+N34+N36+N37)/N30)</f>
        <v>0.99036574487065121</v>
      </c>
      <c r="O38" s="15">
        <f t="shared" ref="O38" si="25">IF(O30=0,0,(O31+O32+O34+O36+O37)/O30)</f>
        <v>0.99208211143695013</v>
      </c>
      <c r="P38" s="17"/>
      <c r="Q38" s="15">
        <f t="shared" ref="Q38" si="26">IF(Q30=0,0,(Q31+Q32+Q34+Q36+Q37)/Q30)</f>
        <v>0.99108444544129193</v>
      </c>
      <c r="R38" s="15">
        <f t="shared" ref="R38" si="27">IF(R30=0,0,(R31+R32+R34+R36+R37)/R30)</f>
        <v>0.75585082823263827</v>
      </c>
      <c r="S38" s="15">
        <f t="shared" ref="S38" si="28">IF(S30=0,0,(S31+S32+S34+S36+S37)/S30)</f>
        <v>0.99156626506024093</v>
      </c>
      <c r="T38" s="15">
        <f t="shared" ref="T38" si="29">IF(T30=0,0,(T31+T32+T34+T36+T37)/T30)</f>
        <v>0.99310251555315121</v>
      </c>
    </row>
    <row r="39" spans="1:20" x14ac:dyDescent="0.25">
      <c r="A39" s="10" t="s">
        <v>15</v>
      </c>
      <c r="C39" s="14" t="s">
        <v>286</v>
      </c>
      <c r="D39" s="15">
        <f>IF(AND(D24=0,D30=0),0,(SUM(D25:D27)+D31+D32+D34+D36+D37)/(D24+D30))</f>
        <v>0.98684210526315785</v>
      </c>
      <c r="E39" s="15">
        <f t="shared" ref="E39:O39" si="30">IF(AND(E24=0,E30=0),0,(SUM(E25:E27)+E31+E32+E34+E36+E37)/(E24+E30))</f>
        <v>0.99225840896956752</v>
      </c>
      <c r="F39" s="15">
        <f t="shared" si="30"/>
        <v>0.99343044844330186</v>
      </c>
      <c r="G39" s="15">
        <f t="shared" si="30"/>
        <v>0.98799999999999999</v>
      </c>
      <c r="H39" s="15">
        <f t="shared" si="30"/>
        <v>0.99045346062052508</v>
      </c>
      <c r="I39" s="15">
        <f t="shared" si="30"/>
        <v>0.26494249489344102</v>
      </c>
      <c r="J39" s="15">
        <f t="shared" si="30"/>
        <v>0.99073359073359069</v>
      </c>
      <c r="K39" s="15">
        <f t="shared" si="30"/>
        <v>0.99397399302251821</v>
      </c>
      <c r="L39" s="15">
        <f t="shared" si="30"/>
        <v>0.99102151448416065</v>
      </c>
      <c r="M39" s="15">
        <f t="shared" si="30"/>
        <v>0.99610958015885886</v>
      </c>
      <c r="N39" s="15">
        <f t="shared" si="30"/>
        <v>0.99084249084249088</v>
      </c>
      <c r="O39" s="15">
        <f t="shared" si="30"/>
        <v>0.99257221458046763</v>
      </c>
      <c r="P39" s="17"/>
      <c r="Q39" s="15">
        <f t="shared" ref="Q39:T39" si="31">IF(AND(Q24=0,Q30=0),0,(SUM(Q25:Q27)+Q31+Q32+Q34+Q36+Q37)/(Q24+Q30))</f>
        <v>0.99137480397281752</v>
      </c>
      <c r="R39" s="15">
        <f t="shared" si="31"/>
        <v>0.77160170751407064</v>
      </c>
      <c r="S39" s="15">
        <f t="shared" si="31"/>
        <v>0.99191821879683151</v>
      </c>
      <c r="T39" s="15">
        <f t="shared" si="31"/>
        <v>0.9932953826691967</v>
      </c>
    </row>
    <row r="40" spans="1:20" x14ac:dyDescent="0.25">
      <c r="A40" s="10"/>
    </row>
    <row r="41" spans="1:20" ht="18.75" x14ac:dyDescent="0.3">
      <c r="A41" s="10"/>
      <c r="B41" s="13" t="s">
        <v>23</v>
      </c>
    </row>
    <row r="42" spans="1:20" x14ac:dyDescent="0.25">
      <c r="A42" s="10" t="s">
        <v>5</v>
      </c>
      <c r="C42" s="12" t="s">
        <v>272</v>
      </c>
      <c r="D42" s="16">
        <f t="array" ref="D42">SUM(IF(Period=D$4,IF(Site=$B$41,data!$G$2:$G$1784)))</f>
        <v>121</v>
      </c>
      <c r="E42" s="16">
        <f t="array" ref="E42">SUM(IF(Period=E$4,IF(Site=$B$41,data!$G$2:$G$1784)))</f>
        <v>157</v>
      </c>
      <c r="F42" s="16">
        <f t="array" ref="F42">SUM(IF(Period=F$4,IF(Site=$B$41,data!$G$2:$G$1784)))</f>
        <v>189</v>
      </c>
      <c r="G42" s="16">
        <f t="array" ref="G42">SUM(IF(Period=G$4,IF(Site=$B$41,data!$G$2:$G$1784)))</f>
        <v>159</v>
      </c>
      <c r="H42" s="16">
        <f t="array" ref="H42">SUM(IF(Period=H$4,IF(Site=$B$41,data!$G$2:$G$1784)))</f>
        <v>156</v>
      </c>
      <c r="I42" s="16">
        <f t="array" ref="I42">SUM(IF(Period=I$4,IF(Site=$B$41,data!$G$2:$G$1784)))</f>
        <v>131</v>
      </c>
      <c r="J42" s="16">
        <f t="array" ref="J42">SUM(IF(Period=J$4,IF(Site=$B$41,data!$G$2:$G$1784)))</f>
        <v>169</v>
      </c>
      <c r="K42" s="16">
        <f t="array" ref="K42">SUM(IF(Period=K$4,IF(Site=$B$41,data!$G$2:$G$1784)))</f>
        <v>161</v>
      </c>
      <c r="L42" s="16">
        <f t="array" ref="L42">SUM(IF(Period=L$4,IF(Site=$B$41,data!$G$2:$G$1784)))</f>
        <v>120</v>
      </c>
      <c r="M42" s="16">
        <f t="array" ref="M42">SUM(IF(Period=M$4,IF(Site=$B$41,data!$G$2:$G$1784)))</f>
        <v>134</v>
      </c>
      <c r="N42" s="16">
        <f t="array" ref="N42">SUM(IF(Period=N$4,IF(Site=$B$41,data!$G$2:$G$1784)))</f>
        <v>161</v>
      </c>
      <c r="O42" s="16">
        <f t="array" ref="O42">SUM(IF(Period=O$4,IF(Site=$B$41,data!$G$2:$G$1784)))</f>
        <v>46</v>
      </c>
      <c r="Q42" s="16">
        <f>SUM(D42:F42)</f>
        <v>467</v>
      </c>
      <c r="R42" s="16">
        <f>SUM(G42:I42)</f>
        <v>446</v>
      </c>
      <c r="S42" s="16">
        <f>SUM(J42:L42)</f>
        <v>450</v>
      </c>
      <c r="T42" s="16">
        <f>SUM(M42:O42)</f>
        <v>341</v>
      </c>
    </row>
    <row r="43" spans="1:20" x14ac:dyDescent="0.25">
      <c r="A43" s="10" t="s">
        <v>0</v>
      </c>
      <c r="C43" s="12" t="s">
        <v>0</v>
      </c>
      <c r="D43" s="16">
        <f t="array" ref="D43">SUM(IF(Period=D$4,IF(Site=$B$41,data!$H$2:$H$1784)))</f>
        <v>121</v>
      </c>
      <c r="E43" s="16">
        <f t="array" ref="E43">SUM(IF(Period=E$4,IF(Site=$B$41,data!$H$2:$H$1784)))</f>
        <v>157</v>
      </c>
      <c r="F43" s="16">
        <f t="array" ref="F43">SUM(IF(Period=F$4,IF(Site=$B$41,data!$H$2:$H$1784)))</f>
        <v>189</v>
      </c>
      <c r="G43" s="16">
        <f t="array" ref="G43">SUM(IF(Period=G$4,IF(Site=$B$41,data!$H$2:$H$1784)))</f>
        <v>159</v>
      </c>
      <c r="H43" s="16">
        <f t="array" ref="H43">SUM(IF(Period=H$4,IF(Site=$B$41,data!$H$2:$H$1784)))</f>
        <v>156</v>
      </c>
      <c r="I43" s="16">
        <f t="array" ref="I43">SUM(IF(Period=I$4,IF(Site=$B$41,data!$H$2:$H$1784)))</f>
        <v>131</v>
      </c>
      <c r="J43" s="16">
        <f t="array" ref="J43">SUM(IF(Period=J$4,IF(Site=$B$41,data!$H$2:$H$1784)))</f>
        <v>168</v>
      </c>
      <c r="K43" s="16">
        <f t="array" ref="K43">SUM(IF(Period=K$4,IF(Site=$B$41,data!$H$2:$H$1784)))</f>
        <v>160</v>
      </c>
      <c r="L43" s="16">
        <f t="array" ref="L43">SUM(IF(Period=L$4,IF(Site=$B$41,data!$H$2:$H$1784)))</f>
        <v>120</v>
      </c>
      <c r="M43" s="16">
        <f t="array" ref="M43">SUM(IF(Period=M$4,IF(Site=$B$41,data!$H$2:$H$1784)))</f>
        <v>133</v>
      </c>
      <c r="N43" s="16">
        <f t="array" ref="N43">SUM(IF(Period=N$4,IF(Site=$B$41,data!$H$2:$H$1784)))</f>
        <v>161</v>
      </c>
      <c r="O43" s="16">
        <f t="array" ref="O43">SUM(IF(Period=O$4,IF(Site=$B$41,data!$H$2:$H$1784)))</f>
        <v>46</v>
      </c>
      <c r="Q43" s="16">
        <f>SUM(D43:F43)</f>
        <v>467</v>
      </c>
      <c r="R43" s="16">
        <f>SUM(G43:I43)</f>
        <v>446</v>
      </c>
      <c r="S43" s="16">
        <f>SUM(J43:L43)</f>
        <v>448</v>
      </c>
      <c r="T43" s="16">
        <f>SUM(M43:O43)</f>
        <v>340</v>
      </c>
    </row>
    <row r="44" spans="1:20" x14ac:dyDescent="0.25">
      <c r="A44" s="10" t="s">
        <v>2</v>
      </c>
      <c r="C44" s="12" t="s">
        <v>273</v>
      </c>
      <c r="D44" s="16">
        <f t="array" ref="D44">SUM(IF(Period=D$4,IF(Site=$B$41,data!$I$2:$I$1784)))</f>
        <v>0</v>
      </c>
      <c r="E44" s="16">
        <f t="array" ref="E44">SUM(IF(Period=E$4,IF(Site=$B$41,data!$I$2:$I$1784)))</f>
        <v>0</v>
      </c>
      <c r="F44" s="16">
        <f t="array" ref="F44">SUM(IF(Period=F$4,IF(Site=$B$41,data!$I$2:$I$1784)))</f>
        <v>0</v>
      </c>
      <c r="G44" s="16">
        <f t="array" ref="G44">SUM(IF(Period=G$4,IF(Site=$B$41,data!$I$2:$I$1784)))</f>
        <v>0</v>
      </c>
      <c r="H44" s="16">
        <f t="array" ref="H44">SUM(IF(Period=H$4,IF(Site=$B$41,data!$I$2:$I$1784)))</f>
        <v>0</v>
      </c>
      <c r="I44" s="16">
        <f t="array" ref="I44">SUM(IF(Period=I$4,IF(Site=$B$41,data!$I$2:$I$1784)))</f>
        <v>0</v>
      </c>
      <c r="J44" s="16">
        <f t="array" ref="J44">SUM(IF(Period=J$4,IF(Site=$B$41,data!$I$2:$I$1784)))</f>
        <v>0</v>
      </c>
      <c r="K44" s="16">
        <f t="array" ref="K44">SUM(IF(Period=K$4,IF(Site=$B$41,data!$I$2:$I$1784)))</f>
        <v>1</v>
      </c>
      <c r="L44" s="16">
        <f t="array" ref="L44">SUM(IF(Period=L$4,IF(Site=$B$41,data!$I$2:$I$1784)))</f>
        <v>0</v>
      </c>
      <c r="M44" s="16">
        <f t="array" ref="M44">SUM(IF(Period=M$4,IF(Site=$B$41,data!$I$2:$I$1784)))</f>
        <v>0</v>
      </c>
      <c r="N44" s="16">
        <f t="array" ref="N44">SUM(IF(Period=N$4,IF(Site=$B$41,data!$I$2:$I$1784)))</f>
        <v>0</v>
      </c>
      <c r="O44" s="16">
        <f t="array" ref="O44">SUM(IF(Period=O$4,IF(Site=$B$41,data!$I$2:$I$1784)))</f>
        <v>0</v>
      </c>
      <c r="Q44" s="16">
        <f>SUM(D44:F44)</f>
        <v>0</v>
      </c>
      <c r="R44" s="16">
        <f>SUM(G44:I44)</f>
        <v>0</v>
      </c>
      <c r="S44" s="16">
        <f>SUM(J44:L44)</f>
        <v>1</v>
      </c>
      <c r="T44" s="16">
        <f>SUM(M44:O44)</f>
        <v>0</v>
      </c>
    </row>
    <row r="45" spans="1:20" x14ac:dyDescent="0.25">
      <c r="A45" s="10" t="s">
        <v>3</v>
      </c>
      <c r="C45" s="12" t="s">
        <v>274</v>
      </c>
      <c r="D45" s="16">
        <f t="array" ref="D45">SUM(IF(Period=D$4,IF(Site=$B$41,data!$J$2:$J$1784)))</f>
        <v>0</v>
      </c>
      <c r="E45" s="16">
        <f t="array" ref="E45">SUM(IF(Period=E$4,IF(Site=$B$41,data!$J$2:$J$1784)))</f>
        <v>0</v>
      </c>
      <c r="F45" s="16">
        <f t="array" ref="F45">SUM(IF(Period=F$4,IF(Site=$B$41,data!$J$2:$J$1784)))</f>
        <v>0</v>
      </c>
      <c r="G45" s="16">
        <f t="array" ref="G45">SUM(IF(Period=G$4,IF(Site=$B$41,data!$J$2:$J$1784)))</f>
        <v>0</v>
      </c>
      <c r="H45" s="16">
        <f t="array" ref="H45">SUM(IF(Period=H$4,IF(Site=$B$41,data!$J$2:$J$1784)))</f>
        <v>0</v>
      </c>
      <c r="I45" s="16">
        <f t="array" ref="I45">SUM(IF(Period=I$4,IF(Site=$B$41,data!$J$2:$J$1784)))</f>
        <v>0</v>
      </c>
      <c r="J45" s="16">
        <f t="array" ref="J45">SUM(IF(Period=J$4,IF(Site=$B$41,data!$J$2:$J$1784)))</f>
        <v>0</v>
      </c>
      <c r="K45" s="16">
        <f t="array" ref="K45">SUM(IF(Period=K$4,IF(Site=$B$41,data!$J$2:$J$1784)))</f>
        <v>0</v>
      </c>
      <c r="L45" s="16">
        <f t="array" ref="L45">SUM(IF(Period=L$4,IF(Site=$B$41,data!$J$2:$J$1784)))</f>
        <v>0</v>
      </c>
      <c r="M45" s="16">
        <f t="array" ref="M45">SUM(IF(Period=M$4,IF(Site=$B$41,data!$J$2:$J$1784)))</f>
        <v>0</v>
      </c>
      <c r="N45" s="16">
        <f t="array" ref="N45">SUM(IF(Period=N$4,IF(Site=$B$41,data!$J$2:$J$1784)))</f>
        <v>0</v>
      </c>
      <c r="O45" s="16">
        <f t="array" ref="O45">SUM(IF(Period=O$4,IF(Site=$B$41,data!$J$2:$J$1784)))</f>
        <v>0</v>
      </c>
      <c r="Q45" s="16">
        <f>SUM(D45:F45)</f>
        <v>0</v>
      </c>
      <c r="R45" s="16">
        <f>SUM(G45:I45)</f>
        <v>0</v>
      </c>
      <c r="S45" s="16">
        <f>SUM(J45:L45)</f>
        <v>0</v>
      </c>
      <c r="T45" s="16">
        <f>SUM(M45:O45)</f>
        <v>0</v>
      </c>
    </row>
    <row r="46" spans="1:20" x14ac:dyDescent="0.25">
      <c r="A46" s="10" t="s">
        <v>4</v>
      </c>
      <c r="C46" s="12" t="s">
        <v>275</v>
      </c>
      <c r="D46" s="16">
        <f t="array" ref="D46">SUM(IF(Period=D$4,IF(Site=$B$41,data!$K$2:$K$1784)))</f>
        <v>0</v>
      </c>
      <c r="E46" s="16">
        <f t="array" ref="E46">SUM(IF(Period=E$4,IF(Site=$B$41,data!$K$2:$K$1784)))</f>
        <v>0</v>
      </c>
      <c r="F46" s="16">
        <f t="array" ref="F46">SUM(IF(Period=F$4,IF(Site=$B$41,data!$K$2:$K$1784)))</f>
        <v>0</v>
      </c>
      <c r="G46" s="16">
        <f t="array" ref="G46">SUM(IF(Period=G$4,IF(Site=$B$41,data!$K$2:$K$1784)))</f>
        <v>0</v>
      </c>
      <c r="H46" s="16">
        <f t="array" ref="H46">SUM(IF(Period=H$4,IF(Site=$B$41,data!$K$2:$K$1784)))</f>
        <v>0</v>
      </c>
      <c r="I46" s="16">
        <f t="array" ref="I46">SUM(IF(Period=I$4,IF(Site=$B$41,data!$K$2:$K$1784)))</f>
        <v>1</v>
      </c>
      <c r="J46" s="16">
        <f t="array" ref="J46">SUM(IF(Period=J$4,IF(Site=$B$41,data!$K$2:$K$1784)))</f>
        <v>1</v>
      </c>
      <c r="K46" s="16">
        <f t="array" ref="K46">SUM(IF(Period=K$4,IF(Site=$B$41,data!$K$2:$K$1784)))</f>
        <v>0</v>
      </c>
      <c r="L46" s="16">
        <f t="array" ref="L46">SUM(IF(Period=L$4,IF(Site=$B$41,data!$K$2:$K$1784)))</f>
        <v>0</v>
      </c>
      <c r="M46" s="16">
        <f t="array" ref="M46">SUM(IF(Period=M$4,IF(Site=$B$41,data!$K$2:$K$1784)))</f>
        <v>1</v>
      </c>
      <c r="N46" s="16">
        <f t="array" ref="N46">SUM(IF(Period=N$4,IF(Site=$B$41,data!$K$2:$K$1784)))</f>
        <v>0</v>
      </c>
      <c r="O46" s="16">
        <f t="array" ref="O46">SUM(IF(Period=O$4,IF(Site=$B$41,data!$K$2:$K$1784)))</f>
        <v>0</v>
      </c>
      <c r="Q46" s="16">
        <f>SUM(D46:F46)</f>
        <v>0</v>
      </c>
      <c r="R46" s="16">
        <f>SUM(G46:I46)</f>
        <v>1</v>
      </c>
      <c r="S46" s="16">
        <f>SUM(J46:L46)</f>
        <v>1</v>
      </c>
      <c r="T46" s="16">
        <f>SUM(M46:O46)</f>
        <v>1</v>
      </c>
    </row>
    <row r="47" spans="1:20" x14ac:dyDescent="0.25">
      <c r="A47" s="10" t="s">
        <v>6</v>
      </c>
      <c r="C47" s="14" t="s">
        <v>276</v>
      </c>
      <c r="D47" s="15">
        <f>IF(D42=0,0,SUM(D43:D45)/D42)</f>
        <v>1</v>
      </c>
      <c r="E47" s="15">
        <f t="shared" ref="E47:O47" si="32">IF(E42=0,0,SUM(E43:E45)/E42)</f>
        <v>1</v>
      </c>
      <c r="F47" s="15">
        <f t="shared" si="32"/>
        <v>1</v>
      </c>
      <c r="G47" s="15">
        <f t="shared" si="32"/>
        <v>1</v>
      </c>
      <c r="H47" s="15">
        <f t="shared" si="32"/>
        <v>1</v>
      </c>
      <c r="I47" s="15">
        <f t="shared" si="32"/>
        <v>1</v>
      </c>
      <c r="J47" s="15">
        <f t="shared" si="32"/>
        <v>0.99408284023668636</v>
      </c>
      <c r="K47" s="15">
        <f t="shared" si="32"/>
        <v>1</v>
      </c>
      <c r="L47" s="15">
        <f t="shared" si="32"/>
        <v>1</v>
      </c>
      <c r="M47" s="15">
        <f t="shared" si="32"/>
        <v>0.9925373134328358</v>
      </c>
      <c r="N47" s="15">
        <f t="shared" si="32"/>
        <v>1</v>
      </c>
      <c r="O47" s="15">
        <f t="shared" si="32"/>
        <v>1</v>
      </c>
      <c r="P47" s="17"/>
      <c r="Q47" s="15">
        <f t="shared" ref="Q47:T47" si="33">IF(Q42=0,0,SUM(Q43:Q45)/Q42)</f>
        <v>1</v>
      </c>
      <c r="R47" s="15">
        <f t="shared" si="33"/>
        <v>1</v>
      </c>
      <c r="S47" s="15">
        <f t="shared" si="33"/>
        <v>0.99777777777777776</v>
      </c>
      <c r="T47" s="15">
        <f t="shared" si="33"/>
        <v>0.99706744868035191</v>
      </c>
    </row>
    <row r="48" spans="1:20" x14ac:dyDescent="0.25">
      <c r="A48" s="10" t="s">
        <v>7</v>
      </c>
      <c r="C48" s="12" t="s">
        <v>277</v>
      </c>
      <c r="D48" s="16">
        <f t="array" ref="D48">SUM(IF(Period=D$4,IF(Site=$B$41,data!$M$2:$M$1784)))</f>
        <v>1624</v>
      </c>
      <c r="E48" s="16">
        <f t="array" ref="E48">SUM(IF(Period=E$4,IF(Site=$B$41,data!$M$2:$M$1784)))</f>
        <v>2894</v>
      </c>
      <c r="F48" s="16">
        <f t="array" ref="F48">SUM(IF(Period=F$4,IF(Site=$B$41,data!$M$2:$M$1784)))</f>
        <v>3197</v>
      </c>
      <c r="G48" s="16">
        <f t="array" ref="G48">SUM(IF(Period=G$4,IF(Site=$B$41,data!$M$2:$M$1784)))</f>
        <v>2826</v>
      </c>
      <c r="H48" s="16">
        <f t="array" ref="H48">SUM(IF(Period=H$4,IF(Site=$B$41,data!$M$2:$M$1784)))</f>
        <v>2712</v>
      </c>
      <c r="I48" s="16">
        <f t="array" ref="I48">SUM(IF(Period=I$4,IF(Site=$B$41,data!$M$2:$M$1784)))</f>
        <v>2371</v>
      </c>
      <c r="J48" s="16">
        <f t="array" ref="J48">SUM(IF(Period=J$4,IF(Site=$B$41,data!$M$2:$M$1784)))</f>
        <v>2531</v>
      </c>
      <c r="K48" s="16">
        <f t="array" ref="K48">SUM(IF(Period=K$4,IF(Site=$B$41,data!$M$2:$M$1784)))</f>
        <v>2430</v>
      </c>
      <c r="L48" s="16">
        <f t="array" ref="L48">SUM(IF(Period=L$4,IF(Site=$B$41,data!$M$2:$M$1784)))</f>
        <v>2500</v>
      </c>
      <c r="M48" s="16">
        <f t="array" ref="M48">SUM(IF(Period=M$4,IF(Site=$B$41,data!$M$2:$M$1784)))</f>
        <v>2412</v>
      </c>
      <c r="N48" s="16">
        <f t="array" ref="N48">SUM(IF(Period=N$4,IF(Site=$B$41,data!$M$2:$M$1784)))</f>
        <v>2674</v>
      </c>
      <c r="O48" s="16">
        <f t="array" ref="O48">SUM(IF(Period=O$4,IF(Site=$B$41,data!$M$2:$M$1784)))</f>
        <v>1609</v>
      </c>
      <c r="Q48" s="16">
        <f t="shared" ref="Q48:Q55" si="34">SUM(D48:F48)</f>
        <v>7715</v>
      </c>
      <c r="R48" s="16">
        <f t="shared" ref="R48:R55" si="35">SUM(G48:I48)</f>
        <v>7909</v>
      </c>
      <c r="S48" s="16">
        <f t="shared" ref="S48:S55" si="36">SUM(J48:L48)</f>
        <v>7461</v>
      </c>
      <c r="T48" s="16">
        <f t="shared" ref="T48:T55" si="37">SUM(M48:O48)</f>
        <v>6695</v>
      </c>
    </row>
    <row r="49" spans="1:20" x14ac:dyDescent="0.25">
      <c r="A49" s="10" t="s">
        <v>61</v>
      </c>
      <c r="C49" s="12" t="s">
        <v>278</v>
      </c>
      <c r="D49" s="16">
        <f t="array" ref="D49">SUM(IF(Period=D$4,IF(Site=$B$41,data!$N$2:$N$1784)))</f>
        <v>426</v>
      </c>
      <c r="E49" s="16">
        <f t="array" ref="E49">SUM(IF(Period=E$4,IF(Site=$B$41,data!$N$2:$N$1784)))</f>
        <v>484</v>
      </c>
      <c r="F49" s="16">
        <f t="array" ref="F49">SUM(IF(Period=F$4,IF(Site=$B$41,data!$N$2:$N$1784)))</f>
        <v>516</v>
      </c>
      <c r="G49" s="16">
        <f t="array" ref="G49">SUM(IF(Period=G$4,IF(Site=$B$41,data!$N$2:$N$1784)))</f>
        <v>661</v>
      </c>
      <c r="H49" s="16">
        <f t="array" ref="H49">SUM(IF(Period=H$4,IF(Site=$B$41,data!$N$2:$N$1784)))</f>
        <v>487</v>
      </c>
      <c r="I49" s="16">
        <f t="array" ref="I49">SUM(IF(Period=I$4,IF(Site=$B$41,data!$N$2:$N$1784)))</f>
        <v>398</v>
      </c>
      <c r="J49" s="16">
        <f t="array" ref="J49">SUM(IF(Period=J$4,IF(Site=$B$41,data!$N$2:$N$1784)))</f>
        <v>427</v>
      </c>
      <c r="K49" s="16">
        <f t="array" ref="K49">SUM(IF(Period=K$4,IF(Site=$B$41,data!$N$2:$N$1784)))</f>
        <v>448</v>
      </c>
      <c r="L49" s="16">
        <f t="array" ref="L49">SUM(IF(Period=L$4,IF(Site=$B$41,data!$N$2:$N$1784)))</f>
        <v>442</v>
      </c>
      <c r="M49" s="16">
        <f t="array" ref="M49">SUM(IF(Period=M$4,IF(Site=$B$41,data!$N$2:$N$1784)))</f>
        <v>383</v>
      </c>
      <c r="N49" s="16">
        <f t="array" ref="N49">SUM(IF(Period=N$4,IF(Site=$B$41,data!$N$2:$N$1784)))</f>
        <v>509</v>
      </c>
      <c r="O49" s="16">
        <f t="array" ref="O49">SUM(IF(Period=O$4,IF(Site=$B$41,data!$N$2:$N$1784)))</f>
        <v>208</v>
      </c>
      <c r="Q49" s="16">
        <f t="shared" si="34"/>
        <v>1426</v>
      </c>
      <c r="R49" s="16">
        <f t="shared" si="35"/>
        <v>1546</v>
      </c>
      <c r="S49" s="16">
        <f t="shared" si="36"/>
        <v>1317</v>
      </c>
      <c r="T49" s="16">
        <f t="shared" si="37"/>
        <v>1100</v>
      </c>
    </row>
    <row r="50" spans="1:20" x14ac:dyDescent="0.25">
      <c r="A50" s="10" t="s">
        <v>12</v>
      </c>
      <c r="C50" s="12" t="s">
        <v>279</v>
      </c>
      <c r="D50" s="16">
        <f t="array" ref="D50">SUM(IF(Period=D$4,IF(Site=$B$41,data!$O$2:$O$1784)))</f>
        <v>236</v>
      </c>
      <c r="E50" s="16">
        <f t="array" ref="E50">SUM(IF(Period=E$4,IF(Site=$B$41,data!$O$2:$O$1784)))</f>
        <v>0</v>
      </c>
      <c r="F50" s="16">
        <f t="array" ref="F50">SUM(IF(Period=F$4,IF(Site=$B$41,data!$O$2:$O$1784)))</f>
        <v>0</v>
      </c>
      <c r="G50" s="16">
        <f t="array" ref="G50">SUM(IF(Period=G$4,IF(Site=$B$41,data!$O$2:$O$1784)))</f>
        <v>0</v>
      </c>
      <c r="H50" s="16">
        <f t="array" ref="H50">SUM(IF(Period=H$4,IF(Site=$B$41,data!$O$2:$O$1784)))</f>
        <v>0</v>
      </c>
      <c r="I50" s="16">
        <f t="array" ref="I50">SUM(IF(Period=I$4,IF(Site=$B$41,data!$O$2:$O$1784)))</f>
        <v>0</v>
      </c>
      <c r="J50" s="16">
        <f t="array" ref="J50">SUM(IF(Period=J$4,IF(Site=$B$41,data!$O$2:$O$1784)))</f>
        <v>0</v>
      </c>
      <c r="K50" s="16">
        <f t="array" ref="K50">SUM(IF(Period=K$4,IF(Site=$B$41,data!$O$2:$O$1784)))</f>
        <v>0</v>
      </c>
      <c r="L50" s="16">
        <f t="array" ref="L50">SUM(IF(Period=L$4,IF(Site=$B$41,data!$O$2:$O$1784)))</f>
        <v>0</v>
      </c>
      <c r="M50" s="16">
        <f t="array" ref="M50">SUM(IF(Period=M$4,IF(Site=$B$41,data!$O$2:$O$1784)))</f>
        <v>0</v>
      </c>
      <c r="N50" s="16">
        <f t="array" ref="N50">SUM(IF(Period=N$4,IF(Site=$B$41,data!$O$2:$O$1784)))</f>
        <v>0</v>
      </c>
      <c r="O50" s="16">
        <f t="array" ref="O50">SUM(IF(Period=O$4,IF(Site=$B$41,data!$O$2:$O$1784)))</f>
        <v>0</v>
      </c>
      <c r="Q50" s="16">
        <f t="shared" si="34"/>
        <v>236</v>
      </c>
      <c r="R50" s="16">
        <f t="shared" si="35"/>
        <v>0</v>
      </c>
      <c r="S50" s="16">
        <f t="shared" si="36"/>
        <v>0</v>
      </c>
      <c r="T50" s="16">
        <f t="shared" si="37"/>
        <v>0</v>
      </c>
    </row>
    <row r="51" spans="1:20" x14ac:dyDescent="0.25">
      <c r="A51" s="10" t="s">
        <v>8</v>
      </c>
      <c r="C51" s="12" t="s">
        <v>280</v>
      </c>
      <c r="D51" s="16">
        <f t="array" ref="D51">SUM(IF(Period=D$4,IF(Site=$B$41,data!$P$2:$P$1784)))</f>
        <v>0</v>
      </c>
      <c r="E51" s="16">
        <f t="array" ref="E51">SUM(IF(Period=E$4,IF(Site=$B$41,data!$P$2:$P$1784)))</f>
        <v>0</v>
      </c>
      <c r="F51" s="16">
        <f t="array" ref="F51">SUM(IF(Period=F$4,IF(Site=$B$41,data!$P$2:$P$1784)))</f>
        <v>0</v>
      </c>
      <c r="G51" s="16">
        <f t="array" ref="G51">SUM(IF(Period=G$4,IF(Site=$B$41,data!$P$2:$P$1784)))</f>
        <v>1</v>
      </c>
      <c r="H51" s="16">
        <f t="array" ref="H51">SUM(IF(Period=H$4,IF(Site=$B$41,data!$P$2:$P$1784)))</f>
        <v>4</v>
      </c>
      <c r="I51" s="16">
        <f t="array" ref="I51">SUM(IF(Period=I$4,IF(Site=$B$41,data!$P$2:$P$1784)))</f>
        <v>0</v>
      </c>
      <c r="J51" s="16">
        <f t="array" ref="J51">SUM(IF(Period=J$4,IF(Site=$B$41,data!$P$2:$P$1784)))</f>
        <v>3</v>
      </c>
      <c r="K51" s="16">
        <f t="array" ref="K51">SUM(IF(Period=K$4,IF(Site=$B$41,data!$P$2:$P$1784)))</f>
        <v>4</v>
      </c>
      <c r="L51" s="16">
        <f t="array" ref="L51">SUM(IF(Period=L$4,IF(Site=$B$41,data!$P$2:$P$1784)))</f>
        <v>1</v>
      </c>
      <c r="M51" s="16">
        <f t="array" ref="M51">SUM(IF(Period=M$4,IF(Site=$B$41,data!$P$2:$P$1784)))</f>
        <v>1</v>
      </c>
      <c r="N51" s="16">
        <f t="array" ref="N51">SUM(IF(Period=N$4,IF(Site=$B$41,data!$P$2:$P$1784)))</f>
        <v>4</v>
      </c>
      <c r="O51" s="16">
        <f t="array" ref="O51">SUM(IF(Period=O$4,IF(Site=$B$41,data!$P$2:$P$1784)))</f>
        <v>208</v>
      </c>
      <c r="Q51" s="16">
        <f t="shared" si="34"/>
        <v>0</v>
      </c>
      <c r="R51" s="16">
        <f t="shared" si="35"/>
        <v>5</v>
      </c>
      <c r="S51" s="16">
        <f t="shared" si="36"/>
        <v>8</v>
      </c>
      <c r="T51" s="16">
        <f t="shared" si="37"/>
        <v>213</v>
      </c>
    </row>
    <row r="52" spans="1:20" x14ac:dyDescent="0.25">
      <c r="A52" s="10" t="s">
        <v>9</v>
      </c>
      <c r="C52" s="12" t="s">
        <v>281</v>
      </c>
      <c r="D52" s="16">
        <f t="array" ref="D52">SUM(IF(Period=D$4,IF(Site=$B$41,data!$Q$2:$Q$1784)))</f>
        <v>948</v>
      </c>
      <c r="E52" s="16">
        <f t="array" ref="E52">SUM(IF(Period=E$4,IF(Site=$B$41,data!$Q$2:$Q$1784)))</f>
        <v>1152</v>
      </c>
      <c r="F52" s="16">
        <f t="array" ref="F52">SUM(IF(Period=F$4,IF(Site=$B$41,data!$Q$2:$Q$1784)))</f>
        <v>1157</v>
      </c>
      <c r="G52" s="16">
        <f t="array" ref="G52">SUM(IF(Period=G$4,IF(Site=$B$41,data!$Q$2:$Q$1784)))</f>
        <v>994</v>
      </c>
      <c r="H52" s="16">
        <f t="array" ref="H52">SUM(IF(Period=H$4,IF(Site=$B$41,data!$Q$2:$Q$1784)))</f>
        <v>1066</v>
      </c>
      <c r="I52" s="16">
        <f t="array" ref="I52">SUM(IF(Period=I$4,IF(Site=$B$41,data!$Q$2:$Q$1784)))</f>
        <v>972</v>
      </c>
      <c r="J52" s="16">
        <f t="array" ref="J52">SUM(IF(Period=J$4,IF(Site=$B$41,data!$Q$2:$Q$1784)))</f>
        <v>972</v>
      </c>
      <c r="K52" s="16">
        <f t="array" ref="K52">SUM(IF(Period=K$4,IF(Site=$B$41,data!$Q$2:$Q$1784)))</f>
        <v>968</v>
      </c>
      <c r="L52" s="16">
        <f t="array" ref="L52">SUM(IF(Period=L$4,IF(Site=$B$41,data!$Q$2:$Q$1784)))</f>
        <v>1020</v>
      </c>
      <c r="M52" s="16">
        <f t="array" ref="M52">SUM(IF(Period=M$4,IF(Site=$B$41,data!$Q$2:$Q$1784)))</f>
        <v>997</v>
      </c>
      <c r="N52" s="16">
        <f t="array" ref="N52">SUM(IF(Period=N$4,IF(Site=$B$41,data!$Q$2:$Q$1784)))</f>
        <v>1046</v>
      </c>
      <c r="O52" s="16">
        <f t="array" ref="O52">SUM(IF(Period=O$4,IF(Site=$B$41,data!$Q$2:$Q$1784)))</f>
        <v>2</v>
      </c>
      <c r="Q52" s="16">
        <f t="shared" si="34"/>
        <v>3257</v>
      </c>
      <c r="R52" s="16">
        <f t="shared" si="35"/>
        <v>3032</v>
      </c>
      <c r="S52" s="16">
        <f t="shared" si="36"/>
        <v>2960</v>
      </c>
      <c r="T52" s="16">
        <f t="shared" si="37"/>
        <v>2045</v>
      </c>
    </row>
    <row r="53" spans="1:20" x14ac:dyDescent="0.25">
      <c r="A53" s="10" t="s">
        <v>10</v>
      </c>
      <c r="C53" s="12" t="s">
        <v>282</v>
      </c>
      <c r="D53" s="16">
        <f t="array" ref="D53">SUM(IF(Period=D$4,IF(Site=$B$41,data!$R$2:$R$1784)))</f>
        <v>14</v>
      </c>
      <c r="E53" s="16">
        <f t="array" ref="E53">SUM(IF(Period=E$4,IF(Site=$B$41,data!$R$2:$R$1784)))</f>
        <v>9</v>
      </c>
      <c r="F53" s="16">
        <f t="array" ref="F53">SUM(IF(Period=F$4,IF(Site=$B$41,data!$R$2:$R$1784)))</f>
        <v>13</v>
      </c>
      <c r="G53" s="16">
        <f t="array" ref="G53">SUM(IF(Period=G$4,IF(Site=$B$41,data!$R$2:$R$1784)))</f>
        <v>14</v>
      </c>
      <c r="H53" s="16">
        <f t="array" ref="H53">SUM(IF(Period=H$4,IF(Site=$B$41,data!$R$2:$R$1784)))</f>
        <v>14</v>
      </c>
      <c r="I53" s="16">
        <f t="array" ref="I53">SUM(IF(Period=I$4,IF(Site=$B$41,data!$R$2:$R$1784)))</f>
        <v>24</v>
      </c>
      <c r="J53" s="16">
        <f t="array" ref="J53">SUM(IF(Period=J$4,IF(Site=$B$41,data!$R$2:$R$1784)))</f>
        <v>15</v>
      </c>
      <c r="K53" s="16">
        <f t="array" ref="K53">SUM(IF(Period=K$4,IF(Site=$B$41,data!$R$2:$R$1784)))</f>
        <v>11</v>
      </c>
      <c r="L53" s="16">
        <f t="array" ref="L53">SUM(IF(Period=L$4,IF(Site=$B$41,data!$R$2:$R$1784)))</f>
        <v>6</v>
      </c>
      <c r="M53" s="16">
        <f t="array" ref="M53">SUM(IF(Period=M$4,IF(Site=$B$41,data!$R$2:$R$1784)))</f>
        <v>2</v>
      </c>
      <c r="N53" s="16">
        <f t="array" ref="N53">SUM(IF(Period=N$4,IF(Site=$B$41,data!$R$2:$R$1784)))</f>
        <v>8</v>
      </c>
      <c r="O53" s="16">
        <f t="array" ref="O53">SUM(IF(Period=O$4,IF(Site=$B$41,data!$R$2:$R$1784)))</f>
        <v>686</v>
      </c>
      <c r="Q53" s="16">
        <f t="shared" si="34"/>
        <v>36</v>
      </c>
      <c r="R53" s="16">
        <f t="shared" si="35"/>
        <v>52</v>
      </c>
      <c r="S53" s="16">
        <f t="shared" si="36"/>
        <v>32</v>
      </c>
      <c r="T53" s="16">
        <f t="shared" si="37"/>
        <v>696</v>
      </c>
    </row>
    <row r="54" spans="1:20" x14ac:dyDescent="0.25">
      <c r="A54" s="10" t="s">
        <v>11</v>
      </c>
      <c r="C54" s="12" t="s">
        <v>283</v>
      </c>
      <c r="D54" s="16">
        <f t="array" ref="D54">SUM(IF(Period=D$4,IF(Site=$B$41,data!$S$2:$S$1784)))</f>
        <v>0</v>
      </c>
      <c r="E54" s="16">
        <f t="array" ref="E54">SUM(IF(Period=E$4,IF(Site=$B$41,data!$S$2:$S$1784)))</f>
        <v>1222</v>
      </c>
      <c r="F54" s="16">
        <f t="array" ref="F54">SUM(IF(Period=F$4,IF(Site=$B$41,data!$S$2:$S$1784)))</f>
        <v>1485</v>
      </c>
      <c r="G54" s="16">
        <f t="array" ref="G54">SUM(IF(Period=G$4,IF(Site=$B$41,data!$S$2:$S$1784)))</f>
        <v>1136</v>
      </c>
      <c r="H54" s="16">
        <f t="array" ref="H54">SUM(IF(Period=H$4,IF(Site=$B$41,data!$S$2:$S$1784)))</f>
        <v>1135</v>
      </c>
      <c r="I54" s="16">
        <f t="array" ref="I54">SUM(IF(Period=I$4,IF(Site=$B$41,data!$S$2:$S$1784)))</f>
        <v>971</v>
      </c>
      <c r="J54" s="16">
        <f t="array" ref="J54">SUM(IF(Period=J$4,IF(Site=$B$41,data!$S$2:$S$1784)))</f>
        <v>1104</v>
      </c>
      <c r="K54" s="16">
        <f t="array" ref="K54">SUM(IF(Period=K$4,IF(Site=$B$41,data!$S$2:$S$1784)))</f>
        <v>995</v>
      </c>
      <c r="L54" s="16">
        <f t="array" ref="L54">SUM(IF(Period=L$4,IF(Site=$B$41,data!$S$2:$S$1784)))</f>
        <v>1022</v>
      </c>
      <c r="M54" s="16">
        <f t="array" ref="M54">SUM(IF(Period=M$4,IF(Site=$B$41,data!$S$2:$S$1784)))</f>
        <v>1021</v>
      </c>
      <c r="N54" s="16">
        <f t="array" ref="N54">SUM(IF(Period=N$4,IF(Site=$B$41,data!$S$2:$S$1784)))</f>
        <v>1103</v>
      </c>
      <c r="O54" s="16">
        <f t="array" ref="O54">SUM(IF(Period=O$4,IF(Site=$B$41,data!$S$2:$S$1784)))</f>
        <v>3</v>
      </c>
      <c r="Q54" s="16">
        <f t="shared" si="34"/>
        <v>2707</v>
      </c>
      <c r="R54" s="16">
        <f t="shared" si="35"/>
        <v>3242</v>
      </c>
      <c r="S54" s="16">
        <f t="shared" si="36"/>
        <v>3121</v>
      </c>
      <c r="T54" s="16">
        <f t="shared" si="37"/>
        <v>2127</v>
      </c>
    </row>
    <row r="55" spans="1:20" x14ac:dyDescent="0.25">
      <c r="A55" s="10" t="s">
        <v>13</v>
      </c>
      <c r="C55" s="12" t="s">
        <v>284</v>
      </c>
      <c r="D55" s="16">
        <f t="array" ref="D55">SUM(IF(Period=D$4,IF(Site=$B$41,data!$T$2:$T$1784)))</f>
        <v>0</v>
      </c>
      <c r="E55" s="16">
        <f t="array" ref="E55">SUM(IF(Period=E$4,IF(Site=$B$41,data!$T$2:$T$1784)))</f>
        <v>27</v>
      </c>
      <c r="F55" s="16">
        <f t="array" ref="F55">SUM(IF(Period=F$4,IF(Site=$B$41,data!$T$2:$T$1784)))</f>
        <v>26</v>
      </c>
      <c r="G55" s="16">
        <f t="array" ref="G55">SUM(IF(Period=G$4,IF(Site=$B$41,data!$T$2:$T$1784)))</f>
        <v>20</v>
      </c>
      <c r="H55" s="16">
        <f t="array" ref="H55">SUM(IF(Period=H$4,IF(Site=$B$41,data!$T$2:$T$1784)))</f>
        <v>6</v>
      </c>
      <c r="I55" s="16">
        <f t="array" ref="I55">SUM(IF(Period=I$4,IF(Site=$B$41,data!$T$2:$T$1784)))</f>
        <v>6</v>
      </c>
      <c r="J55" s="16">
        <f t="array" ref="J55">SUM(IF(Period=J$4,IF(Site=$B$41,data!$T$2:$T$1784)))</f>
        <v>10</v>
      </c>
      <c r="K55" s="16">
        <f t="array" ref="K55">SUM(IF(Period=K$4,IF(Site=$B$41,data!$T$2:$T$1784)))</f>
        <v>4</v>
      </c>
      <c r="L55" s="16">
        <f t="array" ref="L55">SUM(IF(Period=L$4,IF(Site=$B$41,data!$T$2:$T$1784)))</f>
        <v>9</v>
      </c>
      <c r="M55" s="16">
        <f t="array" ref="M55">SUM(IF(Period=M$4,IF(Site=$B$41,data!$T$2:$T$1784)))</f>
        <v>8</v>
      </c>
      <c r="N55" s="16">
        <f t="array" ref="N55">SUM(IF(Period=N$4,IF(Site=$B$41,data!$T$2:$T$1784)))</f>
        <v>4</v>
      </c>
      <c r="O55" s="16">
        <f t="array" ref="O55">SUM(IF(Period=O$4,IF(Site=$B$41,data!$T$2:$T$1784)))</f>
        <v>709</v>
      </c>
      <c r="Q55" s="16">
        <f t="shared" si="34"/>
        <v>53</v>
      </c>
      <c r="R55" s="16">
        <f t="shared" si="35"/>
        <v>32</v>
      </c>
      <c r="S55" s="16">
        <f t="shared" si="36"/>
        <v>23</v>
      </c>
      <c r="T55" s="16">
        <f t="shared" si="37"/>
        <v>721</v>
      </c>
    </row>
    <row r="56" spans="1:20" x14ac:dyDescent="0.25">
      <c r="A56" s="10" t="s">
        <v>14</v>
      </c>
      <c r="C56" s="14" t="s">
        <v>285</v>
      </c>
      <c r="D56" s="15">
        <f>IF(D48=0,0,(D49+D50+D52)/D48)</f>
        <v>0.99137931034482762</v>
      </c>
      <c r="E56" s="15">
        <f>IF(E48=0,0,(E49+E50+E52+E54+E55)/E48)</f>
        <v>0.99689011748445056</v>
      </c>
      <c r="F56" s="15">
        <f t="shared" ref="F56" si="38">IF(F48=0,0,(F49+F50+F52+F54+F55)/F48)</f>
        <v>0.99593368783234282</v>
      </c>
      <c r="G56" s="15">
        <f t="shared" ref="G56" si="39">IF(G48=0,0,(G49+G50+G52+G54+G55)/G48)</f>
        <v>0.99469214437367304</v>
      </c>
      <c r="H56" s="15">
        <f t="shared" ref="H56" si="40">IF(H48=0,0,(H49+H50+H52+H54+H55)/H48)</f>
        <v>0.99336283185840712</v>
      </c>
      <c r="I56" s="15">
        <f t="shared" ref="I56" si="41">IF(I48=0,0,(I49+I50+I52+I54+I55)/I48)</f>
        <v>0.98987768873892867</v>
      </c>
      <c r="J56" s="15">
        <f t="shared" ref="J56" si="42">IF(J48=0,0,(J49+J50+J52+J54+J55)/J48)</f>
        <v>0.99288818648755428</v>
      </c>
      <c r="K56" s="15">
        <f t="shared" ref="K56" si="43">IF(K48=0,0,(K49+K50+K52+K54+K55)/K48)</f>
        <v>0.99382716049382713</v>
      </c>
      <c r="L56" s="15">
        <f t="shared" ref="L56" si="44">IF(L48=0,0,(L49+L50+L52+L54+L55)/L48)</f>
        <v>0.99719999999999998</v>
      </c>
      <c r="M56" s="15">
        <f t="shared" ref="M56" si="45">IF(M48=0,0,(M49+M50+M52+M54+M55)/M48)</f>
        <v>0.99875621890547261</v>
      </c>
      <c r="N56" s="15">
        <f t="shared" ref="N56" si="46">IF(N48=0,0,(N49+N50+N52+N54+N55)/N48)</f>
        <v>0.99551234106207931</v>
      </c>
      <c r="O56" s="15">
        <f t="shared" ref="O56" si="47">IF(O48=0,0,(O49+O50+O52+O54+O55)/O48)</f>
        <v>0.57302672467371041</v>
      </c>
      <c r="P56" s="17"/>
      <c r="Q56" s="15">
        <f t="shared" ref="Q56" si="48">IF(Q48=0,0,(Q49+Q50+Q52+Q54+Q55)/Q48)</f>
        <v>0.99533376539209328</v>
      </c>
      <c r="R56" s="15">
        <f t="shared" ref="R56" si="49">IF(R48=0,0,(R49+R50+R52+R54+R55)/R48)</f>
        <v>0.99279302060943231</v>
      </c>
      <c r="S56" s="15">
        <f t="shared" ref="S56" si="50">IF(S48=0,0,(S49+S50+S52+S54+S55)/S48)</f>
        <v>0.9946387883661707</v>
      </c>
      <c r="T56" s="15">
        <f t="shared" ref="T56" si="51">IF(T48=0,0,(T49+T50+T52+T54+T55)/T48)</f>
        <v>0.89514563106796119</v>
      </c>
    </row>
    <row r="57" spans="1:20" x14ac:dyDescent="0.25">
      <c r="A57" s="10" t="s">
        <v>15</v>
      </c>
      <c r="C57" s="14" t="s">
        <v>286</v>
      </c>
      <c r="D57" s="15">
        <f>IF(AND(D42=0,D48=0),0,(SUM(D43:D45)+D49+D50+D52+D54+D55)/(D42+D48))</f>
        <v>0.99197707736389684</v>
      </c>
      <c r="E57" s="15">
        <f t="shared" ref="E57:O57" si="52">IF(AND(E42=0,E48=0),0,(SUM(E43:E45)+E49+E50+E52+E54+E55)/(E42+E48))</f>
        <v>0.99705014749262533</v>
      </c>
      <c r="F57" s="15">
        <f t="shared" si="52"/>
        <v>0.99616066154754868</v>
      </c>
      <c r="G57" s="15">
        <f t="shared" si="52"/>
        <v>0.99497487437185927</v>
      </c>
      <c r="H57" s="15">
        <f t="shared" si="52"/>
        <v>0.99372384937238489</v>
      </c>
      <c r="I57" s="15">
        <f t="shared" si="52"/>
        <v>0.99040767386091122</v>
      </c>
      <c r="J57" s="15">
        <f t="shared" si="52"/>
        <v>0.99296296296296294</v>
      </c>
      <c r="K57" s="15">
        <f t="shared" si="52"/>
        <v>0.99421072944808953</v>
      </c>
      <c r="L57" s="15">
        <f t="shared" si="52"/>
        <v>0.99732824427480915</v>
      </c>
      <c r="M57" s="15">
        <f t="shared" si="52"/>
        <v>0.99842890809112328</v>
      </c>
      <c r="N57" s="15">
        <f t="shared" si="52"/>
        <v>0.99576719576719575</v>
      </c>
      <c r="O57" s="15">
        <f t="shared" si="52"/>
        <v>0.58489425981873111</v>
      </c>
      <c r="P57" s="17"/>
      <c r="Q57" s="15">
        <f t="shared" ref="Q57:T57" si="53">IF(AND(Q42=0,Q48=0),0,(SUM(Q43:Q45)+Q49+Q50+Q52+Q54+Q55)/(Q42+Q48))</f>
        <v>0.99560009777560499</v>
      </c>
      <c r="R57" s="15">
        <f t="shared" si="53"/>
        <v>0.99317773788150809</v>
      </c>
      <c r="S57" s="15">
        <f t="shared" si="53"/>
        <v>0.99481734294020985</v>
      </c>
      <c r="T57" s="15">
        <f t="shared" si="53"/>
        <v>0.90008527572484365</v>
      </c>
    </row>
    <row r="58" spans="1:20" x14ac:dyDescent="0.25">
      <c r="A58" s="10"/>
    </row>
    <row r="59" spans="1:20" ht="18.75" x14ac:dyDescent="0.3">
      <c r="A59" s="10"/>
      <c r="B59" s="13" t="s">
        <v>24</v>
      </c>
    </row>
    <row r="60" spans="1:20" x14ac:dyDescent="0.25">
      <c r="A60" s="10" t="s">
        <v>5</v>
      </c>
      <c r="C60" s="12" t="s">
        <v>272</v>
      </c>
      <c r="D60" s="16">
        <f t="array" ref="D60">SUM(IF(Period=D$4,IF(Site=$B$59,data!$G$2:$G$1784)))</f>
        <v>215</v>
      </c>
      <c r="E60" s="16">
        <f t="array" ref="E60">SUM(IF(Period=E$4,IF(Site=$B$59,data!$G$2:$G$1784)))</f>
        <v>262</v>
      </c>
      <c r="F60" s="16">
        <f t="array" ref="F60">SUM(IF(Period=F$4,IF(Site=$B$59,data!$G$2:$G$1784)))</f>
        <v>230</v>
      </c>
      <c r="G60" s="16">
        <f t="array" ref="G60">SUM(IF(Period=G$4,IF(Site=$B$59,data!$G$2:$G$1784)))</f>
        <v>216</v>
      </c>
      <c r="H60" s="16">
        <f t="array" ref="H60">SUM(IF(Period=H$4,IF(Site=$B$59,data!$G$2:$G$1784)))</f>
        <v>269</v>
      </c>
      <c r="I60" s="16">
        <f t="array" ref="I60">SUM(IF(Period=I$4,IF(Site=$B$59,data!$G$2:$G$1784)))</f>
        <v>223</v>
      </c>
      <c r="J60" s="16">
        <f t="array" ref="J60">SUM(IF(Period=J$4,IF(Site=$B$59,data!$G$2:$G$1784)))</f>
        <v>237</v>
      </c>
      <c r="K60" s="16">
        <f t="array" ref="K60">SUM(IF(Period=K$4,IF(Site=$B$59,data!$G$2:$G$1784)))</f>
        <v>274</v>
      </c>
      <c r="L60" s="16">
        <f t="array" ref="L60">SUM(IF(Period=L$4,IF(Site=$B$59,data!$G$2:$G$1784)))</f>
        <v>235</v>
      </c>
      <c r="M60" s="16">
        <f t="array" ref="M60">SUM(IF(Period=M$4,IF(Site=$B$59,data!$G$2:$G$1784)))</f>
        <v>279</v>
      </c>
      <c r="N60" s="16">
        <f t="array" ref="N60">SUM(IF(Period=N$4,IF(Site=$B$59,data!$G$2:$G$1784)))</f>
        <v>228</v>
      </c>
      <c r="O60" s="16">
        <f t="array" ref="O60">SUM(IF(Period=O$4,IF(Site=$B$59,data!$G$2:$G$1784)))</f>
        <v>142</v>
      </c>
      <c r="Q60" s="16">
        <f>SUM(D60:F60)</f>
        <v>707</v>
      </c>
      <c r="R60" s="16">
        <f>SUM(G60:I60)</f>
        <v>708</v>
      </c>
      <c r="S60" s="16">
        <f>SUM(J60:L60)</f>
        <v>746</v>
      </c>
      <c r="T60" s="16">
        <f>SUM(M60:O60)</f>
        <v>649</v>
      </c>
    </row>
    <row r="61" spans="1:20" x14ac:dyDescent="0.25">
      <c r="A61" s="10" t="s">
        <v>0</v>
      </c>
      <c r="C61" s="12" t="s">
        <v>0</v>
      </c>
      <c r="D61" s="16">
        <f t="array" ref="D61">SUM(IF(Period=D$4,IF(Site=$B$59,data!$H$2:$H$1784)))</f>
        <v>214</v>
      </c>
      <c r="E61" s="16">
        <f t="array" ref="E61">SUM(IF(Period=E$4,IF(Site=$B$59,data!$H$2:$H$1784)))</f>
        <v>261</v>
      </c>
      <c r="F61" s="16">
        <f t="array" ref="F61">SUM(IF(Period=F$4,IF(Site=$B$59,data!$H$2:$H$1784)))</f>
        <v>230</v>
      </c>
      <c r="G61" s="16">
        <f t="array" ref="G61">SUM(IF(Period=G$4,IF(Site=$B$59,data!$H$2:$H$1784)))</f>
        <v>216</v>
      </c>
      <c r="H61" s="16">
        <f t="array" ref="H61">SUM(IF(Period=H$4,IF(Site=$B$59,data!$H$2:$H$1784)))</f>
        <v>269</v>
      </c>
      <c r="I61" s="16">
        <f t="array" ref="I61">SUM(IF(Period=I$4,IF(Site=$B$59,data!$H$2:$H$1784)))</f>
        <v>222</v>
      </c>
      <c r="J61" s="16">
        <f t="array" ref="J61">SUM(IF(Period=J$4,IF(Site=$B$59,data!$H$2:$H$1784)))</f>
        <v>237</v>
      </c>
      <c r="K61" s="16">
        <f t="array" ref="K61">SUM(IF(Period=K$4,IF(Site=$B$59,data!$H$2:$H$1784)))</f>
        <v>274</v>
      </c>
      <c r="L61" s="16">
        <f t="array" ref="L61">SUM(IF(Period=L$4,IF(Site=$B$59,data!$H$2:$H$1784)))</f>
        <v>234</v>
      </c>
      <c r="M61" s="16">
        <f t="array" ref="M61">SUM(IF(Period=M$4,IF(Site=$B$59,data!$H$2:$H$1784)))</f>
        <v>277</v>
      </c>
      <c r="N61" s="16">
        <f t="array" ref="N61">SUM(IF(Period=N$4,IF(Site=$B$59,data!$H$2:$H$1784)))</f>
        <v>226</v>
      </c>
      <c r="O61" s="16">
        <f t="array" ref="O61">SUM(IF(Period=O$4,IF(Site=$B$59,data!$H$2:$H$1784)))</f>
        <v>142</v>
      </c>
      <c r="Q61" s="16">
        <f>SUM(D61:F61)</f>
        <v>705</v>
      </c>
      <c r="R61" s="16">
        <f>SUM(G61:I61)</f>
        <v>707</v>
      </c>
      <c r="S61" s="16">
        <f>SUM(J61:L61)</f>
        <v>745</v>
      </c>
      <c r="T61" s="16">
        <f>SUM(M61:O61)</f>
        <v>645</v>
      </c>
    </row>
    <row r="62" spans="1:20" x14ac:dyDescent="0.25">
      <c r="A62" s="10" t="s">
        <v>2</v>
      </c>
      <c r="C62" s="12" t="s">
        <v>273</v>
      </c>
      <c r="D62" s="16">
        <f t="array" ref="D62">SUM(IF(Period=D$4,IF(Site=$B$59,data!$I$2:$I$1784)))</f>
        <v>0</v>
      </c>
      <c r="E62" s="16">
        <f t="array" ref="E62">SUM(IF(Period=E$4,IF(Site=$B$59,data!$I$2:$I$1784)))</f>
        <v>0</v>
      </c>
      <c r="F62" s="16">
        <f t="array" ref="F62">SUM(IF(Period=F$4,IF(Site=$B$59,data!$I$2:$I$1784)))</f>
        <v>0</v>
      </c>
      <c r="G62" s="16">
        <f t="array" ref="G62">SUM(IF(Period=G$4,IF(Site=$B$59,data!$I$2:$I$1784)))</f>
        <v>0</v>
      </c>
      <c r="H62" s="16">
        <f t="array" ref="H62">SUM(IF(Period=H$4,IF(Site=$B$59,data!$I$2:$I$1784)))</f>
        <v>0</v>
      </c>
      <c r="I62" s="16">
        <f t="array" ref="I62">SUM(IF(Period=I$4,IF(Site=$B$59,data!$I$2:$I$1784)))</f>
        <v>0</v>
      </c>
      <c r="J62" s="16">
        <f t="array" ref="J62">SUM(IF(Period=J$4,IF(Site=$B$59,data!$I$2:$I$1784)))</f>
        <v>0</v>
      </c>
      <c r="K62" s="16">
        <f t="array" ref="K62">SUM(IF(Period=K$4,IF(Site=$B$59,data!$I$2:$I$1784)))</f>
        <v>0</v>
      </c>
      <c r="L62" s="16">
        <f t="array" ref="L62">SUM(IF(Period=L$4,IF(Site=$B$59,data!$I$2:$I$1784)))</f>
        <v>0</v>
      </c>
      <c r="M62" s="16">
        <f t="array" ref="M62">SUM(IF(Period=M$4,IF(Site=$B$59,data!$I$2:$I$1784)))</f>
        <v>0</v>
      </c>
      <c r="N62" s="16">
        <f t="array" ref="N62">SUM(IF(Period=N$4,IF(Site=$B$59,data!$I$2:$I$1784)))</f>
        <v>0</v>
      </c>
      <c r="O62" s="16">
        <f t="array" ref="O62">SUM(IF(Period=O$4,IF(Site=$B$59,data!$I$2:$I$1784)))</f>
        <v>0</v>
      </c>
      <c r="Q62" s="16">
        <f>SUM(D62:F62)</f>
        <v>0</v>
      </c>
      <c r="R62" s="16">
        <f>SUM(G62:I62)</f>
        <v>0</v>
      </c>
      <c r="S62" s="16">
        <f>SUM(J62:L62)</f>
        <v>0</v>
      </c>
      <c r="T62" s="16">
        <f>SUM(M62:O62)</f>
        <v>0</v>
      </c>
    </row>
    <row r="63" spans="1:20" x14ac:dyDescent="0.25">
      <c r="A63" s="10" t="s">
        <v>3</v>
      </c>
      <c r="C63" s="12" t="s">
        <v>274</v>
      </c>
      <c r="D63" s="16">
        <f t="array" ref="D63">SUM(IF(Period=D$4,IF(Site=$B$59,data!$J$2:$J$1784)))</f>
        <v>0</v>
      </c>
      <c r="E63" s="16">
        <f t="array" ref="E63">SUM(IF(Period=E$4,IF(Site=$B$59,data!$J$2:$J$1784)))</f>
        <v>1</v>
      </c>
      <c r="F63" s="16">
        <f t="array" ref="F63">SUM(IF(Period=F$4,IF(Site=$B$59,data!$J$2:$J$1784)))</f>
        <v>0</v>
      </c>
      <c r="G63" s="16">
        <f t="array" ref="G63">SUM(IF(Period=G$4,IF(Site=$B$59,data!$J$2:$J$1784)))</f>
        <v>0</v>
      </c>
      <c r="H63" s="16">
        <f t="array" ref="H63">SUM(IF(Period=H$4,IF(Site=$B$59,data!$J$2:$J$1784)))</f>
        <v>0</v>
      </c>
      <c r="I63" s="16">
        <f t="array" ref="I63">SUM(IF(Period=I$4,IF(Site=$B$59,data!$J$2:$J$1784)))</f>
        <v>0</v>
      </c>
      <c r="J63" s="16">
        <f t="array" ref="J63">SUM(IF(Period=J$4,IF(Site=$B$59,data!$J$2:$J$1784)))</f>
        <v>0</v>
      </c>
      <c r="K63" s="16">
        <f t="array" ref="K63">SUM(IF(Period=K$4,IF(Site=$B$59,data!$J$2:$J$1784)))</f>
        <v>0</v>
      </c>
      <c r="L63" s="16">
        <f t="array" ref="L63">SUM(IF(Period=L$4,IF(Site=$B$59,data!$J$2:$J$1784)))</f>
        <v>0</v>
      </c>
      <c r="M63" s="16">
        <f t="array" ref="M63">SUM(IF(Period=M$4,IF(Site=$B$59,data!$J$2:$J$1784)))</f>
        <v>0</v>
      </c>
      <c r="N63" s="16">
        <f t="array" ref="N63">SUM(IF(Period=N$4,IF(Site=$B$59,data!$J$2:$J$1784)))</f>
        <v>0</v>
      </c>
      <c r="O63" s="16">
        <f t="array" ref="O63">SUM(IF(Period=O$4,IF(Site=$B$59,data!$J$2:$J$1784)))</f>
        <v>0</v>
      </c>
      <c r="Q63" s="16">
        <f>SUM(D63:F63)</f>
        <v>1</v>
      </c>
      <c r="R63" s="16">
        <f>SUM(G63:I63)</f>
        <v>0</v>
      </c>
      <c r="S63" s="16">
        <f>SUM(J63:L63)</f>
        <v>0</v>
      </c>
      <c r="T63" s="16">
        <f>SUM(M63:O63)</f>
        <v>0</v>
      </c>
    </row>
    <row r="64" spans="1:20" x14ac:dyDescent="0.25">
      <c r="A64" s="10" t="s">
        <v>4</v>
      </c>
      <c r="C64" s="12" t="s">
        <v>275</v>
      </c>
      <c r="D64" s="16">
        <f t="array" ref="D64">SUM(IF(Period=D$4,IF(Site=$B$59,data!$K$2:$K$1784)))</f>
        <v>1</v>
      </c>
      <c r="E64" s="16">
        <f t="array" ref="E64">SUM(IF(Period=E$4,IF(Site=$B$59,data!$K$2:$K$1784)))</f>
        <v>0</v>
      </c>
      <c r="F64" s="16">
        <f t="array" ref="F64">SUM(IF(Period=F$4,IF(Site=$B$59,data!$K$2:$K$1784)))</f>
        <v>0</v>
      </c>
      <c r="G64" s="16">
        <f t="array" ref="G64">SUM(IF(Period=G$4,IF(Site=$B$59,data!$K$2:$K$1784)))</f>
        <v>0</v>
      </c>
      <c r="H64" s="16">
        <f t="array" ref="H64">SUM(IF(Period=H$4,IF(Site=$B$59,data!$K$2:$K$1784)))</f>
        <v>0</v>
      </c>
      <c r="I64" s="16">
        <f t="array" ref="I64">SUM(IF(Period=I$4,IF(Site=$B$59,data!$K$2:$K$1784)))</f>
        <v>1</v>
      </c>
      <c r="J64" s="16">
        <f t="array" ref="J64">SUM(IF(Period=J$4,IF(Site=$B$59,data!$K$2:$K$1784)))</f>
        <v>0</v>
      </c>
      <c r="K64" s="16">
        <f t="array" ref="K64">SUM(IF(Period=K$4,IF(Site=$B$59,data!$K$2:$K$1784)))</f>
        <v>0</v>
      </c>
      <c r="L64" s="16">
        <f t="array" ref="L64">SUM(IF(Period=L$4,IF(Site=$B$59,data!$K$2:$K$1784)))</f>
        <v>1</v>
      </c>
      <c r="M64" s="16">
        <f t="array" ref="M64">SUM(IF(Period=M$4,IF(Site=$B$59,data!$K$2:$K$1784)))</f>
        <v>2</v>
      </c>
      <c r="N64" s="16">
        <f t="array" ref="N64">SUM(IF(Period=N$4,IF(Site=$B$59,data!$K$2:$K$1784)))</f>
        <v>2</v>
      </c>
      <c r="O64" s="16">
        <f t="array" ref="O64">SUM(IF(Period=O$4,IF(Site=$B$59,data!$K$2:$K$1784)))</f>
        <v>0</v>
      </c>
      <c r="Q64" s="16">
        <f>SUM(D64:F64)</f>
        <v>1</v>
      </c>
      <c r="R64" s="16">
        <f>SUM(G64:I64)</f>
        <v>1</v>
      </c>
      <c r="S64" s="16">
        <f>SUM(J64:L64)</f>
        <v>1</v>
      </c>
      <c r="T64" s="16">
        <f>SUM(M64:O64)</f>
        <v>4</v>
      </c>
    </row>
    <row r="65" spans="1:20" x14ac:dyDescent="0.25">
      <c r="A65" s="10" t="s">
        <v>6</v>
      </c>
      <c r="C65" s="14" t="s">
        <v>276</v>
      </c>
      <c r="D65" s="15">
        <f>IF(D60=0,0,SUM(D61:D63)/D60)</f>
        <v>0.99534883720930234</v>
      </c>
      <c r="E65" s="15">
        <f t="shared" ref="E65:O65" si="54">IF(E60=0,0,SUM(E61:E63)/E60)</f>
        <v>1</v>
      </c>
      <c r="F65" s="15">
        <f t="shared" si="54"/>
        <v>1</v>
      </c>
      <c r="G65" s="15">
        <f t="shared" si="54"/>
        <v>1</v>
      </c>
      <c r="H65" s="15">
        <f t="shared" si="54"/>
        <v>1</v>
      </c>
      <c r="I65" s="15">
        <f t="shared" si="54"/>
        <v>0.99551569506726456</v>
      </c>
      <c r="J65" s="15">
        <f t="shared" si="54"/>
        <v>1</v>
      </c>
      <c r="K65" s="15">
        <f t="shared" si="54"/>
        <v>1</v>
      </c>
      <c r="L65" s="15">
        <f t="shared" si="54"/>
        <v>0.99574468085106382</v>
      </c>
      <c r="M65" s="15">
        <f t="shared" si="54"/>
        <v>0.99283154121863804</v>
      </c>
      <c r="N65" s="15">
        <f t="shared" si="54"/>
        <v>0.99122807017543857</v>
      </c>
      <c r="O65" s="15">
        <f t="shared" si="54"/>
        <v>1</v>
      </c>
      <c r="P65" s="17"/>
      <c r="Q65" s="15">
        <f t="shared" ref="Q65:T65" si="55">IF(Q60=0,0,SUM(Q61:Q63)/Q60)</f>
        <v>0.99858557284299854</v>
      </c>
      <c r="R65" s="15">
        <f t="shared" si="55"/>
        <v>0.99858757062146897</v>
      </c>
      <c r="S65" s="15">
        <f t="shared" si="55"/>
        <v>0.99865951742627346</v>
      </c>
      <c r="T65" s="15">
        <f t="shared" si="55"/>
        <v>0.99383667180277346</v>
      </c>
    </row>
    <row r="66" spans="1:20" x14ac:dyDescent="0.25">
      <c r="A66" s="10" t="s">
        <v>7</v>
      </c>
      <c r="C66" s="12" t="s">
        <v>277</v>
      </c>
      <c r="D66" s="16">
        <f t="array" ref="D66">SUM(IF(Period=D$4,IF(Site=$B$59,data!$M$2:$M$1784)))</f>
        <v>3479</v>
      </c>
      <c r="E66" s="16">
        <f t="array" ref="E66">SUM(IF(Period=E$4,IF(Site=$B$59,data!$M$2:$M$1784)))</f>
        <v>4716</v>
      </c>
      <c r="F66" s="16">
        <f t="array" ref="F66">SUM(IF(Period=F$4,IF(Site=$B$59,data!$M$2:$M$1784)))</f>
        <v>5018</v>
      </c>
      <c r="G66" s="16">
        <f t="array" ref="G66">SUM(IF(Period=G$4,IF(Site=$B$59,data!$M$2:$M$1784)))</f>
        <v>4768</v>
      </c>
      <c r="H66" s="16">
        <f t="array" ref="H66">SUM(IF(Period=H$4,IF(Site=$B$59,data!$M$2:$M$1784)))</f>
        <v>4814</v>
      </c>
      <c r="I66" s="16">
        <f t="array" ref="I66">SUM(IF(Period=I$4,IF(Site=$B$59,data!$M$2:$M$1784)))</f>
        <v>4365</v>
      </c>
      <c r="J66" s="16">
        <f t="array" ref="J66">SUM(IF(Period=J$4,IF(Site=$B$59,data!$M$2:$M$1784)))</f>
        <v>4805</v>
      </c>
      <c r="K66" s="16">
        <f t="array" ref="K66">SUM(IF(Period=K$4,IF(Site=$B$59,data!$M$2:$M$1784)))</f>
        <v>4834</v>
      </c>
      <c r="L66" s="16">
        <f t="array" ref="L66">SUM(IF(Period=L$4,IF(Site=$B$59,data!$M$2:$M$1784)))</f>
        <v>4500</v>
      </c>
      <c r="M66" s="16">
        <f t="array" ref="M66">SUM(IF(Period=M$4,IF(Site=$B$59,data!$M$2:$M$1784)))</f>
        <v>4723</v>
      </c>
      <c r="N66" s="16">
        <f t="array" ref="N66">SUM(IF(Period=N$4,IF(Site=$B$59,data!$M$2:$M$1784)))</f>
        <v>4427</v>
      </c>
      <c r="O66" s="16">
        <f t="array" ref="O66">SUM(IF(Period=O$4,IF(Site=$B$59,data!$M$2:$M$1784)))</f>
        <v>2800</v>
      </c>
      <c r="Q66" s="16">
        <f t="shared" ref="Q66:Q73" si="56">SUM(D66:F66)</f>
        <v>13213</v>
      </c>
      <c r="R66" s="16">
        <f t="shared" ref="R66:R73" si="57">SUM(G66:I66)</f>
        <v>13947</v>
      </c>
      <c r="S66" s="16">
        <f t="shared" ref="S66:S73" si="58">SUM(J66:L66)</f>
        <v>14139</v>
      </c>
      <c r="T66" s="16">
        <f t="shared" ref="T66:T73" si="59">SUM(M66:O66)</f>
        <v>11950</v>
      </c>
    </row>
    <row r="67" spans="1:20" x14ac:dyDescent="0.25">
      <c r="A67" s="10" t="s">
        <v>61</v>
      </c>
      <c r="C67" s="12" t="s">
        <v>278</v>
      </c>
      <c r="D67" s="16">
        <f t="array" ref="D67">SUM(IF(Period=D$4,IF(Site=$B$59,data!$N$2:$N$1784)))</f>
        <v>878</v>
      </c>
      <c r="E67" s="16">
        <f t="array" ref="E67">SUM(IF(Period=E$4,IF(Site=$B$59,data!$N$2:$N$1784)))</f>
        <v>887</v>
      </c>
      <c r="F67" s="16">
        <f t="array" ref="F67">SUM(IF(Period=F$4,IF(Site=$B$59,data!$N$2:$N$1784)))</f>
        <v>950</v>
      </c>
      <c r="G67" s="16">
        <f t="array" ref="G67">SUM(IF(Period=G$4,IF(Site=$B$59,data!$N$2:$N$1784)))</f>
        <v>1037</v>
      </c>
      <c r="H67" s="16">
        <f t="array" ref="H67">SUM(IF(Period=H$4,IF(Site=$B$59,data!$N$2:$N$1784)))</f>
        <v>964</v>
      </c>
      <c r="I67" s="16">
        <f t="array" ref="I67">SUM(IF(Period=I$4,IF(Site=$B$59,data!$N$2:$N$1784)))</f>
        <v>789</v>
      </c>
      <c r="J67" s="16">
        <f t="array" ref="J67">SUM(IF(Period=J$4,IF(Site=$B$59,data!$N$2:$N$1784)))</f>
        <v>860</v>
      </c>
      <c r="K67" s="16">
        <f t="array" ref="K67">SUM(IF(Period=K$4,IF(Site=$B$59,data!$N$2:$N$1784)))</f>
        <v>837</v>
      </c>
      <c r="L67" s="16">
        <f t="array" ref="L67">SUM(IF(Period=L$4,IF(Site=$B$59,data!$N$2:$N$1784)))</f>
        <v>808</v>
      </c>
      <c r="M67" s="16">
        <f t="array" ref="M67">SUM(IF(Period=M$4,IF(Site=$B$59,data!$N$2:$N$1784)))</f>
        <v>811</v>
      </c>
      <c r="N67" s="16">
        <f t="array" ref="N67">SUM(IF(Period=N$4,IF(Site=$B$59,data!$N$2:$N$1784)))</f>
        <v>769</v>
      </c>
      <c r="O67" s="16">
        <f t="array" ref="O67">SUM(IF(Period=O$4,IF(Site=$B$59,data!$N$2:$N$1784)))</f>
        <v>412</v>
      </c>
      <c r="Q67" s="16">
        <f t="shared" si="56"/>
        <v>2715</v>
      </c>
      <c r="R67" s="16">
        <f t="shared" si="57"/>
        <v>2790</v>
      </c>
      <c r="S67" s="16">
        <f t="shared" si="58"/>
        <v>2505</v>
      </c>
      <c r="T67" s="16">
        <f t="shared" si="59"/>
        <v>1992</v>
      </c>
    </row>
    <row r="68" spans="1:20" x14ac:dyDescent="0.25">
      <c r="A68" s="10" t="s">
        <v>12</v>
      </c>
      <c r="C68" s="12" t="s">
        <v>279</v>
      </c>
      <c r="D68" s="16">
        <f t="array" ref="D68">SUM(IF(Period=D$4,IF(Site=$B$59,data!$O$2:$O$1784)))</f>
        <v>488</v>
      </c>
      <c r="E68" s="16">
        <f t="array" ref="E68">SUM(IF(Period=E$4,IF(Site=$B$59,data!$O$2:$O$1784)))</f>
        <v>0</v>
      </c>
      <c r="F68" s="16">
        <f t="array" ref="F68">SUM(IF(Period=F$4,IF(Site=$B$59,data!$O$2:$O$1784)))</f>
        <v>0</v>
      </c>
      <c r="G68" s="16">
        <f t="array" ref="G68">SUM(IF(Period=G$4,IF(Site=$B$59,data!$O$2:$O$1784)))</f>
        <v>0</v>
      </c>
      <c r="H68" s="16">
        <f t="array" ref="H68">SUM(IF(Period=H$4,IF(Site=$B$59,data!$O$2:$O$1784)))</f>
        <v>0</v>
      </c>
      <c r="I68" s="16">
        <f t="array" ref="I68">SUM(IF(Period=I$4,IF(Site=$B$59,data!$O$2:$O$1784)))</f>
        <v>0</v>
      </c>
      <c r="J68" s="16">
        <f t="array" ref="J68">SUM(IF(Period=J$4,IF(Site=$B$59,data!$O$2:$O$1784)))</f>
        <v>0</v>
      </c>
      <c r="K68" s="16">
        <f t="array" ref="K68">SUM(IF(Period=K$4,IF(Site=$B$59,data!$O$2:$O$1784)))</f>
        <v>0</v>
      </c>
      <c r="L68" s="16">
        <f t="array" ref="L68">SUM(IF(Period=L$4,IF(Site=$B$59,data!$O$2:$O$1784)))</f>
        <v>0</v>
      </c>
      <c r="M68" s="16">
        <f t="array" ref="M68">SUM(IF(Period=M$4,IF(Site=$B$59,data!$O$2:$O$1784)))</f>
        <v>0</v>
      </c>
      <c r="N68" s="16">
        <f t="array" ref="N68">SUM(IF(Period=N$4,IF(Site=$B$59,data!$O$2:$O$1784)))</f>
        <v>0</v>
      </c>
      <c r="O68" s="16">
        <f t="array" ref="O68">SUM(IF(Period=O$4,IF(Site=$B$59,data!$O$2:$O$1784)))</f>
        <v>0</v>
      </c>
      <c r="Q68" s="16">
        <f t="shared" si="56"/>
        <v>488</v>
      </c>
      <c r="R68" s="16">
        <f t="shared" si="57"/>
        <v>0</v>
      </c>
      <c r="S68" s="16">
        <f t="shared" si="58"/>
        <v>0</v>
      </c>
      <c r="T68" s="16">
        <f t="shared" si="59"/>
        <v>0</v>
      </c>
    </row>
    <row r="69" spans="1:20" x14ac:dyDescent="0.25">
      <c r="A69" s="10" t="s">
        <v>8</v>
      </c>
      <c r="C69" s="12" t="s">
        <v>280</v>
      </c>
      <c r="D69" s="16">
        <f t="array" ref="D69">SUM(IF(Period=D$4,IF(Site=$B$59,data!$P$2:$P$1784)))</f>
        <v>2</v>
      </c>
      <c r="E69" s="16">
        <f t="array" ref="E69">SUM(IF(Period=E$4,IF(Site=$B$59,data!$P$2:$P$1784)))</f>
        <v>15</v>
      </c>
      <c r="F69" s="16">
        <f t="array" ref="F69">SUM(IF(Period=F$4,IF(Site=$B$59,data!$P$2:$P$1784)))</f>
        <v>4</v>
      </c>
      <c r="G69" s="16">
        <f t="array" ref="G69">SUM(IF(Period=G$4,IF(Site=$B$59,data!$P$2:$P$1784)))</f>
        <v>3</v>
      </c>
      <c r="H69" s="16">
        <f t="array" ref="H69">SUM(IF(Period=H$4,IF(Site=$B$59,data!$P$2:$P$1784)))</f>
        <v>17</v>
      </c>
      <c r="I69" s="16">
        <f t="array" ref="I69">SUM(IF(Period=I$4,IF(Site=$B$59,data!$P$2:$P$1784)))</f>
        <v>10</v>
      </c>
      <c r="J69" s="16">
        <f t="array" ref="J69">SUM(IF(Period=J$4,IF(Site=$B$59,data!$P$2:$P$1784)))</f>
        <v>12</v>
      </c>
      <c r="K69" s="16">
        <f t="array" ref="K69">SUM(IF(Period=K$4,IF(Site=$B$59,data!$P$2:$P$1784)))</f>
        <v>9</v>
      </c>
      <c r="L69" s="16">
        <f t="array" ref="L69">SUM(IF(Period=L$4,IF(Site=$B$59,data!$P$2:$P$1784)))</f>
        <v>6</v>
      </c>
      <c r="M69" s="16">
        <f t="array" ref="M69">SUM(IF(Period=M$4,IF(Site=$B$59,data!$P$2:$P$1784)))</f>
        <v>10</v>
      </c>
      <c r="N69" s="16">
        <f t="array" ref="N69">SUM(IF(Period=N$4,IF(Site=$B$59,data!$P$2:$P$1784)))</f>
        <v>4</v>
      </c>
      <c r="O69" s="16">
        <f t="array" ref="O69">SUM(IF(Period=O$4,IF(Site=$B$59,data!$P$2:$P$1784)))</f>
        <v>3</v>
      </c>
      <c r="Q69" s="16">
        <f t="shared" si="56"/>
        <v>21</v>
      </c>
      <c r="R69" s="16">
        <f t="shared" si="57"/>
        <v>30</v>
      </c>
      <c r="S69" s="16">
        <f t="shared" si="58"/>
        <v>27</v>
      </c>
      <c r="T69" s="16">
        <f t="shared" si="59"/>
        <v>17</v>
      </c>
    </row>
    <row r="70" spans="1:20" x14ac:dyDescent="0.25">
      <c r="A70" s="10" t="s">
        <v>9</v>
      </c>
      <c r="C70" s="12" t="s">
        <v>281</v>
      </c>
      <c r="D70" s="16">
        <f t="array" ref="D70">SUM(IF(Period=D$4,IF(Site=$B$59,data!$Q$2:$Q$1784)))</f>
        <v>2099</v>
      </c>
      <c r="E70" s="16">
        <f t="array" ref="E70">SUM(IF(Period=E$4,IF(Site=$B$59,data!$Q$2:$Q$1784)))</f>
        <v>2005</v>
      </c>
      <c r="F70" s="16">
        <f t="array" ref="F70">SUM(IF(Period=F$4,IF(Site=$B$59,data!$Q$2:$Q$1784)))</f>
        <v>2034</v>
      </c>
      <c r="G70" s="16">
        <f t="array" ref="G70">SUM(IF(Period=G$4,IF(Site=$B$59,data!$Q$2:$Q$1784)))</f>
        <v>1907</v>
      </c>
      <c r="H70" s="16">
        <f t="array" ref="H70">SUM(IF(Period=H$4,IF(Site=$B$59,data!$Q$2:$Q$1784)))</f>
        <v>2071</v>
      </c>
      <c r="I70" s="16">
        <f t="array" ref="I70">SUM(IF(Period=I$4,IF(Site=$B$59,data!$Q$2:$Q$1784)))</f>
        <v>1886</v>
      </c>
      <c r="J70" s="16">
        <f t="array" ref="J70">SUM(IF(Period=J$4,IF(Site=$B$59,data!$Q$2:$Q$1784)))</f>
        <v>2118</v>
      </c>
      <c r="K70" s="16">
        <f t="array" ref="K70">SUM(IF(Period=K$4,IF(Site=$B$59,data!$Q$2:$Q$1784)))</f>
        <v>2186</v>
      </c>
      <c r="L70" s="16">
        <f t="array" ref="L70">SUM(IF(Period=L$4,IF(Site=$B$59,data!$Q$2:$Q$1784)))</f>
        <v>2020</v>
      </c>
      <c r="M70" s="16">
        <f t="array" ref="M70">SUM(IF(Period=M$4,IF(Site=$B$59,data!$Q$2:$Q$1784)))</f>
        <v>2139</v>
      </c>
      <c r="N70" s="16">
        <f t="array" ref="N70">SUM(IF(Period=N$4,IF(Site=$B$59,data!$Q$2:$Q$1784)))</f>
        <v>1991</v>
      </c>
      <c r="O70" s="16">
        <f t="array" ref="O70">SUM(IF(Period=O$4,IF(Site=$B$59,data!$Q$2:$Q$1784)))</f>
        <v>1326</v>
      </c>
      <c r="Q70" s="16">
        <f t="shared" si="56"/>
        <v>6138</v>
      </c>
      <c r="R70" s="16">
        <f t="shared" si="57"/>
        <v>5864</v>
      </c>
      <c r="S70" s="16">
        <f t="shared" si="58"/>
        <v>6324</v>
      </c>
      <c r="T70" s="16">
        <f t="shared" si="59"/>
        <v>5456</v>
      </c>
    </row>
    <row r="71" spans="1:20" x14ac:dyDescent="0.25">
      <c r="A71" s="10" t="s">
        <v>10</v>
      </c>
      <c r="C71" s="12" t="s">
        <v>282</v>
      </c>
      <c r="D71" s="16">
        <f t="array" ref="D71">SUM(IF(Period=D$4,IF(Site=$B$59,data!$R$2:$R$1784)))</f>
        <v>12</v>
      </c>
      <c r="E71" s="16">
        <f t="array" ref="E71">SUM(IF(Period=E$4,IF(Site=$B$59,data!$R$2:$R$1784)))</f>
        <v>17</v>
      </c>
      <c r="F71" s="16">
        <f t="array" ref="F71">SUM(IF(Period=F$4,IF(Site=$B$59,data!$R$2:$R$1784)))</f>
        <v>16</v>
      </c>
      <c r="G71" s="16">
        <f t="array" ref="G71">SUM(IF(Period=G$4,IF(Site=$B$59,data!$R$2:$R$1784)))</f>
        <v>19</v>
      </c>
      <c r="H71" s="16">
        <f t="array" ref="H71">SUM(IF(Period=H$4,IF(Site=$B$59,data!$R$2:$R$1784)))</f>
        <v>23</v>
      </c>
      <c r="I71" s="16">
        <f t="array" ref="I71">SUM(IF(Period=I$4,IF(Site=$B$59,data!$R$2:$R$1784)))</f>
        <v>11</v>
      </c>
      <c r="J71" s="16">
        <f t="array" ref="J71">SUM(IF(Period=J$4,IF(Site=$B$59,data!$R$2:$R$1784)))</f>
        <v>12</v>
      </c>
      <c r="K71" s="16">
        <f t="array" ref="K71">SUM(IF(Period=K$4,IF(Site=$B$59,data!$R$2:$R$1784)))</f>
        <v>13</v>
      </c>
      <c r="L71" s="16">
        <f t="array" ref="L71">SUM(IF(Period=L$4,IF(Site=$B$59,data!$R$2:$R$1784)))</f>
        <v>15</v>
      </c>
      <c r="M71" s="16">
        <f t="array" ref="M71">SUM(IF(Period=M$4,IF(Site=$B$59,data!$R$2:$R$1784)))</f>
        <v>4</v>
      </c>
      <c r="N71" s="16">
        <f t="array" ref="N71">SUM(IF(Period=N$4,IF(Site=$B$59,data!$R$2:$R$1784)))</f>
        <v>9</v>
      </c>
      <c r="O71" s="16">
        <f t="array" ref="O71">SUM(IF(Period=O$4,IF(Site=$B$59,data!$R$2:$R$1784)))</f>
        <v>0</v>
      </c>
      <c r="Q71" s="16">
        <f t="shared" si="56"/>
        <v>45</v>
      </c>
      <c r="R71" s="16">
        <f t="shared" si="57"/>
        <v>53</v>
      </c>
      <c r="S71" s="16">
        <f t="shared" si="58"/>
        <v>40</v>
      </c>
      <c r="T71" s="16">
        <f t="shared" si="59"/>
        <v>13</v>
      </c>
    </row>
    <row r="72" spans="1:20" x14ac:dyDescent="0.25">
      <c r="A72" s="10" t="s">
        <v>11</v>
      </c>
      <c r="C72" s="12" t="s">
        <v>283</v>
      </c>
      <c r="D72" s="16">
        <f t="array" ref="D72">SUM(IF(Period=D$4,IF(Site=$B$59,data!$S$2:$S$1784)))</f>
        <v>0</v>
      </c>
      <c r="E72" s="16">
        <f t="array" ref="E72">SUM(IF(Period=E$4,IF(Site=$B$59,data!$S$2:$S$1784)))</f>
        <v>1765</v>
      </c>
      <c r="F72" s="16">
        <f t="array" ref="F72">SUM(IF(Period=F$4,IF(Site=$B$59,data!$S$2:$S$1784)))</f>
        <v>1983</v>
      </c>
      <c r="G72" s="16">
        <f t="array" ref="G72">SUM(IF(Period=G$4,IF(Site=$B$59,data!$S$2:$S$1784)))</f>
        <v>1781</v>
      </c>
      <c r="H72" s="16">
        <f t="array" ref="H72">SUM(IF(Period=H$4,IF(Site=$B$59,data!$S$2:$S$1784)))</f>
        <v>1719</v>
      </c>
      <c r="I72" s="16">
        <f t="array" ref="I72">SUM(IF(Period=I$4,IF(Site=$B$59,data!$S$2:$S$1784)))</f>
        <v>1655</v>
      </c>
      <c r="J72" s="16">
        <f t="array" ref="J72">SUM(IF(Period=J$4,IF(Site=$B$59,data!$S$2:$S$1784)))</f>
        <v>1793</v>
      </c>
      <c r="K72" s="16">
        <f t="array" ref="K72">SUM(IF(Period=K$4,IF(Site=$B$59,data!$S$2:$S$1784)))</f>
        <v>1782</v>
      </c>
      <c r="L72" s="16">
        <f t="array" ref="L72">SUM(IF(Period=L$4,IF(Site=$B$59,data!$S$2:$S$1784)))</f>
        <v>1634</v>
      </c>
      <c r="M72" s="16">
        <f t="array" ref="M72">SUM(IF(Period=M$4,IF(Site=$B$59,data!$S$2:$S$1784)))</f>
        <v>1750</v>
      </c>
      <c r="N72" s="16">
        <f t="array" ref="N72">SUM(IF(Period=N$4,IF(Site=$B$59,data!$S$2:$S$1784)))</f>
        <v>1644</v>
      </c>
      <c r="O72" s="16">
        <f t="array" ref="O72">SUM(IF(Period=O$4,IF(Site=$B$59,data!$S$2:$S$1784)))</f>
        <v>1055</v>
      </c>
      <c r="Q72" s="16">
        <f t="shared" si="56"/>
        <v>3748</v>
      </c>
      <c r="R72" s="16">
        <f t="shared" si="57"/>
        <v>5155</v>
      </c>
      <c r="S72" s="16">
        <f t="shared" si="58"/>
        <v>5209</v>
      </c>
      <c r="T72" s="16">
        <f t="shared" si="59"/>
        <v>4449</v>
      </c>
    </row>
    <row r="73" spans="1:20" x14ac:dyDescent="0.25">
      <c r="A73" s="10" t="s">
        <v>13</v>
      </c>
      <c r="C73" s="12" t="s">
        <v>284</v>
      </c>
      <c r="D73" s="16">
        <f t="array" ref="D73">SUM(IF(Period=D$4,IF(Site=$B$59,data!$T$2:$T$1784)))</f>
        <v>0</v>
      </c>
      <c r="E73" s="16">
        <f t="array" ref="E73">SUM(IF(Period=E$4,IF(Site=$B$59,data!$T$2:$T$1784)))</f>
        <v>27</v>
      </c>
      <c r="F73" s="16">
        <f t="array" ref="F73">SUM(IF(Period=F$4,IF(Site=$B$59,data!$T$2:$T$1784)))</f>
        <v>31</v>
      </c>
      <c r="G73" s="16">
        <f t="array" ref="G73">SUM(IF(Period=G$4,IF(Site=$B$59,data!$T$2:$T$1784)))</f>
        <v>21</v>
      </c>
      <c r="H73" s="16">
        <f t="array" ref="H73">SUM(IF(Period=H$4,IF(Site=$B$59,data!$T$2:$T$1784)))</f>
        <v>20</v>
      </c>
      <c r="I73" s="16">
        <f t="array" ref="I73">SUM(IF(Period=I$4,IF(Site=$B$59,data!$T$2:$T$1784)))</f>
        <v>14</v>
      </c>
      <c r="J73" s="16">
        <f t="array" ref="J73">SUM(IF(Period=J$4,IF(Site=$B$59,data!$T$2:$T$1784)))</f>
        <v>10</v>
      </c>
      <c r="K73" s="16">
        <f t="array" ref="K73">SUM(IF(Period=K$4,IF(Site=$B$59,data!$T$2:$T$1784)))</f>
        <v>7</v>
      </c>
      <c r="L73" s="16">
        <f t="array" ref="L73">SUM(IF(Period=L$4,IF(Site=$B$59,data!$T$2:$T$1784)))</f>
        <v>17</v>
      </c>
      <c r="M73" s="16">
        <f t="array" ref="M73">SUM(IF(Period=M$4,IF(Site=$B$59,data!$T$2:$T$1784)))</f>
        <v>9</v>
      </c>
      <c r="N73" s="16">
        <f t="array" ref="N73">SUM(IF(Period=N$4,IF(Site=$B$59,data!$T$2:$T$1784)))</f>
        <v>10</v>
      </c>
      <c r="O73" s="16">
        <f t="array" ref="O73">SUM(IF(Period=O$4,IF(Site=$B$59,data!$T$2:$T$1784)))</f>
        <v>4</v>
      </c>
      <c r="Q73" s="16">
        <f t="shared" si="56"/>
        <v>58</v>
      </c>
      <c r="R73" s="16">
        <f t="shared" si="57"/>
        <v>55</v>
      </c>
      <c r="S73" s="16">
        <f t="shared" si="58"/>
        <v>34</v>
      </c>
      <c r="T73" s="16">
        <f t="shared" si="59"/>
        <v>23</v>
      </c>
    </row>
    <row r="74" spans="1:20" x14ac:dyDescent="0.25">
      <c r="A74" s="10" t="s">
        <v>14</v>
      </c>
      <c r="C74" s="14" t="s">
        <v>285</v>
      </c>
      <c r="D74" s="15">
        <f>IF(D66=0,0,(D67+D68+D70)/D66)</f>
        <v>0.99597585513078468</v>
      </c>
      <c r="E74" s="15">
        <f>IF(E66=0,0,(E67+E68+E70+E72+E73)/E66)</f>
        <v>0.99321458863443601</v>
      </c>
      <c r="F74" s="15">
        <f t="shared" ref="F74" si="60">IF(F66=0,0,(F67+F68+F70+F72+F73)/F66)</f>
        <v>0.99601434834595459</v>
      </c>
      <c r="G74" s="15">
        <f t="shared" ref="G74" si="61">IF(G66=0,0,(G67+G68+G70+G72+G73)/G66)</f>
        <v>0.99538590604026844</v>
      </c>
      <c r="H74" s="15">
        <f t="shared" ref="H74" si="62">IF(H66=0,0,(H67+H68+H70+H72+H73)/H66)</f>
        <v>0.9916909015371832</v>
      </c>
      <c r="I74" s="15">
        <f t="shared" ref="I74" si="63">IF(I66=0,0,(I67+I68+I70+I72+I73)/I66)</f>
        <v>0.99518900343642613</v>
      </c>
      <c r="J74" s="15">
        <f t="shared" ref="J74" si="64">IF(J66=0,0,(J67+J68+J70+J72+J73)/J66)</f>
        <v>0.99500520291363159</v>
      </c>
      <c r="K74" s="15">
        <f t="shared" ref="K74" si="65">IF(K66=0,0,(K67+K68+K70+K72+K73)/K66)</f>
        <v>0.99544890359950355</v>
      </c>
      <c r="L74" s="15">
        <f t="shared" ref="L74" si="66">IF(L66=0,0,(L67+L68+L70+L72+L73)/L66)</f>
        <v>0.99533333333333329</v>
      </c>
      <c r="M74" s="15">
        <f t="shared" ref="M74" si="67">IF(M66=0,0,(M67+M68+M70+M72+M73)/M66)</f>
        <v>0.99703578234173196</v>
      </c>
      <c r="N74" s="15">
        <f t="shared" ref="N74" si="68">IF(N66=0,0,(N67+N68+N70+N72+N73)/N66)</f>
        <v>0.99706347413598373</v>
      </c>
      <c r="O74" s="15">
        <f t="shared" ref="O74" si="69">IF(O66=0,0,(O67+O68+O70+O72+O73)/O66)</f>
        <v>0.99892857142857139</v>
      </c>
      <c r="P74" s="17"/>
      <c r="Q74" s="15">
        <f t="shared" ref="Q74" si="70">IF(Q66=0,0,(Q67+Q68+Q70+Q72+Q73)/Q66)</f>
        <v>0.99500491939756297</v>
      </c>
      <c r="R74" s="15">
        <f t="shared" ref="R74" si="71">IF(R66=0,0,(R67+R68+R70+R72+R73)/R66)</f>
        <v>0.99404889940488994</v>
      </c>
      <c r="S74" s="15">
        <f t="shared" ref="S74" si="72">IF(S66=0,0,(S67+S68+S70+S72+S73)/S66)</f>
        <v>0.99526133389914417</v>
      </c>
      <c r="T74" s="15">
        <f t="shared" ref="T74" si="73">IF(T66=0,0,(T67+T68+T70+T72+T73)/T66)</f>
        <v>0.99748953974895394</v>
      </c>
    </row>
    <row r="75" spans="1:20" x14ac:dyDescent="0.25">
      <c r="A75" s="10" t="s">
        <v>15</v>
      </c>
      <c r="C75" s="14" t="s">
        <v>286</v>
      </c>
      <c r="D75" s="15">
        <f>IF(AND(D60=0,D66=0),0,(SUM(D61:D63)+D67+D68+D70+D72+D73)/(D60+D66))</f>
        <v>0.99593936112615056</v>
      </c>
      <c r="E75" s="15">
        <f t="shared" ref="E75:O75" si="74">IF(AND(E60=0,E66=0),0,(SUM(E61:E63)+E67+E68+E70+E72+E73)/(E60+E66))</f>
        <v>0.99357171554841306</v>
      </c>
      <c r="F75" s="15">
        <f t="shared" si="74"/>
        <v>0.99618902439024393</v>
      </c>
      <c r="G75" s="15">
        <f t="shared" si="74"/>
        <v>0.99558587479935789</v>
      </c>
      <c r="H75" s="15">
        <f t="shared" si="74"/>
        <v>0.99213063151682079</v>
      </c>
      <c r="I75" s="15">
        <f t="shared" si="74"/>
        <v>0.99520488230165649</v>
      </c>
      <c r="J75" s="15">
        <f t="shared" si="74"/>
        <v>0.99523998413328041</v>
      </c>
      <c r="K75" s="15">
        <f t="shared" si="74"/>
        <v>0.99569303054032887</v>
      </c>
      <c r="L75" s="15">
        <f t="shared" si="74"/>
        <v>0.99535374868004223</v>
      </c>
      <c r="M75" s="15">
        <f t="shared" si="74"/>
        <v>0.99680127948820474</v>
      </c>
      <c r="N75" s="15">
        <f t="shared" si="74"/>
        <v>0.99677765843179378</v>
      </c>
      <c r="O75" s="15">
        <f t="shared" si="74"/>
        <v>0.99898028552005436</v>
      </c>
      <c r="P75" s="17"/>
      <c r="Q75" s="15">
        <f t="shared" ref="Q75:T75" si="75">IF(AND(Q60=0,Q66=0),0,(SUM(Q61:Q63)+Q67+Q68+Q70+Q72+Q73)/(Q60+Q66))</f>
        <v>0.99518678160919538</v>
      </c>
      <c r="R75" s="15">
        <f t="shared" si="75"/>
        <v>0.99426816786079841</v>
      </c>
      <c r="S75" s="15">
        <f t="shared" si="75"/>
        <v>0.99543164259321459</v>
      </c>
      <c r="T75" s="15">
        <f t="shared" si="75"/>
        <v>0.99730137312485123</v>
      </c>
    </row>
    <row r="76" spans="1:20" x14ac:dyDescent="0.25">
      <c r="A76" s="10"/>
    </row>
    <row r="77" spans="1:20" ht="18.75" x14ac:dyDescent="0.3">
      <c r="A77" s="10"/>
      <c r="B77" s="13" t="s">
        <v>20</v>
      </c>
    </row>
    <row r="78" spans="1:20" x14ac:dyDescent="0.25">
      <c r="A78" s="10" t="s">
        <v>5</v>
      </c>
      <c r="C78" s="12" t="s">
        <v>272</v>
      </c>
      <c r="D78" s="16">
        <f t="array" ref="D78">SUM(IF(Period=D$4,IF(Site=$B$77,data!$G$2:$G$1784)))</f>
        <v>171</v>
      </c>
      <c r="E78" s="16">
        <f t="array" ref="E78">SUM(IF(Period=E$4,IF(Site=$B$77,data!$G$2:$G$1784)))</f>
        <v>188</v>
      </c>
      <c r="F78" s="16">
        <f t="array" ref="F78">SUM(IF(Period=F$4,IF(Site=$B$77,data!$G$2:$G$1784)))</f>
        <v>213</v>
      </c>
      <c r="G78" s="16">
        <f t="array" ref="G78">SUM(IF(Period=G$4,IF(Site=$B$77,data!$G$2:$G$1784)))</f>
        <v>180</v>
      </c>
      <c r="H78" s="16">
        <f t="array" ref="H78">SUM(IF(Period=H$4,IF(Site=$B$77,data!$G$2:$G$1784)))</f>
        <v>235</v>
      </c>
      <c r="I78" s="16">
        <f t="array" ref="I78">SUM(IF(Period=I$4,IF(Site=$B$77,data!$G$2:$G$1784)))</f>
        <v>216</v>
      </c>
      <c r="J78" s="16">
        <f t="array" ref="J78">SUM(IF(Period=J$4,IF(Site=$B$77,data!$G$2:$G$1784)))</f>
        <v>241</v>
      </c>
      <c r="K78" s="16">
        <f t="array" ref="K78">SUM(IF(Period=K$4,IF(Site=$B$77,data!$G$2:$G$1784)))</f>
        <v>228</v>
      </c>
      <c r="L78" s="16">
        <f t="array" ref="L78">SUM(IF(Period=L$4,IF(Site=$B$77,data!$G$2:$G$1784)))</f>
        <v>231</v>
      </c>
      <c r="M78" s="16">
        <f t="array" ref="M78">SUM(IF(Period=M$4,IF(Site=$B$77,data!$G$2:$G$1784)))</f>
        <v>232</v>
      </c>
      <c r="N78" s="16">
        <f t="array" ref="N78">SUM(IF(Period=N$4,IF(Site=$B$77,data!$G$2:$G$1784)))</f>
        <v>196</v>
      </c>
      <c r="O78" s="16">
        <f t="array" ref="O78">SUM(IF(Period=O$4,IF(Site=$B$77,data!$G$2:$G$1784)))</f>
        <v>143</v>
      </c>
      <c r="Q78" s="16">
        <f>SUM(D78:F78)</f>
        <v>572</v>
      </c>
      <c r="R78" s="16">
        <f>SUM(G78:I78)</f>
        <v>631</v>
      </c>
      <c r="S78" s="16">
        <f>SUM(J78:L78)</f>
        <v>700</v>
      </c>
      <c r="T78" s="16">
        <f>SUM(M78:O78)</f>
        <v>571</v>
      </c>
    </row>
    <row r="79" spans="1:20" x14ac:dyDescent="0.25">
      <c r="A79" s="10" t="s">
        <v>0</v>
      </c>
      <c r="C79" s="12" t="s">
        <v>0</v>
      </c>
      <c r="D79" s="16">
        <f t="array" ref="D79">SUM(IF(Period=D$4,IF(Site=$B$77,data!$H$2:$H$1784)))</f>
        <v>171</v>
      </c>
      <c r="E79" s="16">
        <f t="array" ref="E79">SUM(IF(Period=E$4,IF(Site=$B$77,data!$H$2:$H$1784)))</f>
        <v>185</v>
      </c>
      <c r="F79" s="16">
        <f t="array" ref="F79">SUM(IF(Period=F$4,IF(Site=$B$77,data!$H$2:$H$1784)))</f>
        <v>212</v>
      </c>
      <c r="G79" s="16">
        <f t="array" ref="G79">SUM(IF(Period=G$4,IF(Site=$B$77,data!$H$2:$H$1784)))</f>
        <v>180</v>
      </c>
      <c r="H79" s="16">
        <f t="array" ref="H79">SUM(IF(Period=H$4,IF(Site=$B$77,data!$H$2:$H$1784)))</f>
        <v>233</v>
      </c>
      <c r="I79" s="16">
        <f t="array" ref="I79">SUM(IF(Period=I$4,IF(Site=$B$77,data!$H$2:$H$1784)))</f>
        <v>215</v>
      </c>
      <c r="J79" s="16">
        <f t="array" ref="J79">SUM(IF(Period=J$4,IF(Site=$B$77,data!$H$2:$H$1784)))</f>
        <v>241</v>
      </c>
      <c r="K79" s="16">
        <f t="array" ref="K79">SUM(IF(Period=K$4,IF(Site=$B$77,data!$H$2:$H$1784)))</f>
        <v>228</v>
      </c>
      <c r="L79" s="16">
        <f t="array" ref="L79">SUM(IF(Period=L$4,IF(Site=$B$77,data!$H$2:$H$1784)))</f>
        <v>229</v>
      </c>
      <c r="M79" s="16">
        <f t="array" ref="M79">SUM(IF(Period=M$4,IF(Site=$B$77,data!$H$2:$H$1784)))</f>
        <v>232</v>
      </c>
      <c r="N79" s="16">
        <f t="array" ref="N79">SUM(IF(Period=N$4,IF(Site=$B$77,data!$H$2:$H$1784)))</f>
        <v>193</v>
      </c>
      <c r="O79" s="16">
        <f t="array" ref="O79">SUM(IF(Period=O$4,IF(Site=$B$77,data!$H$2:$H$1784)))</f>
        <v>143</v>
      </c>
      <c r="Q79" s="16">
        <f>SUM(D79:F79)</f>
        <v>568</v>
      </c>
      <c r="R79" s="16">
        <f>SUM(G79:I79)</f>
        <v>628</v>
      </c>
      <c r="S79" s="16">
        <f>SUM(J79:L79)</f>
        <v>698</v>
      </c>
      <c r="T79" s="16">
        <f>SUM(M79:O79)</f>
        <v>568</v>
      </c>
    </row>
    <row r="80" spans="1:20" x14ac:dyDescent="0.25">
      <c r="A80" s="10" t="s">
        <v>2</v>
      </c>
      <c r="C80" s="12" t="s">
        <v>273</v>
      </c>
      <c r="D80" s="16">
        <f t="array" ref="D80">SUM(IF(Period=D$4,IF(Site=$B$77,data!$I$2:$I$1784)))</f>
        <v>0</v>
      </c>
      <c r="E80" s="16">
        <f t="array" ref="E80">SUM(IF(Period=E$4,IF(Site=$B$77,data!$I$2:$I$1784)))</f>
        <v>2</v>
      </c>
      <c r="F80" s="16">
        <f t="array" ref="F80">SUM(IF(Period=F$4,IF(Site=$B$77,data!$I$2:$I$1784)))</f>
        <v>0</v>
      </c>
      <c r="G80" s="16">
        <f t="array" ref="G80">SUM(IF(Period=G$4,IF(Site=$B$77,data!$I$2:$I$1784)))</f>
        <v>0</v>
      </c>
      <c r="H80" s="16">
        <f t="array" ref="H80">SUM(IF(Period=H$4,IF(Site=$B$77,data!$I$2:$I$1784)))</f>
        <v>1</v>
      </c>
      <c r="I80" s="16">
        <f t="array" ref="I80">SUM(IF(Period=I$4,IF(Site=$B$77,data!$I$2:$I$1784)))</f>
        <v>0</v>
      </c>
      <c r="J80" s="16">
        <f t="array" ref="J80">SUM(IF(Period=J$4,IF(Site=$B$77,data!$I$2:$I$1784)))</f>
        <v>0</v>
      </c>
      <c r="K80" s="16">
        <f t="array" ref="K80">SUM(IF(Period=K$4,IF(Site=$B$77,data!$I$2:$I$1784)))</f>
        <v>0</v>
      </c>
      <c r="L80" s="16">
        <f t="array" ref="L80">SUM(IF(Period=L$4,IF(Site=$B$77,data!$I$2:$I$1784)))</f>
        <v>0</v>
      </c>
      <c r="M80" s="16">
        <f t="array" ref="M80">SUM(IF(Period=M$4,IF(Site=$B$77,data!$I$2:$I$1784)))</f>
        <v>0</v>
      </c>
      <c r="N80" s="16">
        <f t="array" ref="N80">SUM(IF(Period=N$4,IF(Site=$B$77,data!$I$2:$I$1784)))</f>
        <v>0</v>
      </c>
      <c r="O80" s="16">
        <f t="array" ref="O80">SUM(IF(Period=O$4,IF(Site=$B$77,data!$I$2:$I$1784)))</f>
        <v>0</v>
      </c>
      <c r="Q80" s="16">
        <f>SUM(D80:F80)</f>
        <v>2</v>
      </c>
      <c r="R80" s="16">
        <f>SUM(G80:I80)</f>
        <v>1</v>
      </c>
      <c r="S80" s="16">
        <f>SUM(J80:L80)</f>
        <v>0</v>
      </c>
      <c r="T80" s="16">
        <f>SUM(M80:O80)</f>
        <v>0</v>
      </c>
    </row>
    <row r="81" spans="1:20" x14ac:dyDescent="0.25">
      <c r="A81" s="10" t="s">
        <v>3</v>
      </c>
      <c r="C81" s="12" t="s">
        <v>274</v>
      </c>
      <c r="D81" s="16">
        <f t="array" ref="D81">SUM(IF(Period=D$4,IF(Site=$B$77,data!$J$2:$J$1784)))</f>
        <v>0</v>
      </c>
      <c r="E81" s="16">
        <f t="array" ref="E81">SUM(IF(Period=E$4,IF(Site=$B$77,data!$J$2:$J$1784)))</f>
        <v>0</v>
      </c>
      <c r="F81" s="16">
        <f t="array" ref="F81">SUM(IF(Period=F$4,IF(Site=$B$77,data!$J$2:$J$1784)))</f>
        <v>0</v>
      </c>
      <c r="G81" s="16">
        <f t="array" ref="G81">SUM(IF(Period=G$4,IF(Site=$B$77,data!$J$2:$J$1784)))</f>
        <v>0</v>
      </c>
      <c r="H81" s="16">
        <f t="array" ref="H81">SUM(IF(Period=H$4,IF(Site=$B$77,data!$J$2:$J$1784)))</f>
        <v>1</v>
      </c>
      <c r="I81" s="16">
        <f t="array" ref="I81">SUM(IF(Period=I$4,IF(Site=$B$77,data!$J$2:$J$1784)))</f>
        <v>0</v>
      </c>
      <c r="J81" s="16">
        <f t="array" ref="J81">SUM(IF(Period=J$4,IF(Site=$B$77,data!$J$2:$J$1784)))</f>
        <v>0</v>
      </c>
      <c r="K81" s="16">
        <f t="array" ref="K81">SUM(IF(Period=K$4,IF(Site=$B$77,data!$J$2:$J$1784)))</f>
        <v>0</v>
      </c>
      <c r="L81" s="16">
        <f t="array" ref="L81">SUM(IF(Period=L$4,IF(Site=$B$77,data!$J$2:$J$1784)))</f>
        <v>1</v>
      </c>
      <c r="M81" s="16">
        <f t="array" ref="M81">SUM(IF(Period=M$4,IF(Site=$B$77,data!$J$2:$J$1784)))</f>
        <v>0</v>
      </c>
      <c r="N81" s="16">
        <f t="array" ref="N81">SUM(IF(Period=N$4,IF(Site=$B$77,data!$J$2:$J$1784)))</f>
        <v>0</v>
      </c>
      <c r="O81" s="16">
        <f t="array" ref="O81">SUM(IF(Period=O$4,IF(Site=$B$77,data!$J$2:$J$1784)))</f>
        <v>0</v>
      </c>
      <c r="Q81" s="16">
        <f>SUM(D81:F81)</f>
        <v>0</v>
      </c>
      <c r="R81" s="16">
        <f>SUM(G81:I81)</f>
        <v>1</v>
      </c>
      <c r="S81" s="16">
        <f>SUM(J81:L81)</f>
        <v>1</v>
      </c>
      <c r="T81" s="16">
        <f>SUM(M81:O81)</f>
        <v>0</v>
      </c>
    </row>
    <row r="82" spans="1:20" x14ac:dyDescent="0.25">
      <c r="A82" s="10" t="s">
        <v>4</v>
      </c>
      <c r="C82" s="12" t="s">
        <v>275</v>
      </c>
      <c r="D82" s="16">
        <f t="array" ref="D82">SUM(IF(Period=D$4,IF(Site=$B$77,data!$K$2:$K$1784)))</f>
        <v>0</v>
      </c>
      <c r="E82" s="16">
        <f t="array" ref="E82">SUM(IF(Period=E$4,IF(Site=$B$77,data!$K$2:$K$1784)))</f>
        <v>1</v>
      </c>
      <c r="F82" s="16">
        <f t="array" ref="F82">SUM(IF(Period=F$4,IF(Site=$B$77,data!$K$2:$K$1784)))</f>
        <v>1</v>
      </c>
      <c r="G82" s="16">
        <f t="array" ref="G82">SUM(IF(Period=G$4,IF(Site=$B$77,data!$K$2:$K$1784)))</f>
        <v>0</v>
      </c>
      <c r="H82" s="16">
        <f t="array" ref="H82">SUM(IF(Period=H$4,IF(Site=$B$77,data!$K$2:$K$1784)))</f>
        <v>0</v>
      </c>
      <c r="I82" s="16">
        <f t="array" ref="I82">SUM(IF(Period=I$4,IF(Site=$B$77,data!$K$2:$K$1784)))</f>
        <v>1</v>
      </c>
      <c r="J82" s="16">
        <f t="array" ref="J82">SUM(IF(Period=J$4,IF(Site=$B$77,data!$K$2:$K$1784)))</f>
        <v>0</v>
      </c>
      <c r="K82" s="16">
        <f t="array" ref="K82">SUM(IF(Period=K$4,IF(Site=$B$77,data!$K$2:$K$1784)))</f>
        <v>0</v>
      </c>
      <c r="L82" s="16">
        <f t="array" ref="L82">SUM(IF(Period=L$4,IF(Site=$B$77,data!$K$2:$K$1784)))</f>
        <v>1</v>
      </c>
      <c r="M82" s="16">
        <f t="array" ref="M82">SUM(IF(Period=M$4,IF(Site=$B$77,data!$K$2:$K$1784)))</f>
        <v>0</v>
      </c>
      <c r="N82" s="16">
        <f t="array" ref="N82">SUM(IF(Period=N$4,IF(Site=$B$77,data!$K$2:$K$1784)))</f>
        <v>3</v>
      </c>
      <c r="O82" s="16">
        <f t="array" ref="O82">SUM(IF(Period=O$4,IF(Site=$B$77,data!$K$2:$K$1784)))</f>
        <v>0</v>
      </c>
      <c r="Q82" s="16">
        <f>SUM(D82:F82)</f>
        <v>2</v>
      </c>
      <c r="R82" s="16">
        <f>SUM(G82:I82)</f>
        <v>1</v>
      </c>
      <c r="S82" s="16">
        <f>SUM(J82:L82)</f>
        <v>1</v>
      </c>
      <c r="T82" s="16">
        <f>SUM(M82:O82)</f>
        <v>3</v>
      </c>
    </row>
    <row r="83" spans="1:20" x14ac:dyDescent="0.25">
      <c r="A83" s="10" t="s">
        <v>6</v>
      </c>
      <c r="C83" s="14" t="s">
        <v>276</v>
      </c>
      <c r="D83" s="15">
        <f>IF(D78=0,0,SUM(D79:D81)/D78)</f>
        <v>1</v>
      </c>
      <c r="E83" s="15">
        <f t="shared" ref="E83:O83" si="76">IF(E78=0,0,SUM(E79:E81)/E78)</f>
        <v>0.99468085106382975</v>
      </c>
      <c r="F83" s="15">
        <f t="shared" si="76"/>
        <v>0.99530516431924887</v>
      </c>
      <c r="G83" s="15">
        <f t="shared" si="76"/>
        <v>1</v>
      </c>
      <c r="H83" s="15">
        <f t="shared" si="76"/>
        <v>1</v>
      </c>
      <c r="I83" s="15">
        <f t="shared" si="76"/>
        <v>0.99537037037037035</v>
      </c>
      <c r="J83" s="15">
        <f t="shared" si="76"/>
        <v>1</v>
      </c>
      <c r="K83" s="15">
        <f t="shared" si="76"/>
        <v>1</v>
      </c>
      <c r="L83" s="15">
        <f t="shared" si="76"/>
        <v>0.99567099567099571</v>
      </c>
      <c r="M83" s="15">
        <f t="shared" si="76"/>
        <v>1</v>
      </c>
      <c r="N83" s="15">
        <f t="shared" si="76"/>
        <v>0.98469387755102045</v>
      </c>
      <c r="O83" s="15">
        <f t="shared" si="76"/>
        <v>1</v>
      </c>
      <c r="P83" s="17"/>
      <c r="Q83" s="15">
        <f t="shared" ref="Q83:T83" si="77">IF(Q78=0,0,SUM(Q79:Q81)/Q78)</f>
        <v>0.99650349650349646</v>
      </c>
      <c r="R83" s="15">
        <f t="shared" si="77"/>
        <v>0.99841521394611732</v>
      </c>
      <c r="S83" s="15">
        <f t="shared" si="77"/>
        <v>0.99857142857142855</v>
      </c>
      <c r="T83" s="15">
        <f t="shared" si="77"/>
        <v>0.99474605954465845</v>
      </c>
    </row>
    <row r="84" spans="1:20" x14ac:dyDescent="0.25">
      <c r="A84" s="10" t="s">
        <v>7</v>
      </c>
      <c r="C84" s="12" t="s">
        <v>277</v>
      </c>
      <c r="D84" s="16">
        <f t="array" ref="D84">SUM(IF(Period=D$4,IF(Site=$B$77,data!$M$2:$M$1784)))</f>
        <v>2181</v>
      </c>
      <c r="E84" s="16">
        <f t="array" ref="E84">SUM(IF(Period=E$4,IF(Site=$B$77,data!$M$2:$M$1784)))</f>
        <v>3124</v>
      </c>
      <c r="F84" s="16">
        <f t="array" ref="F84">SUM(IF(Period=F$4,IF(Site=$B$77,data!$M$2:$M$1784)))</f>
        <v>3129</v>
      </c>
      <c r="G84" s="16">
        <f t="array" ref="G84">SUM(IF(Period=G$4,IF(Site=$B$77,data!$M$2:$M$1784)))</f>
        <v>3192</v>
      </c>
      <c r="H84" s="16">
        <f t="array" ref="H84">SUM(IF(Period=H$4,IF(Site=$B$77,data!$M$2:$M$1784)))</f>
        <v>3473</v>
      </c>
      <c r="I84" s="16">
        <f t="array" ref="I84">SUM(IF(Period=I$4,IF(Site=$B$77,data!$M$2:$M$1784)))</f>
        <v>3014</v>
      </c>
      <c r="J84" s="16">
        <f t="array" ref="J84">SUM(IF(Period=J$4,IF(Site=$B$77,data!$M$2:$M$1784)))</f>
        <v>3259</v>
      </c>
      <c r="K84" s="16">
        <f t="array" ref="K84">SUM(IF(Period=K$4,IF(Site=$B$77,data!$M$2:$M$1784)))</f>
        <v>3317</v>
      </c>
      <c r="L84" s="16">
        <f t="array" ref="L84">SUM(IF(Period=L$4,IF(Site=$B$77,data!$M$2:$M$1784)))</f>
        <v>3216</v>
      </c>
      <c r="M84" s="16">
        <f t="array" ref="M84">SUM(IF(Period=M$4,IF(Site=$B$77,data!$M$2:$M$1784)))</f>
        <v>3281</v>
      </c>
      <c r="N84" s="16">
        <f t="array" ref="N84">SUM(IF(Period=N$4,IF(Site=$B$77,data!$M$2:$M$1784)))</f>
        <v>3073</v>
      </c>
      <c r="O84" s="16">
        <f t="array" ref="O84">SUM(IF(Period=O$4,IF(Site=$B$77,data!$M$2:$M$1784)))</f>
        <v>2234</v>
      </c>
      <c r="Q84" s="16">
        <f t="shared" ref="Q84:Q91" si="78">SUM(D84:F84)</f>
        <v>8434</v>
      </c>
      <c r="R84" s="16">
        <f t="shared" ref="R84:R91" si="79">SUM(G84:I84)</f>
        <v>9679</v>
      </c>
      <c r="S84" s="16">
        <f t="shared" ref="S84:S91" si="80">SUM(J84:L84)</f>
        <v>9792</v>
      </c>
      <c r="T84" s="16">
        <f t="shared" ref="T84:T91" si="81">SUM(M84:O84)</f>
        <v>8588</v>
      </c>
    </row>
    <row r="85" spans="1:20" x14ac:dyDescent="0.25">
      <c r="A85" s="10" t="s">
        <v>61</v>
      </c>
      <c r="C85" s="12" t="s">
        <v>278</v>
      </c>
      <c r="D85" s="16">
        <f t="array" ref="D85">SUM(IF(Period=D$4,IF(Site=$B$77,data!$N$2:$N$1784)))</f>
        <v>366</v>
      </c>
      <c r="E85" s="16">
        <f t="array" ref="E85">SUM(IF(Period=E$4,IF(Site=$B$77,data!$N$2:$N$1784)))</f>
        <v>384</v>
      </c>
      <c r="F85" s="16">
        <f t="array" ref="F85">SUM(IF(Period=F$4,IF(Site=$B$77,data!$N$2:$N$1784)))</f>
        <v>324</v>
      </c>
      <c r="G85" s="16">
        <f t="array" ref="G85">SUM(IF(Period=G$4,IF(Site=$B$77,data!$N$2:$N$1784)))</f>
        <v>392</v>
      </c>
      <c r="H85" s="16">
        <f t="array" ref="H85">SUM(IF(Period=H$4,IF(Site=$B$77,data!$N$2:$N$1784)))</f>
        <v>447</v>
      </c>
      <c r="I85" s="16">
        <f t="array" ref="I85">SUM(IF(Period=I$4,IF(Site=$B$77,data!$N$2:$N$1784)))</f>
        <v>397</v>
      </c>
      <c r="J85" s="16">
        <f t="array" ref="J85">SUM(IF(Period=J$4,IF(Site=$B$77,data!$N$2:$N$1784)))</f>
        <v>353</v>
      </c>
      <c r="K85" s="16">
        <f t="array" ref="K85">SUM(IF(Period=K$4,IF(Site=$B$77,data!$N$2:$N$1784)))</f>
        <v>371</v>
      </c>
      <c r="L85" s="16">
        <f t="array" ref="L85">SUM(IF(Period=L$4,IF(Site=$B$77,data!$N$2:$N$1784)))</f>
        <v>330</v>
      </c>
      <c r="M85" s="16">
        <f t="array" ref="M85">SUM(IF(Period=M$4,IF(Site=$B$77,data!$N$2:$N$1784)))</f>
        <v>421</v>
      </c>
      <c r="N85" s="16">
        <f t="array" ref="N85">SUM(IF(Period=N$4,IF(Site=$B$77,data!$N$2:$N$1784)))</f>
        <v>386</v>
      </c>
      <c r="O85" s="16">
        <f t="array" ref="O85">SUM(IF(Period=O$4,IF(Site=$B$77,data!$N$2:$N$1784)))</f>
        <v>233</v>
      </c>
      <c r="Q85" s="16">
        <f t="shared" si="78"/>
        <v>1074</v>
      </c>
      <c r="R85" s="16">
        <f t="shared" si="79"/>
        <v>1236</v>
      </c>
      <c r="S85" s="16">
        <f t="shared" si="80"/>
        <v>1054</v>
      </c>
      <c r="T85" s="16">
        <f t="shared" si="81"/>
        <v>1040</v>
      </c>
    </row>
    <row r="86" spans="1:20" x14ac:dyDescent="0.25">
      <c r="A86" s="10" t="s">
        <v>12</v>
      </c>
      <c r="C86" s="12" t="s">
        <v>279</v>
      </c>
      <c r="D86" s="16">
        <f t="array" ref="D86">SUM(IF(Period=D$4,IF(Site=$B$77,data!$O$2:$O$1784)))</f>
        <v>112</v>
      </c>
      <c r="E86" s="16">
        <f t="array" ref="E86">SUM(IF(Period=E$4,IF(Site=$B$77,data!$O$2:$O$1784)))</f>
        <v>0</v>
      </c>
      <c r="F86" s="16">
        <f t="array" ref="F86">SUM(IF(Period=F$4,IF(Site=$B$77,data!$O$2:$O$1784)))</f>
        <v>0</v>
      </c>
      <c r="G86" s="16">
        <f t="array" ref="G86">SUM(IF(Period=G$4,IF(Site=$B$77,data!$O$2:$O$1784)))</f>
        <v>0</v>
      </c>
      <c r="H86" s="16">
        <f t="array" ref="H86">SUM(IF(Period=H$4,IF(Site=$B$77,data!$O$2:$O$1784)))</f>
        <v>0</v>
      </c>
      <c r="I86" s="16">
        <f t="array" ref="I86">SUM(IF(Period=I$4,IF(Site=$B$77,data!$O$2:$O$1784)))</f>
        <v>0</v>
      </c>
      <c r="J86" s="16">
        <f t="array" ref="J86">SUM(IF(Period=J$4,IF(Site=$B$77,data!$O$2:$O$1784)))</f>
        <v>0</v>
      </c>
      <c r="K86" s="16">
        <f t="array" ref="K86">SUM(IF(Period=K$4,IF(Site=$B$77,data!$O$2:$O$1784)))</f>
        <v>0</v>
      </c>
      <c r="L86" s="16">
        <f t="array" ref="L86">SUM(IF(Period=L$4,IF(Site=$B$77,data!$O$2:$O$1784)))</f>
        <v>0</v>
      </c>
      <c r="M86" s="16">
        <f t="array" ref="M86">SUM(IF(Period=M$4,IF(Site=$B$77,data!$O$2:$O$1784)))</f>
        <v>0</v>
      </c>
      <c r="N86" s="16">
        <f t="array" ref="N86">SUM(IF(Period=N$4,IF(Site=$B$77,data!$O$2:$O$1784)))</f>
        <v>0</v>
      </c>
      <c r="O86" s="16">
        <f t="array" ref="O86">SUM(IF(Period=O$4,IF(Site=$B$77,data!$O$2:$O$1784)))</f>
        <v>0</v>
      </c>
      <c r="Q86" s="16">
        <f t="shared" si="78"/>
        <v>112</v>
      </c>
      <c r="R86" s="16">
        <f t="shared" si="79"/>
        <v>0</v>
      </c>
      <c r="S86" s="16">
        <f t="shared" si="80"/>
        <v>0</v>
      </c>
      <c r="T86" s="16">
        <f t="shared" si="81"/>
        <v>0</v>
      </c>
    </row>
    <row r="87" spans="1:20" x14ac:dyDescent="0.25">
      <c r="A87" s="10" t="s">
        <v>8</v>
      </c>
      <c r="C87" s="12" t="s">
        <v>280</v>
      </c>
      <c r="D87" s="16">
        <f t="array" ref="D87">SUM(IF(Period=D$4,IF(Site=$B$77,data!$P$2:$P$1784)))</f>
        <v>12</v>
      </c>
      <c r="E87" s="16">
        <f t="array" ref="E87">SUM(IF(Period=E$4,IF(Site=$B$77,data!$P$2:$P$1784)))</f>
        <v>2</v>
      </c>
      <c r="F87" s="16">
        <f t="array" ref="F87">SUM(IF(Period=F$4,IF(Site=$B$77,data!$P$2:$P$1784)))</f>
        <v>6</v>
      </c>
      <c r="G87" s="16">
        <f t="array" ref="G87">SUM(IF(Period=G$4,IF(Site=$B$77,data!$P$2:$P$1784)))</f>
        <v>6</v>
      </c>
      <c r="H87" s="16">
        <f t="array" ref="H87">SUM(IF(Period=H$4,IF(Site=$B$77,data!$P$2:$P$1784)))</f>
        <v>10</v>
      </c>
      <c r="I87" s="16">
        <f t="array" ref="I87">SUM(IF(Period=I$4,IF(Site=$B$77,data!$P$2:$P$1784)))</f>
        <v>4</v>
      </c>
      <c r="J87" s="16">
        <f t="array" ref="J87">SUM(IF(Period=J$4,IF(Site=$B$77,data!$P$2:$P$1784)))</f>
        <v>6</v>
      </c>
      <c r="K87" s="16">
        <f t="array" ref="K87">SUM(IF(Period=K$4,IF(Site=$B$77,data!$P$2:$P$1784)))</f>
        <v>4</v>
      </c>
      <c r="L87" s="16">
        <f t="array" ref="L87">SUM(IF(Period=L$4,IF(Site=$B$77,data!$P$2:$P$1784)))</f>
        <v>3</v>
      </c>
      <c r="M87" s="16">
        <f t="array" ref="M87">SUM(IF(Period=M$4,IF(Site=$B$77,data!$P$2:$P$1784)))</f>
        <v>7</v>
      </c>
      <c r="N87" s="16">
        <f t="array" ref="N87">SUM(IF(Period=N$4,IF(Site=$B$77,data!$P$2:$P$1784)))</f>
        <v>8</v>
      </c>
      <c r="O87" s="16">
        <f t="array" ref="O87">SUM(IF(Period=O$4,IF(Site=$B$77,data!$P$2:$P$1784)))</f>
        <v>8</v>
      </c>
      <c r="Q87" s="16">
        <f t="shared" si="78"/>
        <v>20</v>
      </c>
      <c r="R87" s="16">
        <f t="shared" si="79"/>
        <v>20</v>
      </c>
      <c r="S87" s="16">
        <f t="shared" si="80"/>
        <v>13</v>
      </c>
      <c r="T87" s="16">
        <f t="shared" si="81"/>
        <v>23</v>
      </c>
    </row>
    <row r="88" spans="1:20" x14ac:dyDescent="0.25">
      <c r="A88" s="10" t="s">
        <v>9</v>
      </c>
      <c r="C88" s="12" t="s">
        <v>281</v>
      </c>
      <c r="D88" s="16">
        <f t="array" ref="D88">SUM(IF(Period=D$4,IF(Site=$B$77,data!$Q$2:$Q$1784)))</f>
        <v>1652</v>
      </c>
      <c r="E88" s="16">
        <f t="array" ref="E88">SUM(IF(Period=E$4,IF(Site=$B$77,data!$Q$2:$Q$1784)))</f>
        <v>1555</v>
      </c>
      <c r="F88" s="16">
        <f t="array" ref="F88">SUM(IF(Period=F$4,IF(Site=$B$77,data!$Q$2:$Q$1784)))</f>
        <v>1486</v>
      </c>
      <c r="G88" s="16">
        <f t="array" ref="G88">SUM(IF(Period=G$4,IF(Site=$B$77,data!$Q$2:$Q$1784)))</f>
        <v>1546</v>
      </c>
      <c r="H88" s="16">
        <f t="array" ref="H88">SUM(IF(Period=H$4,IF(Site=$B$77,data!$Q$2:$Q$1784)))</f>
        <v>1694</v>
      </c>
      <c r="I88" s="16">
        <f t="array" ref="I88">SUM(IF(Period=I$4,IF(Site=$B$77,data!$Q$2:$Q$1784)))</f>
        <v>1563</v>
      </c>
      <c r="J88" s="16">
        <f t="array" ref="J88">SUM(IF(Period=J$4,IF(Site=$B$77,data!$Q$2:$Q$1784)))</f>
        <v>1680</v>
      </c>
      <c r="K88" s="16">
        <f t="array" ref="K88">SUM(IF(Period=K$4,IF(Site=$B$77,data!$Q$2:$Q$1784)))</f>
        <v>1712</v>
      </c>
      <c r="L88" s="16">
        <f t="array" ref="L88">SUM(IF(Period=L$4,IF(Site=$B$77,data!$Q$2:$Q$1784)))</f>
        <v>1647</v>
      </c>
      <c r="M88" s="16">
        <f t="array" ref="M88">SUM(IF(Period=M$4,IF(Site=$B$77,data!$Q$2:$Q$1784)))</f>
        <v>1629</v>
      </c>
      <c r="N88" s="16">
        <f t="array" ref="N88">SUM(IF(Period=N$4,IF(Site=$B$77,data!$Q$2:$Q$1784)))</f>
        <v>1564</v>
      </c>
      <c r="O88" s="16">
        <f t="array" ref="O88">SUM(IF(Period=O$4,IF(Site=$B$77,data!$Q$2:$Q$1784)))</f>
        <v>1120</v>
      </c>
      <c r="Q88" s="16">
        <f t="shared" si="78"/>
        <v>4693</v>
      </c>
      <c r="R88" s="16">
        <f t="shared" si="79"/>
        <v>4803</v>
      </c>
      <c r="S88" s="16">
        <f t="shared" si="80"/>
        <v>5039</v>
      </c>
      <c r="T88" s="16">
        <f t="shared" si="81"/>
        <v>4313</v>
      </c>
    </row>
    <row r="89" spans="1:20" x14ac:dyDescent="0.25">
      <c r="A89" s="10" t="s">
        <v>10</v>
      </c>
      <c r="C89" s="12" t="s">
        <v>282</v>
      </c>
      <c r="D89" s="16">
        <f t="array" ref="D89">SUM(IF(Period=D$4,IF(Site=$B$77,data!$R$2:$R$1784)))</f>
        <v>39</v>
      </c>
      <c r="E89" s="16">
        <f t="array" ref="E89">SUM(IF(Period=E$4,IF(Site=$B$77,data!$R$2:$R$1784)))</f>
        <v>12</v>
      </c>
      <c r="F89" s="16">
        <f t="array" ref="F89">SUM(IF(Period=F$4,IF(Site=$B$77,data!$R$2:$R$1784)))</f>
        <v>6</v>
      </c>
      <c r="G89" s="16">
        <f t="array" ref="G89">SUM(IF(Period=G$4,IF(Site=$B$77,data!$R$2:$R$1784)))</f>
        <v>9</v>
      </c>
      <c r="H89" s="16">
        <f t="array" ref="H89">SUM(IF(Period=H$4,IF(Site=$B$77,data!$R$2:$R$1784)))</f>
        <v>4</v>
      </c>
      <c r="I89" s="16">
        <f t="array" ref="I89">SUM(IF(Period=I$4,IF(Site=$B$77,data!$R$2:$R$1784)))</f>
        <v>6</v>
      </c>
      <c r="J89" s="16">
        <f t="array" ref="J89">SUM(IF(Period=J$4,IF(Site=$B$77,data!$R$2:$R$1784)))</f>
        <v>9</v>
      </c>
      <c r="K89" s="16">
        <f t="array" ref="K89">SUM(IF(Period=K$4,IF(Site=$B$77,data!$R$2:$R$1784)))</f>
        <v>9</v>
      </c>
      <c r="L89" s="16">
        <f t="array" ref="L89">SUM(IF(Period=L$4,IF(Site=$B$77,data!$R$2:$R$1784)))</f>
        <v>5</v>
      </c>
      <c r="M89" s="16">
        <f t="array" ref="M89">SUM(IF(Period=M$4,IF(Site=$B$77,data!$R$2:$R$1784)))</f>
        <v>3</v>
      </c>
      <c r="N89" s="16">
        <f t="array" ref="N89">SUM(IF(Period=N$4,IF(Site=$B$77,data!$R$2:$R$1784)))</f>
        <v>7</v>
      </c>
      <c r="O89" s="16">
        <f t="array" ref="O89">SUM(IF(Period=O$4,IF(Site=$B$77,data!$R$2:$R$1784)))</f>
        <v>11</v>
      </c>
      <c r="Q89" s="16">
        <f t="shared" si="78"/>
        <v>57</v>
      </c>
      <c r="R89" s="16">
        <f t="shared" si="79"/>
        <v>19</v>
      </c>
      <c r="S89" s="16">
        <f t="shared" si="80"/>
        <v>23</v>
      </c>
      <c r="T89" s="16">
        <f t="shared" si="81"/>
        <v>21</v>
      </c>
    </row>
    <row r="90" spans="1:20" x14ac:dyDescent="0.25">
      <c r="A90" s="10" t="s">
        <v>11</v>
      </c>
      <c r="C90" s="12" t="s">
        <v>283</v>
      </c>
      <c r="D90" s="16">
        <f t="array" ref="D90">SUM(IF(Period=D$4,IF(Site=$B$77,data!$S$2:$S$1784)))</f>
        <v>0</v>
      </c>
      <c r="E90" s="16">
        <f t="array" ref="E90">SUM(IF(Period=E$4,IF(Site=$B$77,data!$S$2:$S$1784)))</f>
        <v>1113</v>
      </c>
      <c r="F90" s="16">
        <f t="array" ref="F90">SUM(IF(Period=F$4,IF(Site=$B$77,data!$S$2:$S$1784)))</f>
        <v>1268</v>
      </c>
      <c r="G90" s="16">
        <f t="array" ref="G90">SUM(IF(Period=G$4,IF(Site=$B$77,data!$S$2:$S$1784)))</f>
        <v>1192</v>
      </c>
      <c r="H90" s="16">
        <f t="array" ref="H90">SUM(IF(Period=H$4,IF(Site=$B$77,data!$S$2:$S$1784)))</f>
        <v>1282</v>
      </c>
      <c r="I90" s="16">
        <f t="array" ref="I90">SUM(IF(Period=I$4,IF(Site=$B$77,data!$S$2:$S$1784)))</f>
        <v>1038</v>
      </c>
      <c r="J90" s="16">
        <f t="array" ref="J90">SUM(IF(Period=J$4,IF(Site=$B$77,data!$S$2:$S$1784)))</f>
        <v>1204</v>
      </c>
      <c r="K90" s="16">
        <f t="array" ref="K90">SUM(IF(Period=K$4,IF(Site=$B$77,data!$S$2:$S$1784)))</f>
        <v>1212</v>
      </c>
      <c r="L90" s="16">
        <f t="array" ref="L90">SUM(IF(Period=L$4,IF(Site=$B$77,data!$S$2:$S$1784)))</f>
        <v>1220</v>
      </c>
      <c r="M90" s="16">
        <f t="array" ref="M90">SUM(IF(Period=M$4,IF(Site=$B$77,data!$S$2:$S$1784)))</f>
        <v>1211</v>
      </c>
      <c r="N90" s="16">
        <f t="array" ref="N90">SUM(IF(Period=N$4,IF(Site=$B$77,data!$S$2:$S$1784)))</f>
        <v>1077</v>
      </c>
      <c r="O90" s="16">
        <f t="array" ref="O90">SUM(IF(Period=O$4,IF(Site=$B$77,data!$S$2:$S$1784)))</f>
        <v>850</v>
      </c>
      <c r="Q90" s="16">
        <f t="shared" si="78"/>
        <v>2381</v>
      </c>
      <c r="R90" s="16">
        <f t="shared" si="79"/>
        <v>3512</v>
      </c>
      <c r="S90" s="16">
        <f t="shared" si="80"/>
        <v>3636</v>
      </c>
      <c r="T90" s="16">
        <f t="shared" si="81"/>
        <v>3138</v>
      </c>
    </row>
    <row r="91" spans="1:20" x14ac:dyDescent="0.25">
      <c r="A91" s="10" t="s">
        <v>13</v>
      </c>
      <c r="C91" s="12" t="s">
        <v>284</v>
      </c>
      <c r="D91" s="16">
        <f t="array" ref="D91">SUM(IF(Period=D$4,IF(Site=$B$77,data!$T$2:$T$1784)))</f>
        <v>0</v>
      </c>
      <c r="E91" s="16">
        <f t="array" ref="E91">SUM(IF(Period=E$4,IF(Site=$B$77,data!$T$2:$T$1784)))</f>
        <v>58</v>
      </c>
      <c r="F91" s="16">
        <f t="array" ref="F91">SUM(IF(Period=F$4,IF(Site=$B$77,data!$T$2:$T$1784)))</f>
        <v>39</v>
      </c>
      <c r="G91" s="16">
        <f t="array" ref="G91">SUM(IF(Period=G$4,IF(Site=$B$77,data!$T$2:$T$1784)))</f>
        <v>47</v>
      </c>
      <c r="H91" s="16">
        <f t="array" ref="H91">SUM(IF(Period=H$4,IF(Site=$B$77,data!$T$2:$T$1784)))</f>
        <v>36</v>
      </c>
      <c r="I91" s="16">
        <f t="array" ref="I91">SUM(IF(Period=I$4,IF(Site=$B$77,data!$T$2:$T$1784)))</f>
        <v>6</v>
      </c>
      <c r="J91" s="16">
        <f t="array" ref="J91">SUM(IF(Period=J$4,IF(Site=$B$77,data!$T$2:$T$1784)))</f>
        <v>7</v>
      </c>
      <c r="K91" s="16">
        <f t="array" ref="K91">SUM(IF(Period=K$4,IF(Site=$B$77,data!$T$2:$T$1784)))</f>
        <v>9</v>
      </c>
      <c r="L91" s="16">
        <f t="array" ref="L91">SUM(IF(Period=L$4,IF(Site=$B$77,data!$T$2:$T$1784)))</f>
        <v>11</v>
      </c>
      <c r="M91" s="16">
        <f t="array" ref="M91">SUM(IF(Period=M$4,IF(Site=$B$77,data!$T$2:$T$1784)))</f>
        <v>10</v>
      </c>
      <c r="N91" s="16">
        <f t="array" ref="N91">SUM(IF(Period=N$4,IF(Site=$B$77,data!$T$2:$T$1784)))</f>
        <v>31</v>
      </c>
      <c r="O91" s="16">
        <f t="array" ref="O91">SUM(IF(Period=O$4,IF(Site=$B$77,data!$T$2:$T$1784)))</f>
        <v>12</v>
      </c>
      <c r="Q91" s="16">
        <f t="shared" si="78"/>
        <v>97</v>
      </c>
      <c r="R91" s="16">
        <f t="shared" si="79"/>
        <v>89</v>
      </c>
      <c r="S91" s="16">
        <f t="shared" si="80"/>
        <v>27</v>
      </c>
      <c r="T91" s="16">
        <f t="shared" si="81"/>
        <v>53</v>
      </c>
    </row>
    <row r="92" spans="1:20" x14ac:dyDescent="0.25">
      <c r="A92" s="10" t="s">
        <v>14</v>
      </c>
      <c r="C92" s="14" t="s">
        <v>285</v>
      </c>
      <c r="D92" s="15">
        <f>IF(D84=0,0,(D85+D86+D88)/D84)</f>
        <v>0.97661623108665752</v>
      </c>
      <c r="E92" s="15">
        <f>IF(E84=0,0,(E85+E86+E88+E90+E91)/E84)</f>
        <v>0.99551856594110111</v>
      </c>
      <c r="F92" s="15">
        <f t="shared" ref="F92" si="82">IF(F84=0,0,(F85+F86+F88+F90+F91)/F84)</f>
        <v>0.99616490891658682</v>
      </c>
      <c r="G92" s="15">
        <f t="shared" ref="G92" si="83">IF(G84=0,0,(G85+G86+G88+G90+G91)/G84)</f>
        <v>0.99530075187969924</v>
      </c>
      <c r="H92" s="15">
        <f t="shared" ref="H92" si="84">IF(H84=0,0,(H85+H86+H88+H90+H91)/H84)</f>
        <v>0.9959689029657357</v>
      </c>
      <c r="I92" s="15">
        <f t="shared" ref="I92" si="85">IF(I84=0,0,(I85+I86+I88+I90+I91)/I84)</f>
        <v>0.99668214996682147</v>
      </c>
      <c r="J92" s="15">
        <f t="shared" ref="J92" si="86">IF(J84=0,0,(J85+J86+J88+J90+J91)/J84)</f>
        <v>0.99539736115372812</v>
      </c>
      <c r="K92" s="15">
        <f t="shared" ref="K92" si="87">IF(K84=0,0,(K85+K86+K88+K90+K91)/K84)</f>
        <v>0.99608079589990961</v>
      </c>
      <c r="L92" s="15">
        <f t="shared" ref="L92" si="88">IF(L84=0,0,(L85+L86+L88+L90+L91)/L84)</f>
        <v>0.99751243781094523</v>
      </c>
      <c r="M92" s="15">
        <f t="shared" ref="M92" si="89">IF(M84=0,0,(M85+M86+M88+M90+M91)/M84)</f>
        <v>0.99695214873514171</v>
      </c>
      <c r="N92" s="15">
        <f t="shared" ref="N92" si="90">IF(N84=0,0,(N85+N86+N88+N90+N91)/N84)</f>
        <v>0.99511877643996094</v>
      </c>
      <c r="O92" s="15">
        <f t="shared" ref="O92" si="91">IF(O84=0,0,(O85+O86+O88+O90+O91)/O84)</f>
        <v>0.99149507609668752</v>
      </c>
      <c r="P92" s="17"/>
      <c r="Q92" s="15">
        <f t="shared" ref="Q92" si="92">IF(Q84=0,0,(Q85+Q86+Q88+Q90+Q91)/Q84)</f>
        <v>0.99087028693383927</v>
      </c>
      <c r="R92" s="15">
        <f t="shared" ref="R92" si="93">IF(R84=0,0,(R85+R86+R88+R90+R91)/R84)</f>
        <v>0.9959706581258394</v>
      </c>
      <c r="S92" s="15">
        <f t="shared" ref="S92" si="94">IF(S84=0,0,(S85+S86+S88+S90+S91)/S84)</f>
        <v>0.99632352941176472</v>
      </c>
      <c r="T92" s="15">
        <f t="shared" ref="T92" si="95">IF(T84=0,0,(T85+T86+T88+T90+T91)/T84)</f>
        <v>0.99487657196087564</v>
      </c>
    </row>
    <row r="93" spans="1:20" x14ac:dyDescent="0.25">
      <c r="A93" s="10" t="s">
        <v>15</v>
      </c>
      <c r="C93" s="14" t="s">
        <v>286</v>
      </c>
      <c r="D93" s="15">
        <f>IF(AND(D78=0,D84=0),0,(SUM(D79:D81)+D85+D86+D88+D90+D91)/(D78+D84))</f>
        <v>0.97831632653061229</v>
      </c>
      <c r="E93" s="15">
        <f t="shared" ref="E93:O93" si="96">IF(AND(E78=0,E84=0),0,(SUM(E79:E81)+E85+E86+E88+E90+E91)/(E78+E84))</f>
        <v>0.99547101449275366</v>
      </c>
      <c r="F93" s="15">
        <f t="shared" si="96"/>
        <v>0.99611011370436864</v>
      </c>
      <c r="G93" s="15">
        <f t="shared" si="96"/>
        <v>0.99555160142348753</v>
      </c>
      <c r="H93" s="15">
        <f t="shared" si="96"/>
        <v>0.99622437971952538</v>
      </c>
      <c r="I93" s="15">
        <f t="shared" si="96"/>
        <v>0.99659442724458203</v>
      </c>
      <c r="J93" s="15">
        <f t="shared" si="96"/>
        <v>0.99571428571428566</v>
      </c>
      <c r="K93" s="15">
        <f t="shared" si="96"/>
        <v>0.99633286318758818</v>
      </c>
      <c r="L93" s="15">
        <f t="shared" si="96"/>
        <v>0.99738903394255873</v>
      </c>
      <c r="M93" s="15">
        <f t="shared" si="96"/>
        <v>0.99715343011670932</v>
      </c>
      <c r="N93" s="15">
        <f t="shared" si="96"/>
        <v>0.99449372896910371</v>
      </c>
      <c r="O93" s="15">
        <f t="shared" si="96"/>
        <v>0.99200673117374838</v>
      </c>
      <c r="P93" s="17"/>
      <c r="Q93" s="15">
        <f t="shared" ref="Q93:T93" si="97">IF(AND(Q78=0,Q84=0),0,(SUM(Q79:Q81)+Q85+Q86+Q88+Q90+Q91)/(Q78+Q84))</f>
        <v>0.99122807017543857</v>
      </c>
      <c r="R93" s="15">
        <f t="shared" si="97"/>
        <v>0.99612027158098937</v>
      </c>
      <c r="S93" s="15">
        <f t="shared" si="97"/>
        <v>0.99647350362180709</v>
      </c>
      <c r="T93" s="15">
        <f t="shared" si="97"/>
        <v>0.99486843541871384</v>
      </c>
    </row>
    <row r="94" spans="1:20" x14ac:dyDescent="0.25">
      <c r="A94" s="10"/>
    </row>
    <row r="95" spans="1:20" ht="18.75" x14ac:dyDescent="0.3">
      <c r="A95" s="10"/>
      <c r="B95" s="13" t="s">
        <v>53</v>
      </c>
    </row>
    <row r="96" spans="1:20" x14ac:dyDescent="0.25">
      <c r="A96" s="10" t="s">
        <v>5</v>
      </c>
      <c r="C96" s="12" t="s">
        <v>272</v>
      </c>
      <c r="D96" s="16">
        <f t="array" ref="D96">SUM(IF(Period=D$4,IF(Site=$B$93,data!$G$2:$G$1784)))</f>
        <v>0</v>
      </c>
      <c r="E96" s="16">
        <f t="array" ref="E96">SUM(IF(Period=E$4,IF(Site=$B$93,data!$G$2:$G$1784)))</f>
        <v>0</v>
      </c>
      <c r="F96" s="16">
        <f t="array" ref="F96">SUM(IF(Period=F$4,IF(Site=$B$93,data!$G$2:$G$1784)))</f>
        <v>0</v>
      </c>
      <c r="G96" s="16">
        <f t="array" ref="G96">SUM(IF(Period=G$4,IF(Site=$B$93,data!$G$2:$G$1784)))</f>
        <v>0</v>
      </c>
      <c r="H96" s="16">
        <f t="array" ref="H96">SUM(IF(Period=H$4,IF(Site=$B$93,data!$G$2:$G$1784)))</f>
        <v>0</v>
      </c>
      <c r="I96" s="16">
        <f t="array" ref="I96">SUM(IF(Period=I$4,IF(Site=$B$93,data!$G$2:$G$1784)))</f>
        <v>0</v>
      </c>
      <c r="J96" s="16">
        <f t="array" ref="J96">SUM(IF(Period=J$4,IF(Site=$B$93,data!$G$2:$G$1784)))</f>
        <v>0</v>
      </c>
      <c r="K96" s="16">
        <f t="array" ref="K96">SUM(IF(Period=K$4,IF(Site=$B$93,data!$G$2:$G$1784)))</f>
        <v>0</v>
      </c>
      <c r="L96" s="16">
        <f t="array" ref="L96">SUM(IF(Period=L$4,IF(Site=$B$93,data!$G$2:$G$1784)))</f>
        <v>0</v>
      </c>
      <c r="M96" s="16">
        <f t="array" ref="M96">SUM(IF(Period=M$4,IF(Site=$B$93,data!$G$2:$G$1784)))</f>
        <v>0</v>
      </c>
      <c r="N96" s="16">
        <f t="array" ref="N96">SUM(IF(Period=N$4,IF(Site=$B$93,data!$G$2:$G$1784)))</f>
        <v>0</v>
      </c>
      <c r="O96" s="16">
        <f t="array" ref="O96">SUM(IF(Period=O$4,IF(Site=$B$93,data!$G$2:$G$1784)))</f>
        <v>0</v>
      </c>
      <c r="Q96" s="16">
        <f t="array" ref="Q96">SUM(IF(Period=Q$4,IF(Site=$B$95,data!$G$2:$G$1784)))</f>
        <v>224</v>
      </c>
      <c r="R96" s="16">
        <f t="array" ref="R96">SUM(IF(Period=R$4,IF(Site=$B$95,data!$G$2:$G$1784)))</f>
        <v>187</v>
      </c>
      <c r="S96" s="16">
        <f t="array" ref="S96">SUM(IF(Period=S$4,IF(Site=$B$95,data!$G$2:$G$1784)))</f>
        <v>217</v>
      </c>
      <c r="T96" s="16">
        <f t="array" ref="T96">SUM(IF(Period=T$4,IF(Site=$B$95,data!$G$2:$G$1803)))</f>
        <v>179</v>
      </c>
    </row>
    <row r="97" spans="1:20" x14ac:dyDescent="0.25">
      <c r="A97" s="10" t="s">
        <v>0</v>
      </c>
      <c r="C97" s="12" t="s">
        <v>0</v>
      </c>
      <c r="D97" s="16">
        <f t="array" ref="D97">SUM(IF(Period=D$4,IF(Site=$B$93,data!$H$2:$H$1784)))</f>
        <v>0</v>
      </c>
      <c r="E97" s="16">
        <f t="array" ref="E97">SUM(IF(Period=E$4,IF(Site=$B$93,data!$H$2:$H$1784)))</f>
        <v>0</v>
      </c>
      <c r="F97" s="16">
        <f t="array" ref="F97">SUM(IF(Period=F$4,IF(Site=$B$93,data!$H$2:$H$1784)))</f>
        <v>0</v>
      </c>
      <c r="G97" s="16">
        <f t="array" ref="G97">SUM(IF(Period=G$4,IF(Site=$B$93,data!$H$2:$H$1784)))</f>
        <v>0</v>
      </c>
      <c r="H97" s="16">
        <f t="array" ref="H97">SUM(IF(Period=H$4,IF(Site=$B$93,data!$H$2:$H$1784)))</f>
        <v>0</v>
      </c>
      <c r="I97" s="16">
        <f t="array" ref="I97">SUM(IF(Period=I$4,IF(Site=$B$93,data!$H$2:$H$1784)))</f>
        <v>0</v>
      </c>
      <c r="J97" s="16">
        <f t="array" ref="J97">SUM(IF(Period=J$4,IF(Site=$B$93,data!$H$2:$H$1784)))</f>
        <v>0</v>
      </c>
      <c r="K97" s="16">
        <f t="array" ref="K97">SUM(IF(Period=K$4,IF(Site=$B$93,data!$H$2:$H$1784)))</f>
        <v>0</v>
      </c>
      <c r="L97" s="16">
        <f t="array" ref="L97">SUM(IF(Period=L$4,IF(Site=$B$93,data!$H$2:$H$1784)))</f>
        <v>0</v>
      </c>
      <c r="M97" s="16">
        <f t="array" ref="M97">SUM(IF(Period=M$4,IF(Site=$B$93,data!$H$2:$H$1784)))</f>
        <v>0</v>
      </c>
      <c r="N97" s="16">
        <f t="array" ref="N97">SUM(IF(Period=N$4,IF(Site=$B$93,data!$H$2:$H$1784)))</f>
        <v>0</v>
      </c>
      <c r="O97" s="16">
        <f t="array" ref="O97">SUM(IF(Period=O$4,IF(Site=$B$93,data!$H$2:$H$1784)))</f>
        <v>0</v>
      </c>
      <c r="Q97" s="16">
        <f t="array" ref="Q97">SUM(IF(Period=Q$4,IF(Site=$B$95,data!$H$2:$H$1784)))</f>
        <v>224</v>
      </c>
      <c r="R97" s="16">
        <f t="array" ref="R97">SUM(IF(Period=R$4,IF(Site=$B$95,data!$H$2:$H$1784)))</f>
        <v>187</v>
      </c>
      <c r="S97" s="16">
        <f t="array" ref="S97">SUM(IF(Period=S$4,IF(Site=$B$95,data!$H$2:$H$1784)))</f>
        <v>217</v>
      </c>
      <c r="T97" s="16">
        <f t="array" ref="T97">SUM(IF(Period=T$4,IF(Site=$B$95,data!$H$2:$H$1803)))</f>
        <v>179</v>
      </c>
    </row>
    <row r="98" spans="1:20" x14ac:dyDescent="0.25">
      <c r="A98" s="10" t="s">
        <v>2</v>
      </c>
      <c r="C98" s="12" t="s">
        <v>273</v>
      </c>
      <c r="D98" s="16">
        <f t="array" ref="D98">SUM(IF(Period=D$4,IF(Site=$B$93,data!$I$2:$I$1784)))</f>
        <v>0</v>
      </c>
      <c r="E98" s="16">
        <f t="array" ref="E98">SUM(IF(Period=E$4,IF(Site=$B$93,data!$I$2:$I$1784)))</f>
        <v>0</v>
      </c>
      <c r="F98" s="16">
        <f t="array" ref="F98">SUM(IF(Period=F$4,IF(Site=$B$93,data!$I$2:$I$1784)))</f>
        <v>0</v>
      </c>
      <c r="G98" s="16">
        <f t="array" ref="G98">SUM(IF(Period=G$4,IF(Site=$B$93,data!$I$2:$I$1784)))</f>
        <v>0</v>
      </c>
      <c r="H98" s="16">
        <f t="array" ref="H98">SUM(IF(Period=H$4,IF(Site=$B$93,data!$I$2:$I$1784)))</f>
        <v>0</v>
      </c>
      <c r="I98" s="16">
        <f t="array" ref="I98">SUM(IF(Period=I$4,IF(Site=$B$93,data!$I$2:$I$1784)))</f>
        <v>0</v>
      </c>
      <c r="J98" s="16">
        <f t="array" ref="J98">SUM(IF(Period=J$4,IF(Site=$B$93,data!$I$2:$I$1784)))</f>
        <v>0</v>
      </c>
      <c r="K98" s="16">
        <f t="array" ref="K98">SUM(IF(Period=K$4,IF(Site=$B$93,data!$I$2:$I$1784)))</f>
        <v>0</v>
      </c>
      <c r="L98" s="16">
        <f t="array" ref="L98">SUM(IF(Period=L$4,IF(Site=$B$93,data!$I$2:$I$1784)))</f>
        <v>0</v>
      </c>
      <c r="M98" s="16">
        <f t="array" ref="M98">SUM(IF(Period=M$4,IF(Site=$B$93,data!$I$2:$I$1784)))</f>
        <v>0</v>
      </c>
      <c r="N98" s="16">
        <f t="array" ref="N98">SUM(IF(Period=N$4,IF(Site=$B$93,data!$I$2:$I$1784)))</f>
        <v>0</v>
      </c>
      <c r="O98" s="16">
        <f t="array" ref="O98">SUM(IF(Period=O$4,IF(Site=$B$93,data!$I$2:$I$1784)))</f>
        <v>0</v>
      </c>
      <c r="Q98" s="16">
        <f t="array" ref="Q98">SUM(IF(Period=Q$4,IF(Site=$B$95,data!$I$2:$I$1784)))</f>
        <v>0</v>
      </c>
      <c r="R98" s="16">
        <f t="array" ref="R98">SUM(IF(Period=R$4,IF(Site=$B$95,data!$I$2:$I$1784)))</f>
        <v>0</v>
      </c>
      <c r="S98" s="16">
        <f t="array" ref="S98">SUM(IF(Period=S$4,IF(Site=$B$95,data!$I$2:$I$1784)))</f>
        <v>0</v>
      </c>
      <c r="T98" s="16">
        <f t="array" ref="T98">SUM(IF(Period=T$4,IF(Site=$B$95,data!$I$2:$I$1803)))</f>
        <v>0</v>
      </c>
    </row>
    <row r="99" spans="1:20" x14ac:dyDescent="0.25">
      <c r="A99" s="10" t="s">
        <v>3</v>
      </c>
      <c r="C99" s="12" t="s">
        <v>274</v>
      </c>
      <c r="D99" s="16">
        <f t="array" ref="D99">SUM(IF(Period=D$4,IF(Site=$B$93,data!$J$2:$J$1784)))</f>
        <v>0</v>
      </c>
      <c r="E99" s="16">
        <f t="array" ref="E99">SUM(IF(Period=E$4,IF(Site=$B$93,data!$J$2:$J$1784)))</f>
        <v>0</v>
      </c>
      <c r="F99" s="16">
        <f t="array" ref="F99">SUM(IF(Period=F$4,IF(Site=$B$93,data!$J$2:$J$1784)))</f>
        <v>0</v>
      </c>
      <c r="G99" s="16">
        <f t="array" ref="G99">SUM(IF(Period=G$4,IF(Site=$B$93,data!$J$2:$J$1784)))</f>
        <v>0</v>
      </c>
      <c r="H99" s="16">
        <f t="array" ref="H99">SUM(IF(Period=H$4,IF(Site=$B$93,data!$J$2:$J$1784)))</f>
        <v>0</v>
      </c>
      <c r="I99" s="16">
        <f t="array" ref="I99">SUM(IF(Period=I$4,IF(Site=$B$93,data!$J$2:$J$1784)))</f>
        <v>0</v>
      </c>
      <c r="J99" s="16">
        <f t="array" ref="J99">SUM(IF(Period=J$4,IF(Site=$B$93,data!$J$2:$J$1784)))</f>
        <v>0</v>
      </c>
      <c r="K99" s="16">
        <f t="array" ref="K99">SUM(IF(Period=K$4,IF(Site=$B$93,data!$J$2:$J$1784)))</f>
        <v>0</v>
      </c>
      <c r="L99" s="16">
        <f t="array" ref="L99">SUM(IF(Period=L$4,IF(Site=$B$93,data!$J$2:$J$1784)))</f>
        <v>0</v>
      </c>
      <c r="M99" s="16">
        <f t="array" ref="M99">SUM(IF(Period=M$4,IF(Site=$B$93,data!$J$2:$J$1784)))</f>
        <v>0</v>
      </c>
      <c r="N99" s="16">
        <f t="array" ref="N99">SUM(IF(Period=N$4,IF(Site=$B$93,data!$J$2:$J$1784)))</f>
        <v>0</v>
      </c>
      <c r="O99" s="16">
        <f t="array" ref="O99">SUM(IF(Period=O$4,IF(Site=$B$93,data!$J$2:$J$1784)))</f>
        <v>0</v>
      </c>
      <c r="Q99" s="16">
        <f t="array" ref="Q99">SUM(IF(Period=Q$4,IF(Site=$B$95,data!$J$2:$J$1784)))</f>
        <v>0</v>
      </c>
      <c r="R99" s="16">
        <f t="array" ref="R99">SUM(IF(Period=R$4,IF(Site=$B$95,data!$J$2:$J$1784)))</f>
        <v>0</v>
      </c>
      <c r="S99" s="16">
        <f t="array" ref="S99">SUM(IF(Period=S$4,IF(Site=$B$95,data!$J$2:$J$1784)))</f>
        <v>0</v>
      </c>
      <c r="T99" s="16">
        <f t="array" ref="T99">SUM(IF(Period=T$4,IF(Site=$B$95,data!$J$2:$J$1803)))</f>
        <v>0</v>
      </c>
    </row>
    <row r="100" spans="1:20" x14ac:dyDescent="0.25">
      <c r="A100" s="10" t="s">
        <v>4</v>
      </c>
      <c r="C100" s="12" t="s">
        <v>275</v>
      </c>
      <c r="D100" s="16">
        <f t="array" ref="D100">SUM(IF(Period=D$4,IF(Site=$B$93,data!$K$2:$K$1784)))</f>
        <v>0</v>
      </c>
      <c r="E100" s="16">
        <f t="array" ref="E100">SUM(IF(Period=E$4,IF(Site=$B$93,data!$K$2:$K$1784)))</f>
        <v>0</v>
      </c>
      <c r="F100" s="16">
        <f t="array" ref="F100">SUM(IF(Period=F$4,IF(Site=$B$93,data!$K$2:$K$1784)))</f>
        <v>0</v>
      </c>
      <c r="G100" s="16">
        <f t="array" ref="G100">SUM(IF(Period=G$4,IF(Site=$B$93,data!$K$2:$K$1784)))</f>
        <v>0</v>
      </c>
      <c r="H100" s="16">
        <f t="array" ref="H100">SUM(IF(Period=H$4,IF(Site=$B$93,data!$K$2:$K$1784)))</f>
        <v>0</v>
      </c>
      <c r="I100" s="16">
        <f t="array" ref="I100">SUM(IF(Period=I$4,IF(Site=$B$93,data!$K$2:$K$1784)))</f>
        <v>0</v>
      </c>
      <c r="J100" s="16">
        <f t="array" ref="J100">SUM(IF(Period=J$4,IF(Site=$B$93,data!$K$2:$K$1784)))</f>
        <v>0</v>
      </c>
      <c r="K100" s="16">
        <f t="array" ref="K100">SUM(IF(Period=K$4,IF(Site=$B$93,data!$K$2:$K$1784)))</f>
        <v>0</v>
      </c>
      <c r="L100" s="16">
        <f t="array" ref="L100">SUM(IF(Period=L$4,IF(Site=$B$93,data!$K$2:$K$1784)))</f>
        <v>0</v>
      </c>
      <c r="M100" s="16">
        <f t="array" ref="M100">SUM(IF(Period=M$4,IF(Site=$B$93,data!$K$2:$K$1784)))</f>
        <v>0</v>
      </c>
      <c r="N100" s="16">
        <f t="array" ref="N100">SUM(IF(Period=N$4,IF(Site=$B$93,data!$K$2:$K$1784)))</f>
        <v>0</v>
      </c>
      <c r="O100" s="16">
        <f t="array" ref="O100">SUM(IF(Period=O$4,IF(Site=$B$93,data!$K$2:$K$1784)))</f>
        <v>0</v>
      </c>
      <c r="Q100" s="16">
        <f t="array" ref="Q100">SUM(IF(Period=Q$4,IF(Site=$B$95,data!$K$2:$K$1784)))</f>
        <v>0</v>
      </c>
      <c r="R100" s="16">
        <f t="array" ref="R100">SUM(IF(Period=R$4,IF(Site=$B$95,data!$K$2:$K$1784)))</f>
        <v>0</v>
      </c>
      <c r="S100" s="16">
        <f t="array" ref="S100">SUM(IF(Period=S$4,IF(Site=$B$95,data!$K$2:$K$1784)))</f>
        <v>0</v>
      </c>
      <c r="T100" s="16">
        <f t="array" ref="T100">SUM(IF(Period=T$4,IF(Site=$B$95,data!$K$2:$K$1803)))</f>
        <v>0</v>
      </c>
    </row>
    <row r="101" spans="1:20" x14ac:dyDescent="0.25">
      <c r="A101" s="10" t="s">
        <v>6</v>
      </c>
      <c r="C101" s="14" t="s">
        <v>276</v>
      </c>
      <c r="D101" s="15">
        <f>IF(D96=0,0,SUM(D97:D99)/D96)</f>
        <v>0</v>
      </c>
      <c r="E101" s="15">
        <f t="shared" ref="E101:O101" si="98">IF(E96=0,0,SUM(E97:E99)/E96)</f>
        <v>0</v>
      </c>
      <c r="F101" s="15">
        <f t="shared" si="98"/>
        <v>0</v>
      </c>
      <c r="G101" s="15">
        <f t="shared" si="98"/>
        <v>0</v>
      </c>
      <c r="H101" s="15">
        <f t="shared" si="98"/>
        <v>0</v>
      </c>
      <c r="I101" s="15">
        <f t="shared" si="98"/>
        <v>0</v>
      </c>
      <c r="J101" s="15">
        <f t="shared" si="98"/>
        <v>0</v>
      </c>
      <c r="K101" s="15">
        <f t="shared" si="98"/>
        <v>0</v>
      </c>
      <c r="L101" s="15">
        <f t="shared" si="98"/>
        <v>0</v>
      </c>
      <c r="M101" s="15">
        <f t="shared" si="98"/>
        <v>0</v>
      </c>
      <c r="N101" s="15">
        <f t="shared" si="98"/>
        <v>0</v>
      </c>
      <c r="O101" s="15">
        <f t="shared" si="98"/>
        <v>0</v>
      </c>
      <c r="P101" s="17"/>
      <c r="Q101" s="15">
        <f t="shared" ref="Q101:T101" si="99">IF(Q96=0,0,SUM(Q97:Q99)/Q96)</f>
        <v>1</v>
      </c>
      <c r="R101" s="15">
        <f t="shared" si="99"/>
        <v>1</v>
      </c>
      <c r="S101" s="15">
        <f t="shared" si="99"/>
        <v>1</v>
      </c>
      <c r="T101" s="15">
        <f t="shared" si="99"/>
        <v>1</v>
      </c>
    </row>
    <row r="102" spans="1:20" x14ac:dyDescent="0.25">
      <c r="A102" s="10" t="s">
        <v>7</v>
      </c>
      <c r="C102" s="12" t="s">
        <v>277</v>
      </c>
      <c r="D102" s="16">
        <f t="array" ref="D102">SUM(IF(Period=D$4,IF(Site=$B$93,data!$M$2:$M$1784)))</f>
        <v>0</v>
      </c>
      <c r="E102" s="16">
        <f t="array" ref="E102">SUM(IF(Period=E$4,IF(Site=$B$93,data!$M$2:$M$1784)))</f>
        <v>0</v>
      </c>
      <c r="F102" s="16">
        <f t="array" ref="F102">SUM(IF(Period=F$4,IF(Site=$B$93,data!$M$2:$M$1784)))</f>
        <v>0</v>
      </c>
      <c r="G102" s="16">
        <f t="array" ref="G102">SUM(IF(Period=G$4,IF(Site=$B$93,data!$M$2:$M$1784)))</f>
        <v>0</v>
      </c>
      <c r="H102" s="16">
        <f t="array" ref="H102">SUM(IF(Period=H$4,IF(Site=$B$93,data!$M$2:$M$1784)))</f>
        <v>0</v>
      </c>
      <c r="I102" s="16">
        <f t="array" ref="I102">SUM(IF(Period=I$4,IF(Site=$B$93,data!$M$2:$M$1784)))</f>
        <v>0</v>
      </c>
      <c r="J102" s="16">
        <f t="array" ref="J102">SUM(IF(Period=J$4,IF(Site=$B$93,data!$M$2:$M$1784)))</f>
        <v>0</v>
      </c>
      <c r="K102" s="16">
        <f t="array" ref="K102">SUM(IF(Period=K$4,IF(Site=$B$93,data!$M$2:$M$1784)))</f>
        <v>0</v>
      </c>
      <c r="L102" s="16">
        <f t="array" ref="L102">SUM(IF(Period=L$4,IF(Site=$B$93,data!$M$2:$M$1784)))</f>
        <v>0</v>
      </c>
      <c r="M102" s="16">
        <f t="array" ref="M102">SUM(IF(Period=M$4,IF(Site=$B$93,data!$M$2:$M$1784)))</f>
        <v>0</v>
      </c>
      <c r="N102" s="16">
        <f t="array" ref="N102">SUM(IF(Period=N$4,IF(Site=$B$93,data!$M$2:$M$1784)))</f>
        <v>0</v>
      </c>
      <c r="O102" s="16">
        <f t="array" ref="O102">SUM(IF(Period=O$4,IF(Site=$B$93,data!$M$2:$M$1784)))</f>
        <v>0</v>
      </c>
      <c r="Q102" s="16">
        <f t="array" ref="Q102">SUM(IF(Period=Q$4,IF(Site=$B$95,data!$M$2:$M$1784)))</f>
        <v>3723</v>
      </c>
      <c r="R102" s="16">
        <f t="array" ref="R102">SUM(IF(Period=R$4,IF(Site=$B$95,data!$M$2:$M$1784)))</f>
        <v>3515</v>
      </c>
      <c r="S102" s="16">
        <f t="array" ref="S102">SUM(IF(Period=S$4,IF(Site=$B$95,data!$M$2:$M$1784)))</f>
        <v>3688</v>
      </c>
      <c r="T102" s="16">
        <f t="array" ref="T102">SUM(IF(Period=T$4,IF(Site=$B$95,data!$M$2:$M$1803)))</f>
        <v>3218</v>
      </c>
    </row>
    <row r="103" spans="1:20" x14ac:dyDescent="0.25">
      <c r="A103" s="10" t="s">
        <v>61</v>
      </c>
      <c r="C103" s="12" t="s">
        <v>278</v>
      </c>
      <c r="D103" s="16">
        <f t="array" ref="D103">SUM(IF(Period=D$4,IF(Site=$B$93,data!$N$2:$N$1784)))</f>
        <v>0</v>
      </c>
      <c r="E103" s="16">
        <f t="array" ref="E103">SUM(IF(Period=E$4,IF(Site=$B$93,data!$N$2:$N$1784)))</f>
        <v>0</v>
      </c>
      <c r="F103" s="16">
        <f t="array" ref="F103">SUM(IF(Period=F$4,IF(Site=$B$93,data!$N$2:$N$1784)))</f>
        <v>0</v>
      </c>
      <c r="G103" s="16">
        <f t="array" ref="G103">SUM(IF(Period=G$4,IF(Site=$B$93,data!$N$2:$N$1784)))</f>
        <v>0</v>
      </c>
      <c r="H103" s="16">
        <f t="array" ref="H103">SUM(IF(Period=H$4,IF(Site=$B$93,data!$N$2:$N$1784)))</f>
        <v>0</v>
      </c>
      <c r="I103" s="16">
        <f t="array" ref="I103">SUM(IF(Period=I$4,IF(Site=$B$93,data!$N$2:$N$1784)))</f>
        <v>0</v>
      </c>
      <c r="J103" s="16">
        <f t="array" ref="J103">SUM(IF(Period=J$4,IF(Site=$B$93,data!$N$2:$N$1784)))</f>
        <v>0</v>
      </c>
      <c r="K103" s="16">
        <f t="array" ref="K103">SUM(IF(Period=K$4,IF(Site=$B$93,data!$N$2:$N$1784)))</f>
        <v>0</v>
      </c>
      <c r="L103" s="16">
        <f t="array" ref="L103">SUM(IF(Period=L$4,IF(Site=$B$93,data!$N$2:$N$1784)))</f>
        <v>0</v>
      </c>
      <c r="M103" s="16">
        <f t="array" ref="M103">SUM(IF(Period=M$4,IF(Site=$B$93,data!$N$2:$N$1784)))</f>
        <v>0</v>
      </c>
      <c r="N103" s="16">
        <f t="array" ref="N103">SUM(IF(Period=N$4,IF(Site=$B$93,data!$N$2:$N$1784)))</f>
        <v>0</v>
      </c>
      <c r="O103" s="16">
        <f t="array" ref="O103">SUM(IF(Period=O$4,IF(Site=$B$93,data!$N$2:$N$1784)))</f>
        <v>0</v>
      </c>
      <c r="Q103" s="16">
        <f t="array" ref="Q103">SUM(IF(Period=Q$4,IF(Site=$B$95,data!$N$2:$N$1784)))</f>
        <v>489</v>
      </c>
      <c r="R103" s="16">
        <f t="array" ref="R103">SUM(IF(Period=R$4,IF(Site=$B$95,data!$N$2:$N$1784)))</f>
        <v>412</v>
      </c>
      <c r="S103" s="16">
        <f t="array" ref="S103">SUM(IF(Period=S$4,IF(Site=$B$95,data!$N$2:$N$1784)))</f>
        <v>474</v>
      </c>
      <c r="T103" s="16">
        <f t="array" ref="T103">SUM(IF(Period=T$4,IF(Site=$B$95,data!$N$2:$N$1803)))</f>
        <v>426</v>
      </c>
    </row>
    <row r="104" spans="1:20" x14ac:dyDescent="0.25">
      <c r="A104" s="10" t="s">
        <v>12</v>
      </c>
      <c r="C104" s="12" t="s">
        <v>279</v>
      </c>
      <c r="D104" s="16">
        <f t="array" ref="D104">SUM(IF(Period=D$4,IF(Site=$B$93,data!$O$2:$O$1784)))</f>
        <v>0</v>
      </c>
      <c r="E104" s="16">
        <f t="array" ref="E104">SUM(IF(Period=E$4,IF(Site=$B$93,data!$O$2:$O$1784)))</f>
        <v>0</v>
      </c>
      <c r="F104" s="16">
        <f t="array" ref="F104">SUM(IF(Period=F$4,IF(Site=$B$93,data!$O$2:$O$1784)))</f>
        <v>0</v>
      </c>
      <c r="G104" s="16">
        <f t="array" ref="G104">SUM(IF(Period=G$4,IF(Site=$B$93,data!$O$2:$O$1784)))</f>
        <v>0</v>
      </c>
      <c r="H104" s="16">
        <f t="array" ref="H104">SUM(IF(Period=H$4,IF(Site=$B$93,data!$O$2:$O$1784)))</f>
        <v>0</v>
      </c>
      <c r="I104" s="16">
        <f t="array" ref="I104">SUM(IF(Period=I$4,IF(Site=$B$93,data!$O$2:$O$1784)))</f>
        <v>0</v>
      </c>
      <c r="J104" s="16">
        <f t="array" ref="J104">SUM(IF(Period=J$4,IF(Site=$B$93,data!$O$2:$O$1784)))</f>
        <v>0</v>
      </c>
      <c r="K104" s="16">
        <f t="array" ref="K104">SUM(IF(Period=K$4,IF(Site=$B$93,data!$O$2:$O$1784)))</f>
        <v>0</v>
      </c>
      <c r="L104" s="16">
        <f t="array" ref="L104">SUM(IF(Period=L$4,IF(Site=$B$93,data!$O$2:$O$1784)))</f>
        <v>0</v>
      </c>
      <c r="M104" s="16">
        <f t="array" ref="M104">SUM(IF(Period=M$4,IF(Site=$B$93,data!$O$2:$O$1784)))</f>
        <v>0</v>
      </c>
      <c r="N104" s="16">
        <f t="array" ref="N104">SUM(IF(Period=N$4,IF(Site=$B$93,data!$O$2:$O$1784)))</f>
        <v>0</v>
      </c>
      <c r="O104" s="16">
        <f t="array" ref="O104">SUM(IF(Period=O$4,IF(Site=$B$93,data!$O$2:$O$1784)))</f>
        <v>0</v>
      </c>
      <c r="Q104" s="16">
        <f t="array" ref="Q104">SUM(IF(Period=Q$4,IF(Site=$B$95,data!$O$2:$O$1784)))</f>
        <v>0</v>
      </c>
      <c r="R104" s="16">
        <f t="array" ref="R104">SUM(IF(Period=R$4,IF(Site=$B$95,data!$O$2:$O$1784)))</f>
        <v>0</v>
      </c>
      <c r="S104" s="16">
        <f t="array" ref="S104">SUM(IF(Period=S$4,IF(Site=$B$95,data!$O$2:$O$1784)))</f>
        <v>0</v>
      </c>
      <c r="T104" s="16">
        <f t="array" ref="T104">SUM(IF(Period=T$4,IF(Site=$B$95,data!$O$2:$O$1803)))</f>
        <v>0</v>
      </c>
    </row>
    <row r="105" spans="1:20" x14ac:dyDescent="0.25">
      <c r="A105" s="10" t="s">
        <v>8</v>
      </c>
      <c r="C105" s="12" t="s">
        <v>280</v>
      </c>
      <c r="D105" s="16">
        <f t="array" ref="D105">SUM(IF(Period=D$4,IF(Site=$B$93,data!$P$2:$P$1784)))</f>
        <v>0</v>
      </c>
      <c r="E105" s="16">
        <f t="array" ref="E105">SUM(IF(Period=E$4,IF(Site=$B$93,data!$P$2:$P$1784)))</f>
        <v>0</v>
      </c>
      <c r="F105" s="16">
        <f t="array" ref="F105">SUM(IF(Period=F$4,IF(Site=$B$93,data!$P$2:$P$1784)))</f>
        <v>0</v>
      </c>
      <c r="G105" s="16">
        <f t="array" ref="G105">SUM(IF(Period=G$4,IF(Site=$B$93,data!$P$2:$P$1784)))</f>
        <v>0</v>
      </c>
      <c r="H105" s="16">
        <f t="array" ref="H105">SUM(IF(Period=H$4,IF(Site=$B$93,data!$P$2:$P$1784)))</f>
        <v>0</v>
      </c>
      <c r="I105" s="16">
        <f t="array" ref="I105">SUM(IF(Period=I$4,IF(Site=$B$93,data!$P$2:$P$1784)))</f>
        <v>0</v>
      </c>
      <c r="J105" s="16">
        <f t="array" ref="J105">SUM(IF(Period=J$4,IF(Site=$B$93,data!$P$2:$P$1784)))</f>
        <v>0</v>
      </c>
      <c r="K105" s="16">
        <f t="array" ref="K105">SUM(IF(Period=K$4,IF(Site=$B$93,data!$P$2:$P$1784)))</f>
        <v>0</v>
      </c>
      <c r="L105" s="16">
        <f t="array" ref="L105">SUM(IF(Period=L$4,IF(Site=$B$93,data!$P$2:$P$1784)))</f>
        <v>0</v>
      </c>
      <c r="M105" s="16">
        <f t="array" ref="M105">SUM(IF(Period=M$4,IF(Site=$B$93,data!$P$2:$P$1784)))</f>
        <v>0</v>
      </c>
      <c r="N105" s="16">
        <f t="array" ref="N105">SUM(IF(Period=N$4,IF(Site=$B$93,data!$P$2:$P$1784)))</f>
        <v>0</v>
      </c>
      <c r="O105" s="16">
        <f t="array" ref="O105">SUM(IF(Period=O$4,IF(Site=$B$93,data!$P$2:$P$1784)))</f>
        <v>0</v>
      </c>
      <c r="Q105" s="16">
        <f t="array" ref="Q105">SUM(IF(Period=Q$4,IF(Site=$B$95,data!$P$2:$P$1784)))</f>
        <v>5</v>
      </c>
      <c r="R105" s="16">
        <f t="array" ref="R105">SUM(IF(Period=R$4,IF(Site=$B$95,data!$P$2:$P$1784)))</f>
        <v>7</v>
      </c>
      <c r="S105" s="16">
        <f t="array" ref="S105">SUM(IF(Period=S$4,IF(Site=$B$95,data!$P$2:$P$1784)))</f>
        <v>3</v>
      </c>
      <c r="T105" s="16">
        <f t="array" ref="T105">SUM(IF(Period=T$4,IF(Site=$B$95,data!$P$2:$P$1803)))</f>
        <v>5</v>
      </c>
    </row>
    <row r="106" spans="1:20" x14ac:dyDescent="0.25">
      <c r="A106" s="10" t="s">
        <v>9</v>
      </c>
      <c r="C106" s="12" t="s">
        <v>281</v>
      </c>
      <c r="D106" s="16">
        <f t="array" ref="D106">SUM(IF(Period=D$4,IF(Site=$B$93,data!$Q$2:$Q$1784)))</f>
        <v>0</v>
      </c>
      <c r="E106" s="16">
        <f t="array" ref="E106">SUM(IF(Period=E$4,IF(Site=$B$93,data!$Q$2:$Q$1784)))</f>
        <v>0</v>
      </c>
      <c r="F106" s="16">
        <f t="array" ref="F106">SUM(IF(Period=F$4,IF(Site=$B$93,data!$Q$2:$Q$1784)))</f>
        <v>0</v>
      </c>
      <c r="G106" s="16">
        <f t="array" ref="G106">SUM(IF(Period=G$4,IF(Site=$B$93,data!$Q$2:$Q$1784)))</f>
        <v>0</v>
      </c>
      <c r="H106" s="16">
        <f t="array" ref="H106">SUM(IF(Period=H$4,IF(Site=$B$93,data!$Q$2:$Q$1784)))</f>
        <v>0</v>
      </c>
      <c r="I106" s="16">
        <f t="array" ref="I106">SUM(IF(Period=I$4,IF(Site=$B$93,data!$Q$2:$Q$1784)))</f>
        <v>0</v>
      </c>
      <c r="J106" s="16">
        <f t="array" ref="J106">SUM(IF(Period=J$4,IF(Site=$B$93,data!$Q$2:$Q$1784)))</f>
        <v>0</v>
      </c>
      <c r="K106" s="16">
        <f t="array" ref="K106">SUM(IF(Period=K$4,IF(Site=$B$93,data!$Q$2:$Q$1784)))</f>
        <v>0</v>
      </c>
      <c r="L106" s="16">
        <f t="array" ref="L106">SUM(IF(Period=L$4,IF(Site=$B$93,data!$Q$2:$Q$1784)))</f>
        <v>0</v>
      </c>
      <c r="M106" s="16">
        <f t="array" ref="M106">SUM(IF(Period=M$4,IF(Site=$B$93,data!$Q$2:$Q$1784)))</f>
        <v>0</v>
      </c>
      <c r="N106" s="16">
        <f t="array" ref="N106">SUM(IF(Period=N$4,IF(Site=$B$93,data!$Q$2:$Q$1784)))</f>
        <v>0</v>
      </c>
      <c r="O106" s="16">
        <f t="array" ref="O106">SUM(IF(Period=O$4,IF(Site=$B$93,data!$Q$2:$Q$1784)))</f>
        <v>0</v>
      </c>
      <c r="Q106" s="16">
        <f t="array" ref="Q106">SUM(IF(Period=Q$4,IF(Site=$B$95,data!$Q$2:$Q$1784)))</f>
        <v>2082</v>
      </c>
      <c r="R106" s="16">
        <f t="array" ref="R106">SUM(IF(Period=R$4,IF(Site=$B$95,data!$Q$2:$Q$1784)))</f>
        <v>2021</v>
      </c>
      <c r="S106" s="16">
        <f t="array" ref="S106">SUM(IF(Period=S$4,IF(Site=$B$95,data!$Q$2:$Q$1784)))</f>
        <v>2170</v>
      </c>
      <c r="T106" s="16">
        <f t="array" ref="T106">SUM(IF(Period=T$4,IF(Site=$B$95,data!$Q$2:$Q$1803)))</f>
        <v>1861</v>
      </c>
    </row>
    <row r="107" spans="1:20" x14ac:dyDescent="0.25">
      <c r="A107" s="10" t="s">
        <v>10</v>
      </c>
      <c r="C107" s="12" t="s">
        <v>282</v>
      </c>
      <c r="D107" s="16">
        <f t="array" ref="D107">SUM(IF(Period=D$4,IF(Site=$B$93,data!$R$2:$R$1784)))</f>
        <v>0</v>
      </c>
      <c r="E107" s="16">
        <f t="array" ref="E107">SUM(IF(Period=E$4,IF(Site=$B$93,data!$R$2:$R$1784)))</f>
        <v>0</v>
      </c>
      <c r="F107" s="16">
        <f t="array" ref="F107">SUM(IF(Period=F$4,IF(Site=$B$93,data!$R$2:$R$1784)))</f>
        <v>0</v>
      </c>
      <c r="G107" s="16">
        <f t="array" ref="G107">SUM(IF(Period=G$4,IF(Site=$B$93,data!$R$2:$R$1784)))</f>
        <v>0</v>
      </c>
      <c r="H107" s="16">
        <f t="array" ref="H107">SUM(IF(Period=H$4,IF(Site=$B$93,data!$R$2:$R$1784)))</f>
        <v>0</v>
      </c>
      <c r="I107" s="16">
        <f t="array" ref="I107">SUM(IF(Period=I$4,IF(Site=$B$93,data!$R$2:$R$1784)))</f>
        <v>0</v>
      </c>
      <c r="J107" s="16">
        <f t="array" ref="J107">SUM(IF(Period=J$4,IF(Site=$B$93,data!$R$2:$R$1784)))</f>
        <v>0</v>
      </c>
      <c r="K107" s="16">
        <f t="array" ref="K107">SUM(IF(Period=K$4,IF(Site=$B$93,data!$R$2:$R$1784)))</f>
        <v>0</v>
      </c>
      <c r="L107" s="16">
        <f t="array" ref="L107">SUM(IF(Period=L$4,IF(Site=$B$93,data!$R$2:$R$1784)))</f>
        <v>0</v>
      </c>
      <c r="M107" s="16">
        <f t="array" ref="M107">SUM(IF(Period=M$4,IF(Site=$B$93,data!$R$2:$R$1784)))</f>
        <v>0</v>
      </c>
      <c r="N107" s="16">
        <f t="array" ref="N107">SUM(IF(Period=N$4,IF(Site=$B$93,data!$R$2:$R$1784)))</f>
        <v>0</v>
      </c>
      <c r="O107" s="16">
        <f t="array" ref="O107">SUM(IF(Period=O$4,IF(Site=$B$93,data!$R$2:$R$1784)))</f>
        <v>0</v>
      </c>
      <c r="Q107" s="16">
        <f t="array" ref="Q107">SUM(IF(Period=Q$4,IF(Site=$B$95,data!$R$2:$R$1784)))</f>
        <v>17</v>
      </c>
      <c r="R107" s="16">
        <f t="array" ref="R107">SUM(IF(Period=R$4,IF(Site=$B$95,data!$R$2:$R$1784)))</f>
        <v>18</v>
      </c>
      <c r="S107" s="16">
        <f t="array" ref="S107">SUM(IF(Period=S$4,IF(Site=$B$95,data!$R$2:$R$1784)))</f>
        <v>4</v>
      </c>
      <c r="T107" s="16">
        <f t="array" ref="T107">SUM(IF(Period=T$4,IF(Site=$B$95,data!$R$2:$R$1803)))</f>
        <v>3</v>
      </c>
    </row>
    <row r="108" spans="1:20" x14ac:dyDescent="0.25">
      <c r="A108" s="10" t="s">
        <v>11</v>
      </c>
      <c r="C108" s="12" t="s">
        <v>283</v>
      </c>
      <c r="D108" s="16">
        <f t="array" ref="D108">SUM(IF(Period=D$4,IF(Site=$B$93,data!$S$2:$S$1784)))</f>
        <v>0</v>
      </c>
      <c r="E108" s="16">
        <f t="array" ref="E108">SUM(IF(Period=E$4,IF(Site=$B$93,data!$S$2:$S$1784)))</f>
        <v>0</v>
      </c>
      <c r="F108" s="16">
        <f t="array" ref="F108">SUM(IF(Period=F$4,IF(Site=$B$93,data!$S$2:$S$1784)))</f>
        <v>0</v>
      </c>
      <c r="G108" s="16">
        <f t="array" ref="G108">SUM(IF(Period=G$4,IF(Site=$B$93,data!$S$2:$S$1784)))</f>
        <v>0</v>
      </c>
      <c r="H108" s="16">
        <f t="array" ref="H108">SUM(IF(Period=H$4,IF(Site=$B$93,data!$S$2:$S$1784)))</f>
        <v>0</v>
      </c>
      <c r="I108" s="16">
        <f t="array" ref="I108">SUM(IF(Period=I$4,IF(Site=$B$93,data!$S$2:$S$1784)))</f>
        <v>0</v>
      </c>
      <c r="J108" s="16">
        <f t="array" ref="J108">SUM(IF(Period=J$4,IF(Site=$B$93,data!$S$2:$S$1784)))</f>
        <v>0</v>
      </c>
      <c r="K108" s="16">
        <f t="array" ref="K108">SUM(IF(Period=K$4,IF(Site=$B$93,data!$S$2:$S$1784)))</f>
        <v>0</v>
      </c>
      <c r="L108" s="16">
        <f t="array" ref="L108">SUM(IF(Period=L$4,IF(Site=$B$93,data!$S$2:$S$1784)))</f>
        <v>0</v>
      </c>
      <c r="M108" s="16">
        <f t="array" ref="M108">SUM(IF(Period=M$4,IF(Site=$B$93,data!$S$2:$S$1784)))</f>
        <v>0</v>
      </c>
      <c r="N108" s="16">
        <f t="array" ref="N108">SUM(IF(Period=N$4,IF(Site=$B$93,data!$S$2:$S$1784)))</f>
        <v>0</v>
      </c>
      <c r="O108" s="16">
        <f t="array" ref="O108">SUM(IF(Period=O$4,IF(Site=$B$93,data!$S$2:$S$1784)))</f>
        <v>0</v>
      </c>
      <c r="Q108" s="16">
        <f t="array" ref="Q108">SUM(IF(Period=Q$4,IF(Site=$B$95,data!$S$2:$S$1784)))</f>
        <v>1111</v>
      </c>
      <c r="R108" s="16">
        <f t="array" ref="R108">SUM(IF(Period=R$4,IF(Site=$B$95,data!$S$2:$S$1784)))</f>
        <v>1051</v>
      </c>
      <c r="S108" s="16">
        <f t="array" ref="S108">SUM(IF(Period=S$4,IF(Site=$B$95,data!$S$2:$S$1784)))</f>
        <v>1029</v>
      </c>
      <c r="T108" s="16">
        <f t="array" ref="T108">SUM(IF(Period=T$4,IF(Site=$B$95,data!$S$2:$S$1803)))</f>
        <v>910</v>
      </c>
    </row>
    <row r="109" spans="1:20" x14ac:dyDescent="0.25">
      <c r="A109" s="10" t="s">
        <v>13</v>
      </c>
      <c r="C109" s="12" t="s">
        <v>284</v>
      </c>
      <c r="D109" s="16">
        <f t="array" ref="D109">SUM(IF(Period=D$4,IF(Site=$B$93,data!$T$2:$T$1784)))</f>
        <v>0</v>
      </c>
      <c r="E109" s="16">
        <f t="array" ref="E109">SUM(IF(Period=E$4,IF(Site=$B$93,data!$T$2:$T$1784)))</f>
        <v>0</v>
      </c>
      <c r="F109" s="16">
        <f t="array" ref="F109">SUM(IF(Period=F$4,IF(Site=$B$93,data!$T$2:$T$1784)))</f>
        <v>0</v>
      </c>
      <c r="G109" s="16">
        <f t="array" ref="G109">SUM(IF(Period=G$4,IF(Site=$B$93,data!$T$2:$T$1784)))</f>
        <v>0</v>
      </c>
      <c r="H109" s="16">
        <f t="array" ref="H109">SUM(IF(Period=H$4,IF(Site=$B$93,data!$T$2:$T$1784)))</f>
        <v>0</v>
      </c>
      <c r="I109" s="16">
        <f t="array" ref="I109">SUM(IF(Period=I$4,IF(Site=$B$93,data!$T$2:$T$1784)))</f>
        <v>0</v>
      </c>
      <c r="J109" s="16">
        <f t="array" ref="J109">SUM(IF(Period=J$4,IF(Site=$B$93,data!$T$2:$T$1784)))</f>
        <v>0</v>
      </c>
      <c r="K109" s="16">
        <f t="array" ref="K109">SUM(IF(Period=K$4,IF(Site=$B$93,data!$T$2:$T$1784)))</f>
        <v>0</v>
      </c>
      <c r="L109" s="16">
        <f t="array" ref="L109">SUM(IF(Period=L$4,IF(Site=$B$93,data!$T$2:$T$1784)))</f>
        <v>0</v>
      </c>
      <c r="M109" s="16">
        <f t="array" ref="M109">SUM(IF(Period=M$4,IF(Site=$B$93,data!$T$2:$T$1784)))</f>
        <v>0</v>
      </c>
      <c r="N109" s="16">
        <f t="array" ref="N109">SUM(IF(Period=N$4,IF(Site=$B$93,data!$T$2:$T$1784)))</f>
        <v>0</v>
      </c>
      <c r="O109" s="16">
        <f t="array" ref="O109">SUM(IF(Period=O$4,IF(Site=$B$93,data!$T$2:$T$1784)))</f>
        <v>0</v>
      </c>
      <c r="Q109" s="16">
        <f t="array" ref="Q109">SUM(IF(Period=Q$4,IF(Site=$B$95,data!$T$2:$T$1784)))</f>
        <v>19</v>
      </c>
      <c r="R109" s="16">
        <f t="array" ref="R109">SUM(IF(Period=R$4,IF(Site=$B$95,data!$T$2:$T$1784)))</f>
        <v>6</v>
      </c>
      <c r="S109" s="16">
        <f t="array" ref="S109">SUM(IF(Period=S$4,IF(Site=$B$95,data!$T$2:$T$1784)))</f>
        <v>8</v>
      </c>
      <c r="T109" s="16">
        <f t="array" ref="T109">SUM(IF(Period=T$4,IF(Site=$B$95,data!$T$2:$T$1803)))</f>
        <v>13</v>
      </c>
    </row>
    <row r="110" spans="1:20" x14ac:dyDescent="0.25">
      <c r="A110" s="10" t="s">
        <v>14</v>
      </c>
      <c r="C110" s="14" t="s">
        <v>285</v>
      </c>
      <c r="D110" s="15">
        <f>IF(D102=0,0,(D103+D104+D106)/D102)</f>
        <v>0</v>
      </c>
      <c r="E110" s="15">
        <f>IF(E102=0,0,(E103+E104+E106+E108+E109)/E102)</f>
        <v>0</v>
      </c>
      <c r="F110" s="15">
        <f t="shared" ref="F110" si="100">IF(F102=0,0,(F103+F104+F106+F108+F109)/F102)</f>
        <v>0</v>
      </c>
      <c r="G110" s="15">
        <f t="shared" ref="G110" si="101">IF(G102=0,0,(G103+G104+G106+G108+G109)/G102)</f>
        <v>0</v>
      </c>
      <c r="H110" s="15">
        <f t="shared" ref="H110" si="102">IF(H102=0,0,(H103+H104+H106+H108+H109)/H102)</f>
        <v>0</v>
      </c>
      <c r="I110" s="15">
        <f t="shared" ref="I110" si="103">IF(I102=0,0,(I103+I104+I106+I108+I109)/I102)</f>
        <v>0</v>
      </c>
      <c r="J110" s="15">
        <f t="shared" ref="J110" si="104">IF(J102=0,0,(J103+J104+J106+J108+J109)/J102)</f>
        <v>0</v>
      </c>
      <c r="K110" s="15">
        <f t="shared" ref="K110" si="105">IF(K102=0,0,(K103+K104+K106+K108+K109)/K102)</f>
        <v>0</v>
      </c>
      <c r="L110" s="15">
        <f t="shared" ref="L110" si="106">IF(L102=0,0,(L103+L104+L106+L108+L109)/L102)</f>
        <v>0</v>
      </c>
      <c r="M110" s="15">
        <f t="shared" ref="M110" si="107">IF(M102=0,0,(M103+M104+M106+M108+M109)/M102)</f>
        <v>0</v>
      </c>
      <c r="N110" s="15">
        <f t="shared" ref="N110" si="108">IF(N102=0,0,(N103+N104+N106+N108+N109)/N102)</f>
        <v>0</v>
      </c>
      <c r="O110" s="15">
        <f t="shared" ref="O110:T110" si="109">IF(O102=0,0,(O103+O104+O106+O108+O109)/O102)</f>
        <v>0</v>
      </c>
      <c r="P110" s="17"/>
      <c r="Q110" s="15">
        <f t="shared" si="109"/>
        <v>0.99409078699973141</v>
      </c>
      <c r="R110" s="15">
        <f t="shared" si="109"/>
        <v>0.99288762446657186</v>
      </c>
      <c r="S110" s="15">
        <f t="shared" si="109"/>
        <v>0.9981019522776573</v>
      </c>
      <c r="T110" s="15">
        <f t="shared" si="109"/>
        <v>0.99751398384089496</v>
      </c>
    </row>
    <row r="111" spans="1:20" x14ac:dyDescent="0.25">
      <c r="A111" s="10" t="s">
        <v>15</v>
      </c>
      <c r="C111" s="14" t="s">
        <v>286</v>
      </c>
      <c r="D111" s="15">
        <f>IF(AND(D96=0,D102=0),0,(SUM(D97:D99)+D103+D104+D106+D108+D109)/(D96+D102))</f>
        <v>0</v>
      </c>
      <c r="E111" s="15">
        <f t="shared" ref="E111:O111" si="110">IF(AND(E96=0,E102=0),0,(SUM(E97:E99)+E103+E104+E106+E108+E109)/(E96+E102))</f>
        <v>0</v>
      </c>
      <c r="F111" s="15">
        <f t="shared" si="110"/>
        <v>0</v>
      </c>
      <c r="G111" s="15">
        <f t="shared" si="110"/>
        <v>0</v>
      </c>
      <c r="H111" s="15">
        <f t="shared" si="110"/>
        <v>0</v>
      </c>
      <c r="I111" s="15">
        <f t="shared" si="110"/>
        <v>0</v>
      </c>
      <c r="J111" s="15">
        <f t="shared" si="110"/>
        <v>0</v>
      </c>
      <c r="K111" s="15">
        <f t="shared" si="110"/>
        <v>0</v>
      </c>
      <c r="L111" s="15">
        <f t="shared" si="110"/>
        <v>0</v>
      </c>
      <c r="M111" s="15">
        <f t="shared" si="110"/>
        <v>0</v>
      </c>
      <c r="N111" s="15">
        <f t="shared" si="110"/>
        <v>0</v>
      </c>
      <c r="O111" s="15">
        <f t="shared" si="110"/>
        <v>0</v>
      </c>
      <c r="P111" s="17"/>
      <c r="Q111" s="15">
        <f t="shared" ref="Q111:T111" si="111">IF(AND(Q96=0,Q102=0),0,(SUM(Q97:Q99)+Q103+Q104+Q106+Q108+Q109)/(Q96+Q102))</f>
        <v>0.99442614644033445</v>
      </c>
      <c r="R111" s="15">
        <f t="shared" si="111"/>
        <v>0.99324689357104268</v>
      </c>
      <c r="S111" s="15">
        <f t="shared" si="111"/>
        <v>0.99820742637644044</v>
      </c>
      <c r="T111" s="15">
        <f t="shared" si="111"/>
        <v>0.99764498086546949</v>
      </c>
    </row>
    <row r="112" spans="1:20" x14ac:dyDescent="0.25">
      <c r="A112" s="10"/>
    </row>
    <row r="113" spans="1:20" ht="18.75" x14ac:dyDescent="0.3">
      <c r="A113" s="10"/>
      <c r="B113" s="13" t="s">
        <v>21</v>
      </c>
    </row>
    <row r="114" spans="1:20" x14ac:dyDescent="0.25">
      <c r="A114" s="10" t="s">
        <v>5</v>
      </c>
      <c r="C114" s="12" t="s">
        <v>272</v>
      </c>
      <c r="D114" s="16">
        <f t="array" ref="D114">SUM(IF(Period=D$4,IF(Site=$B$113,data!$G$2:$G$1784)))</f>
        <v>130</v>
      </c>
      <c r="E114" s="16">
        <f t="array" ref="E114">SUM(IF(Period=E$4,IF(Site=$B$113,data!$G$2:$G$1784)))</f>
        <v>169</v>
      </c>
      <c r="F114" s="16">
        <f t="array" ref="F114">SUM(IF(Period=F$4,IF(Site=$B$113,data!$G$2:$G$1784)))</f>
        <v>165</v>
      </c>
      <c r="G114" s="16">
        <f t="array" ref="G114">SUM(IF(Period=G$4,IF(Site=$B$113,data!$G$2:$G$1784)))</f>
        <v>120</v>
      </c>
      <c r="H114" s="16">
        <f t="array" ref="H114">SUM(IF(Period=H$4,IF(Site=$B$113,data!$G$2:$G$1784)))</f>
        <v>195</v>
      </c>
      <c r="I114" s="16">
        <f t="array" ref="I114">SUM(IF(Period=I$4,IF(Site=$B$113,data!$G$2:$G$1784)))</f>
        <v>152</v>
      </c>
      <c r="J114" s="16">
        <f t="array" ref="J114">SUM(IF(Period=J$4,IF(Site=$B$113,data!$G$2:$G$1784)))</f>
        <v>191</v>
      </c>
      <c r="K114" s="16">
        <f t="array" ref="K114">SUM(IF(Period=K$4,IF(Site=$B$113,data!$G$2:$G$1784)))</f>
        <v>162</v>
      </c>
      <c r="L114" s="16">
        <f t="array" ref="L114">SUM(IF(Period=L$4,IF(Site=$B$113,data!$G$2:$G$1784)))</f>
        <v>143</v>
      </c>
      <c r="M114" s="16">
        <f t="array" ref="M114">SUM(IF(Period=M$4,IF(Site=$B$113,data!$G$2:$G$1784)))</f>
        <v>146</v>
      </c>
      <c r="N114" s="16">
        <f t="array" ref="N114">SUM(IF(Period=N$4,IF(Site=$B$113,data!$G$2:$G$1784)))</f>
        <v>135</v>
      </c>
      <c r="O114" s="16">
        <f t="array" ref="O114">SUM(IF(Period=O$4,IF(Site=$B$113,data!$G$2:$G$1784)))</f>
        <v>83</v>
      </c>
      <c r="Q114" s="16">
        <f>SUM(D114:F114)</f>
        <v>464</v>
      </c>
      <c r="R114" s="16">
        <f>SUM(G114:I114)</f>
        <v>467</v>
      </c>
      <c r="S114" s="16">
        <f>SUM(J114:L114)</f>
        <v>496</v>
      </c>
      <c r="T114" s="16">
        <f>SUM(M114:O114)</f>
        <v>364</v>
      </c>
    </row>
    <row r="115" spans="1:20" x14ac:dyDescent="0.25">
      <c r="A115" s="10" t="s">
        <v>0</v>
      </c>
      <c r="C115" s="12" t="s">
        <v>0</v>
      </c>
      <c r="D115" s="16">
        <f t="array" ref="D115">SUM(IF(Period=D$4,IF(Site=$B$113,data!$H$2:$H$1784)))</f>
        <v>130</v>
      </c>
      <c r="E115" s="16">
        <f t="array" ref="E115">SUM(IF(Period=E$4,IF(Site=$B$113,data!$H$2:$H$1784)))</f>
        <v>167</v>
      </c>
      <c r="F115" s="16">
        <f t="array" ref="F115">SUM(IF(Period=F$4,IF(Site=$B$113,data!$H$2:$H$1784)))</f>
        <v>164</v>
      </c>
      <c r="G115" s="16">
        <f t="array" ref="G115">SUM(IF(Period=G$4,IF(Site=$B$113,data!$H$2:$H$1784)))</f>
        <v>120</v>
      </c>
      <c r="H115" s="16">
        <f t="array" ref="H115">SUM(IF(Period=H$4,IF(Site=$B$113,data!$H$2:$H$1784)))</f>
        <v>194</v>
      </c>
      <c r="I115" s="16">
        <f t="array" ref="I115">SUM(IF(Period=I$4,IF(Site=$B$113,data!$H$2:$H$1784)))</f>
        <v>151</v>
      </c>
      <c r="J115" s="16">
        <f t="array" ref="J115">SUM(IF(Period=J$4,IF(Site=$B$113,data!$H$2:$H$1784)))</f>
        <v>190</v>
      </c>
      <c r="K115" s="16">
        <f t="array" ref="K115">SUM(IF(Period=K$4,IF(Site=$B$113,data!$H$2:$H$1784)))</f>
        <v>161</v>
      </c>
      <c r="L115" s="16">
        <f t="array" ref="L115">SUM(IF(Period=L$4,IF(Site=$B$113,data!$H$2:$H$1784)))</f>
        <v>142</v>
      </c>
      <c r="M115" s="16">
        <f t="array" ref="M115">SUM(IF(Period=M$4,IF(Site=$B$113,data!$H$2:$H$1784)))</f>
        <v>144</v>
      </c>
      <c r="N115" s="16">
        <f t="array" ref="N115">SUM(IF(Period=N$4,IF(Site=$B$113,data!$H$2:$H$1784)))</f>
        <v>133</v>
      </c>
      <c r="O115" s="16">
        <f t="array" ref="O115">SUM(IF(Period=O$4,IF(Site=$B$113,data!$H$2:$H$1784)))</f>
        <v>82</v>
      </c>
      <c r="Q115" s="16">
        <f>SUM(D115:F115)</f>
        <v>461</v>
      </c>
      <c r="R115" s="16">
        <f>SUM(G115:I115)</f>
        <v>465</v>
      </c>
      <c r="S115" s="16">
        <f>SUM(J115:L115)</f>
        <v>493</v>
      </c>
      <c r="T115" s="16">
        <f>SUM(M115:O115)</f>
        <v>359</v>
      </c>
    </row>
    <row r="116" spans="1:20" x14ac:dyDescent="0.25">
      <c r="A116" s="10" t="s">
        <v>2</v>
      </c>
      <c r="C116" s="12" t="s">
        <v>273</v>
      </c>
      <c r="D116" s="16">
        <f t="array" ref="D116">SUM(IF(Period=D$4,IF(Site=$B$113,data!$I$2:$I$1784)))</f>
        <v>0</v>
      </c>
      <c r="E116" s="16">
        <f t="array" ref="E116">SUM(IF(Period=E$4,IF(Site=$B$113,data!$I$2:$I$1784)))</f>
        <v>0</v>
      </c>
      <c r="F116" s="16">
        <f t="array" ref="F116">SUM(IF(Period=F$4,IF(Site=$B$113,data!$I$2:$I$1784)))</f>
        <v>0</v>
      </c>
      <c r="G116" s="16">
        <f t="array" ref="G116">SUM(IF(Period=G$4,IF(Site=$B$113,data!$I$2:$I$1784)))</f>
        <v>0</v>
      </c>
      <c r="H116" s="16">
        <f t="array" ref="H116">SUM(IF(Period=H$4,IF(Site=$B$113,data!$I$2:$I$1784)))</f>
        <v>1</v>
      </c>
      <c r="I116" s="16">
        <f t="array" ref="I116">SUM(IF(Period=I$4,IF(Site=$B$113,data!$I$2:$I$1784)))</f>
        <v>0</v>
      </c>
      <c r="J116" s="16">
        <f t="array" ref="J116">SUM(IF(Period=J$4,IF(Site=$B$113,data!$I$2:$I$1784)))</f>
        <v>0</v>
      </c>
      <c r="K116" s="16">
        <f t="array" ref="K116">SUM(IF(Period=K$4,IF(Site=$B$113,data!$I$2:$I$1784)))</f>
        <v>0</v>
      </c>
      <c r="L116" s="16">
        <f t="array" ref="L116">SUM(IF(Period=L$4,IF(Site=$B$113,data!$I$2:$I$1784)))</f>
        <v>0</v>
      </c>
      <c r="M116" s="16">
        <f t="array" ref="M116">SUM(IF(Period=M$4,IF(Site=$B$113,data!$I$2:$I$1784)))</f>
        <v>0</v>
      </c>
      <c r="N116" s="16">
        <f t="array" ref="N116">SUM(IF(Period=N$4,IF(Site=$B$113,data!$I$2:$I$1784)))</f>
        <v>0</v>
      </c>
      <c r="O116" s="16">
        <f t="array" ref="O116">SUM(IF(Period=O$4,IF(Site=$B$113,data!$I$2:$I$1784)))</f>
        <v>0</v>
      </c>
      <c r="Q116" s="16">
        <f>SUM(D116:F116)</f>
        <v>0</v>
      </c>
      <c r="R116" s="16">
        <f>SUM(G116:I116)</f>
        <v>1</v>
      </c>
      <c r="S116" s="16">
        <f>SUM(J116:L116)</f>
        <v>0</v>
      </c>
      <c r="T116" s="16">
        <f>SUM(M116:O116)</f>
        <v>0</v>
      </c>
    </row>
    <row r="117" spans="1:20" x14ac:dyDescent="0.25">
      <c r="A117" s="10" t="s">
        <v>3</v>
      </c>
      <c r="C117" s="12" t="s">
        <v>274</v>
      </c>
      <c r="D117" s="16">
        <f t="array" ref="D117">SUM(IF(Period=D$4,IF(Site=$B$113,data!$J$2:$J$1784)))</f>
        <v>0</v>
      </c>
      <c r="E117" s="16">
        <f t="array" ref="E117">SUM(IF(Period=E$4,IF(Site=$B$113,data!$J$2:$J$1784)))</f>
        <v>0</v>
      </c>
      <c r="F117" s="16">
        <f t="array" ref="F117">SUM(IF(Period=F$4,IF(Site=$B$113,data!$J$2:$J$1784)))</f>
        <v>0</v>
      </c>
      <c r="G117" s="16">
        <f t="array" ref="G117">SUM(IF(Period=G$4,IF(Site=$B$113,data!$J$2:$J$1784)))</f>
        <v>0</v>
      </c>
      <c r="H117" s="16">
        <f t="array" ref="H117">SUM(IF(Period=H$4,IF(Site=$B$113,data!$J$2:$J$1784)))</f>
        <v>0</v>
      </c>
      <c r="I117" s="16">
        <f t="array" ref="I117">SUM(IF(Period=I$4,IF(Site=$B$113,data!$J$2:$J$1784)))</f>
        <v>0</v>
      </c>
      <c r="J117" s="16">
        <f t="array" ref="J117">SUM(IF(Period=J$4,IF(Site=$B$113,data!$J$2:$J$1784)))</f>
        <v>0</v>
      </c>
      <c r="K117" s="16">
        <f t="array" ref="K117">SUM(IF(Period=K$4,IF(Site=$B$113,data!$J$2:$J$1784)))</f>
        <v>0</v>
      </c>
      <c r="L117" s="16">
        <f t="array" ref="L117">SUM(IF(Period=L$4,IF(Site=$B$113,data!$J$2:$J$1784)))</f>
        <v>0</v>
      </c>
      <c r="M117" s="16">
        <f t="array" ref="M117">SUM(IF(Period=M$4,IF(Site=$B$113,data!$J$2:$J$1784)))</f>
        <v>0</v>
      </c>
      <c r="N117" s="16">
        <f t="array" ref="N117">SUM(IF(Period=N$4,IF(Site=$B$113,data!$J$2:$J$1784)))</f>
        <v>0</v>
      </c>
      <c r="O117" s="16">
        <f t="array" ref="O117">SUM(IF(Period=O$4,IF(Site=$B$113,data!$J$2:$J$1784)))</f>
        <v>0</v>
      </c>
      <c r="Q117" s="16">
        <f>SUM(D117:F117)</f>
        <v>0</v>
      </c>
      <c r="R117" s="16">
        <f>SUM(G117:I117)</f>
        <v>0</v>
      </c>
      <c r="S117" s="16">
        <f>SUM(J117:L117)</f>
        <v>0</v>
      </c>
      <c r="T117" s="16">
        <f>SUM(M117:O117)</f>
        <v>0</v>
      </c>
    </row>
    <row r="118" spans="1:20" x14ac:dyDescent="0.25">
      <c r="A118" s="10" t="s">
        <v>4</v>
      </c>
      <c r="C118" s="12" t="s">
        <v>275</v>
      </c>
      <c r="D118" s="16">
        <f t="array" ref="D118">SUM(IF(Period=D$4,IF(Site=$B$113,data!$K$2:$K$1784)))</f>
        <v>0</v>
      </c>
      <c r="E118" s="16">
        <f t="array" ref="E118">SUM(IF(Period=E$4,IF(Site=$B$113,data!$K$2:$K$1784)))</f>
        <v>2</v>
      </c>
      <c r="F118" s="16">
        <f t="array" ref="F118">SUM(IF(Period=F$4,IF(Site=$B$113,data!$K$2:$K$1784)))</f>
        <v>1</v>
      </c>
      <c r="G118" s="16">
        <f t="array" ref="G118">SUM(IF(Period=G$4,IF(Site=$B$113,data!$K$2:$K$1784)))</f>
        <v>0</v>
      </c>
      <c r="H118" s="16">
        <f t="array" ref="H118">SUM(IF(Period=H$4,IF(Site=$B$113,data!$K$2:$K$1784)))</f>
        <v>0</v>
      </c>
      <c r="I118" s="16">
        <f t="array" ref="I118">SUM(IF(Period=I$4,IF(Site=$B$113,data!$K$2:$K$1784)))</f>
        <v>1</v>
      </c>
      <c r="J118" s="16">
        <f t="array" ref="J118">SUM(IF(Period=J$4,IF(Site=$B$113,data!$K$2:$K$1784)))</f>
        <v>1</v>
      </c>
      <c r="K118" s="16">
        <f t="array" ref="K118">SUM(IF(Period=K$4,IF(Site=$B$113,data!$K$2:$K$1784)))</f>
        <v>1</v>
      </c>
      <c r="L118" s="16">
        <f t="array" ref="L118">SUM(IF(Period=L$4,IF(Site=$B$113,data!$K$2:$K$1784)))</f>
        <v>1</v>
      </c>
      <c r="M118" s="16">
        <f t="array" ref="M118">SUM(IF(Period=M$4,IF(Site=$B$113,data!$K$2:$K$1784)))</f>
        <v>2</v>
      </c>
      <c r="N118" s="16">
        <f t="array" ref="N118">SUM(IF(Period=N$4,IF(Site=$B$113,data!$K$2:$K$1784)))</f>
        <v>2</v>
      </c>
      <c r="O118" s="16">
        <f t="array" ref="O118">SUM(IF(Period=O$4,IF(Site=$B$113,data!$K$2:$K$1784)))</f>
        <v>1</v>
      </c>
      <c r="Q118" s="16">
        <f>SUM(D118:F118)</f>
        <v>3</v>
      </c>
      <c r="R118" s="16">
        <f>SUM(G118:I118)</f>
        <v>1</v>
      </c>
      <c r="S118" s="16">
        <f>SUM(J118:L118)</f>
        <v>3</v>
      </c>
      <c r="T118" s="16">
        <f>SUM(M118:O118)</f>
        <v>5</v>
      </c>
    </row>
    <row r="119" spans="1:20" x14ac:dyDescent="0.25">
      <c r="A119" s="10" t="s">
        <v>6</v>
      </c>
      <c r="C119" s="14" t="s">
        <v>276</v>
      </c>
      <c r="D119" s="15">
        <f>IF(D114=0,0,SUM(D115:D117)/D114)</f>
        <v>1</v>
      </c>
      <c r="E119" s="15">
        <f t="shared" ref="E119:O119" si="112">IF(E114=0,0,SUM(E115:E117)/E114)</f>
        <v>0.98816568047337283</v>
      </c>
      <c r="F119" s="15">
        <f t="shared" si="112"/>
        <v>0.9939393939393939</v>
      </c>
      <c r="G119" s="15">
        <f t="shared" si="112"/>
        <v>1</v>
      </c>
      <c r="H119" s="15">
        <f t="shared" si="112"/>
        <v>1</v>
      </c>
      <c r="I119" s="15">
        <f t="shared" si="112"/>
        <v>0.99342105263157898</v>
      </c>
      <c r="J119" s="15">
        <f t="shared" si="112"/>
        <v>0.99476439790575921</v>
      </c>
      <c r="K119" s="15">
        <f t="shared" si="112"/>
        <v>0.99382716049382713</v>
      </c>
      <c r="L119" s="15">
        <f t="shared" si="112"/>
        <v>0.99300699300699302</v>
      </c>
      <c r="M119" s="15">
        <f t="shared" si="112"/>
        <v>0.98630136986301364</v>
      </c>
      <c r="N119" s="15">
        <f t="shared" si="112"/>
        <v>0.98518518518518516</v>
      </c>
      <c r="O119" s="15">
        <f t="shared" si="112"/>
        <v>0.98795180722891562</v>
      </c>
      <c r="P119" s="17"/>
      <c r="Q119" s="15">
        <f t="shared" ref="Q119:T119" si="113">IF(Q114=0,0,SUM(Q115:Q117)/Q114)</f>
        <v>0.99353448275862066</v>
      </c>
      <c r="R119" s="15">
        <f t="shared" si="113"/>
        <v>0.99785867237687365</v>
      </c>
      <c r="S119" s="15">
        <f t="shared" si="113"/>
        <v>0.99395161290322576</v>
      </c>
      <c r="T119" s="15">
        <f t="shared" si="113"/>
        <v>0.98626373626373631</v>
      </c>
    </row>
    <row r="120" spans="1:20" x14ac:dyDescent="0.25">
      <c r="A120" s="10" t="s">
        <v>7</v>
      </c>
      <c r="C120" s="12" t="s">
        <v>277</v>
      </c>
      <c r="D120" s="16">
        <f t="array" ref="D120">SUM(IF(Period=D$4,IF(Site=$B$113,data!$M$2:$M$1784)))</f>
        <v>2272</v>
      </c>
      <c r="E120" s="16">
        <f t="array" ref="E120">SUM(IF(Period=E$4,IF(Site=$B$113,data!$M$2:$M$1784)))</f>
        <v>3346</v>
      </c>
      <c r="F120" s="16">
        <f t="array" ref="F120">SUM(IF(Period=F$4,IF(Site=$B$113,data!$M$2:$M$1784)))</f>
        <v>3247</v>
      </c>
      <c r="G120" s="16">
        <f t="array" ref="G120">SUM(IF(Period=G$4,IF(Site=$B$113,data!$M$2:$M$1784)))</f>
        <v>2771</v>
      </c>
      <c r="H120" s="16">
        <f t="array" ref="H120">SUM(IF(Period=H$4,IF(Site=$B$113,data!$M$2:$M$1784)))</f>
        <v>3136</v>
      </c>
      <c r="I120" s="16">
        <f t="array" ref="I120">SUM(IF(Period=I$4,IF(Site=$B$113,data!$M$2:$M$1784)))</f>
        <v>2827</v>
      </c>
      <c r="J120" s="16">
        <f t="array" ref="J120">SUM(IF(Period=J$4,IF(Site=$B$113,data!$M$2:$M$1784)))</f>
        <v>3257</v>
      </c>
      <c r="K120" s="16">
        <f t="array" ref="K120">SUM(IF(Period=K$4,IF(Site=$B$113,data!$M$2:$M$1784)))</f>
        <v>3137</v>
      </c>
      <c r="L120" s="16">
        <f t="array" ref="L120">SUM(IF(Period=L$4,IF(Site=$B$113,data!$M$2:$M$1784)))</f>
        <v>3226</v>
      </c>
      <c r="M120" s="16">
        <f t="array" ref="M120">SUM(IF(Period=M$4,IF(Site=$B$113,data!$M$2:$M$1784)))</f>
        <v>3117</v>
      </c>
      <c r="N120" s="16">
        <f t="array" ref="N120">SUM(IF(Period=N$4,IF(Site=$B$113,data!$M$2:$M$1784)))</f>
        <v>2961</v>
      </c>
      <c r="O120" s="16">
        <f t="array" ref="O120">SUM(IF(Period=O$4,IF(Site=$B$113,data!$M$2:$M$1784)))</f>
        <v>1964</v>
      </c>
      <c r="Q120" s="16">
        <f t="shared" ref="Q120:Q127" si="114">SUM(D120:F120)</f>
        <v>8865</v>
      </c>
      <c r="R120" s="16">
        <f t="shared" ref="R120:R127" si="115">SUM(G120:I120)</f>
        <v>8734</v>
      </c>
      <c r="S120" s="16">
        <f t="shared" ref="S120:S127" si="116">SUM(J120:L120)</f>
        <v>9620</v>
      </c>
      <c r="T120" s="16">
        <f t="shared" ref="T120:T127" si="117">SUM(M120:O120)</f>
        <v>8042</v>
      </c>
    </row>
    <row r="121" spans="1:20" x14ac:dyDescent="0.25">
      <c r="A121" s="10" t="s">
        <v>61</v>
      </c>
      <c r="C121" s="12" t="s">
        <v>278</v>
      </c>
      <c r="D121" s="16">
        <f t="array" ref="D121">SUM(IF(Period=D$4,IF(Site=$B$113,data!$N$2:$N$1784)))</f>
        <v>380</v>
      </c>
      <c r="E121" s="16">
        <f t="array" ref="E121">SUM(IF(Period=E$4,IF(Site=$B$113,data!$N$2:$N$1784)))</f>
        <v>419</v>
      </c>
      <c r="F121" s="16">
        <f t="array" ref="F121">SUM(IF(Period=F$4,IF(Site=$B$113,data!$N$2:$N$1784)))</f>
        <v>392</v>
      </c>
      <c r="G121" s="16">
        <f t="array" ref="G121">SUM(IF(Period=G$4,IF(Site=$B$113,data!$N$2:$N$1784)))</f>
        <v>455</v>
      </c>
      <c r="H121" s="16">
        <f t="array" ref="H121">SUM(IF(Period=H$4,IF(Site=$B$113,data!$N$2:$N$1784)))</f>
        <v>420</v>
      </c>
      <c r="I121" s="16">
        <f t="array" ref="I121">SUM(IF(Period=I$4,IF(Site=$B$113,data!$N$2:$N$1784)))</f>
        <v>361</v>
      </c>
      <c r="J121" s="16">
        <f t="array" ref="J121">SUM(IF(Period=J$4,IF(Site=$B$113,data!$N$2:$N$1784)))</f>
        <v>412</v>
      </c>
      <c r="K121" s="16">
        <f t="array" ref="K121">SUM(IF(Period=K$4,IF(Site=$B$113,data!$N$2:$N$1784)))</f>
        <v>395</v>
      </c>
      <c r="L121" s="16">
        <f t="array" ref="L121">SUM(IF(Period=L$4,IF(Site=$B$113,data!$N$2:$N$1784)))</f>
        <v>458</v>
      </c>
      <c r="M121" s="16">
        <f t="array" ref="M121">SUM(IF(Period=M$4,IF(Site=$B$113,data!$N$2:$N$1784)))</f>
        <v>366</v>
      </c>
      <c r="N121" s="16">
        <f t="array" ref="N121">SUM(IF(Period=N$4,IF(Site=$B$113,data!$N$2:$N$1784)))</f>
        <v>322</v>
      </c>
      <c r="O121" s="16">
        <f t="array" ref="O121">SUM(IF(Period=O$4,IF(Site=$B$113,data!$N$2:$N$1784)))</f>
        <v>220</v>
      </c>
      <c r="Q121" s="16">
        <f t="shared" si="114"/>
        <v>1191</v>
      </c>
      <c r="R121" s="16">
        <f t="shared" si="115"/>
        <v>1236</v>
      </c>
      <c r="S121" s="16">
        <f t="shared" si="116"/>
        <v>1265</v>
      </c>
      <c r="T121" s="16">
        <f t="shared" si="117"/>
        <v>908</v>
      </c>
    </row>
    <row r="122" spans="1:20" x14ac:dyDescent="0.25">
      <c r="A122" s="10" t="s">
        <v>12</v>
      </c>
      <c r="C122" s="12" t="s">
        <v>279</v>
      </c>
      <c r="D122" s="16">
        <f t="array" ref="D122">SUM(IF(Period=D$4,IF(Site=$B$113,data!$O$2:$O$1784)))</f>
        <v>92</v>
      </c>
      <c r="E122" s="16">
        <f t="array" ref="E122">SUM(IF(Period=E$4,IF(Site=$B$113,data!$O$2:$O$1784)))</f>
        <v>0</v>
      </c>
      <c r="F122" s="16">
        <f t="array" ref="F122">SUM(IF(Period=F$4,IF(Site=$B$113,data!$O$2:$O$1784)))</f>
        <v>0</v>
      </c>
      <c r="G122" s="16">
        <f t="array" ref="G122">SUM(IF(Period=G$4,IF(Site=$B$113,data!$O$2:$O$1784)))</f>
        <v>0</v>
      </c>
      <c r="H122" s="16">
        <f t="array" ref="H122">SUM(IF(Period=H$4,IF(Site=$B$113,data!$O$2:$O$1784)))</f>
        <v>0</v>
      </c>
      <c r="I122" s="16">
        <f t="array" ref="I122">SUM(IF(Period=I$4,IF(Site=$B$113,data!$O$2:$O$1784)))</f>
        <v>0</v>
      </c>
      <c r="J122" s="16">
        <f t="array" ref="J122">SUM(IF(Period=J$4,IF(Site=$B$113,data!$O$2:$O$1784)))</f>
        <v>0</v>
      </c>
      <c r="K122" s="16">
        <f t="array" ref="K122">SUM(IF(Period=K$4,IF(Site=$B$113,data!$O$2:$O$1784)))</f>
        <v>0</v>
      </c>
      <c r="L122" s="16">
        <f t="array" ref="L122">SUM(IF(Period=L$4,IF(Site=$B$113,data!$O$2:$O$1784)))</f>
        <v>0</v>
      </c>
      <c r="M122" s="16">
        <f t="array" ref="M122">SUM(IF(Period=M$4,IF(Site=$B$113,data!$O$2:$O$1784)))</f>
        <v>0</v>
      </c>
      <c r="N122" s="16">
        <f t="array" ref="N122">SUM(IF(Period=N$4,IF(Site=$B$113,data!$O$2:$O$1784)))</f>
        <v>0</v>
      </c>
      <c r="O122" s="16">
        <f t="array" ref="O122">SUM(IF(Period=O$4,IF(Site=$B$113,data!$O$2:$O$1784)))</f>
        <v>0</v>
      </c>
      <c r="Q122" s="16">
        <f t="shared" si="114"/>
        <v>92</v>
      </c>
      <c r="R122" s="16">
        <f t="shared" si="115"/>
        <v>0</v>
      </c>
      <c r="S122" s="16">
        <f t="shared" si="116"/>
        <v>0</v>
      </c>
      <c r="T122" s="16">
        <f t="shared" si="117"/>
        <v>0</v>
      </c>
    </row>
    <row r="123" spans="1:20" x14ac:dyDescent="0.25">
      <c r="A123" s="10" t="s">
        <v>8</v>
      </c>
      <c r="C123" s="12" t="s">
        <v>280</v>
      </c>
      <c r="D123" s="16">
        <f t="array" ref="D123">SUM(IF(Period=D$4,IF(Site=$B$113,data!$P$2:$P$1784)))</f>
        <v>0</v>
      </c>
      <c r="E123" s="16">
        <f t="array" ref="E123">SUM(IF(Period=E$4,IF(Site=$B$113,data!$P$2:$P$1784)))</f>
        <v>3</v>
      </c>
      <c r="F123" s="16">
        <f t="array" ref="F123">SUM(IF(Period=F$4,IF(Site=$B$113,data!$P$2:$P$1784)))</f>
        <v>1</v>
      </c>
      <c r="G123" s="16">
        <f t="array" ref="G123">SUM(IF(Period=G$4,IF(Site=$B$113,data!$P$2:$P$1784)))</f>
        <v>2</v>
      </c>
      <c r="H123" s="16">
        <f t="array" ref="H123">SUM(IF(Period=H$4,IF(Site=$B$113,data!$P$2:$P$1784)))</f>
        <v>0</v>
      </c>
      <c r="I123" s="16">
        <f t="array" ref="I123">SUM(IF(Period=I$4,IF(Site=$B$113,data!$P$2:$P$1784)))</f>
        <v>1</v>
      </c>
      <c r="J123" s="16">
        <f t="array" ref="J123">SUM(IF(Period=J$4,IF(Site=$B$113,data!$P$2:$P$1784)))</f>
        <v>1</v>
      </c>
      <c r="K123" s="16">
        <f t="array" ref="K123">SUM(IF(Period=K$4,IF(Site=$B$113,data!$P$2:$P$1784)))</f>
        <v>2</v>
      </c>
      <c r="L123" s="16">
        <f t="array" ref="L123">SUM(IF(Period=L$4,IF(Site=$B$113,data!$P$2:$P$1784)))</f>
        <v>1</v>
      </c>
      <c r="M123" s="16">
        <f t="array" ref="M123">SUM(IF(Period=M$4,IF(Site=$B$113,data!$P$2:$P$1784)))</f>
        <v>5</v>
      </c>
      <c r="N123" s="16">
        <f t="array" ref="N123">SUM(IF(Period=N$4,IF(Site=$B$113,data!$P$2:$P$1784)))</f>
        <v>2</v>
      </c>
      <c r="O123" s="16">
        <f t="array" ref="O123">SUM(IF(Period=O$4,IF(Site=$B$113,data!$P$2:$P$1784)))</f>
        <v>1</v>
      </c>
      <c r="Q123" s="16">
        <f t="shared" si="114"/>
        <v>4</v>
      </c>
      <c r="R123" s="16">
        <f t="shared" si="115"/>
        <v>3</v>
      </c>
      <c r="S123" s="16">
        <f t="shared" si="116"/>
        <v>4</v>
      </c>
      <c r="T123" s="16">
        <f t="shared" si="117"/>
        <v>8</v>
      </c>
    </row>
    <row r="124" spans="1:20" x14ac:dyDescent="0.25">
      <c r="A124" s="10" t="s">
        <v>9</v>
      </c>
      <c r="C124" s="12" t="s">
        <v>281</v>
      </c>
      <c r="D124" s="16">
        <f t="array" ref="D124">SUM(IF(Period=D$4,IF(Site=$B$113,data!$Q$2:$Q$1784)))</f>
        <v>1770</v>
      </c>
      <c r="E124" s="16">
        <f t="array" ref="E124">SUM(IF(Period=E$4,IF(Site=$B$113,data!$Q$2:$Q$1784)))</f>
        <v>1820</v>
      </c>
      <c r="F124" s="16">
        <f t="array" ref="F124">SUM(IF(Period=F$4,IF(Site=$B$113,data!$Q$2:$Q$1784)))</f>
        <v>1707</v>
      </c>
      <c r="G124" s="16">
        <f t="array" ref="G124">SUM(IF(Period=G$4,IF(Site=$B$113,data!$Q$2:$Q$1784)))</f>
        <v>1267</v>
      </c>
      <c r="H124" s="16">
        <f t="array" ref="H124">SUM(IF(Period=H$4,IF(Site=$B$113,data!$Q$2:$Q$1784)))</f>
        <v>1654</v>
      </c>
      <c r="I124" s="16">
        <f t="array" ref="I124">SUM(IF(Period=I$4,IF(Site=$B$113,data!$Q$2:$Q$1784)))</f>
        <v>1476</v>
      </c>
      <c r="J124" s="16">
        <f t="array" ref="J124">SUM(IF(Period=J$4,IF(Site=$B$113,data!$Q$2:$Q$1784)))</f>
        <v>1673</v>
      </c>
      <c r="K124" s="16">
        <f t="array" ref="K124">SUM(IF(Period=K$4,IF(Site=$B$113,data!$Q$2:$Q$1784)))</f>
        <v>1656</v>
      </c>
      <c r="L124" s="16">
        <f t="array" ref="L124">SUM(IF(Period=L$4,IF(Site=$B$113,data!$Q$2:$Q$1784)))</f>
        <v>1683</v>
      </c>
      <c r="M124" s="16">
        <f t="array" ref="M124">SUM(IF(Period=M$4,IF(Site=$B$113,data!$Q$2:$Q$1784)))</f>
        <v>1687</v>
      </c>
      <c r="N124" s="16">
        <f t="array" ref="N124">SUM(IF(Period=N$4,IF(Site=$B$113,data!$Q$2:$Q$1784)))</f>
        <v>1691</v>
      </c>
      <c r="O124" s="16">
        <f t="array" ref="O124">SUM(IF(Period=O$4,IF(Site=$B$113,data!$Q$2:$Q$1784)))</f>
        <v>1087</v>
      </c>
      <c r="Q124" s="16">
        <f t="shared" si="114"/>
        <v>5297</v>
      </c>
      <c r="R124" s="16">
        <f t="shared" si="115"/>
        <v>4397</v>
      </c>
      <c r="S124" s="16">
        <f t="shared" si="116"/>
        <v>5012</v>
      </c>
      <c r="T124" s="16">
        <f t="shared" si="117"/>
        <v>4465</v>
      </c>
    </row>
    <row r="125" spans="1:20" x14ac:dyDescent="0.25">
      <c r="A125" s="10" t="s">
        <v>10</v>
      </c>
      <c r="C125" s="12" t="s">
        <v>282</v>
      </c>
      <c r="D125" s="16">
        <f t="array" ref="D125">SUM(IF(Period=D$4,IF(Site=$B$113,data!$R$2:$R$1784)))</f>
        <v>30</v>
      </c>
      <c r="E125" s="16">
        <f t="array" ref="E125">SUM(IF(Period=E$4,IF(Site=$B$113,data!$R$2:$R$1784)))</f>
        <v>8</v>
      </c>
      <c r="F125" s="16">
        <f t="array" ref="F125">SUM(IF(Period=F$4,IF(Site=$B$113,data!$R$2:$R$1784)))</f>
        <v>9</v>
      </c>
      <c r="G125" s="16">
        <f t="array" ref="G125">SUM(IF(Period=G$4,IF(Site=$B$113,data!$R$2:$R$1784)))</f>
        <v>6</v>
      </c>
      <c r="H125" s="16">
        <f t="array" ref="H125">SUM(IF(Period=H$4,IF(Site=$B$113,data!$R$2:$R$1784)))</f>
        <v>12</v>
      </c>
      <c r="I125" s="16">
        <f t="array" ref="I125">SUM(IF(Period=I$4,IF(Site=$B$113,data!$R$2:$R$1784)))</f>
        <v>5</v>
      </c>
      <c r="J125" s="16">
        <f t="array" ref="J125">SUM(IF(Period=J$4,IF(Site=$B$113,data!$R$2:$R$1784)))</f>
        <v>4</v>
      </c>
      <c r="K125" s="16">
        <f t="array" ref="K125">SUM(IF(Period=K$4,IF(Site=$B$113,data!$R$2:$R$1784)))</f>
        <v>4</v>
      </c>
      <c r="L125" s="16">
        <f t="array" ref="L125">SUM(IF(Period=L$4,IF(Site=$B$113,data!$R$2:$R$1784)))</f>
        <v>1</v>
      </c>
      <c r="M125" s="16">
        <f t="array" ref="M125">SUM(IF(Period=M$4,IF(Site=$B$113,data!$R$2:$R$1784)))</f>
        <v>4</v>
      </c>
      <c r="N125" s="16">
        <f t="array" ref="N125">SUM(IF(Period=N$4,IF(Site=$B$113,data!$R$2:$R$1784)))</f>
        <v>4</v>
      </c>
      <c r="O125" s="16">
        <f t="array" ref="O125">SUM(IF(Period=O$4,IF(Site=$B$113,data!$R$2:$R$1784)))</f>
        <v>3</v>
      </c>
      <c r="Q125" s="16">
        <f t="shared" si="114"/>
        <v>47</v>
      </c>
      <c r="R125" s="16">
        <f t="shared" si="115"/>
        <v>23</v>
      </c>
      <c r="S125" s="16">
        <f t="shared" si="116"/>
        <v>9</v>
      </c>
      <c r="T125" s="16">
        <f t="shared" si="117"/>
        <v>11</v>
      </c>
    </row>
    <row r="126" spans="1:20" x14ac:dyDescent="0.25">
      <c r="A126" s="10" t="s">
        <v>11</v>
      </c>
      <c r="C126" s="12" t="s">
        <v>283</v>
      </c>
      <c r="D126" s="16">
        <f t="array" ref="D126">SUM(IF(Period=D$4,IF(Site=$B$113,data!$S$2:$S$1784)))</f>
        <v>0</v>
      </c>
      <c r="E126" s="16">
        <f t="array" ref="E126">SUM(IF(Period=E$4,IF(Site=$B$113,data!$S$2:$S$1784)))</f>
        <v>1069</v>
      </c>
      <c r="F126" s="16">
        <f t="array" ref="F126">SUM(IF(Period=F$4,IF(Site=$B$113,data!$S$2:$S$1784)))</f>
        <v>1116</v>
      </c>
      <c r="G126" s="16">
        <f t="array" ref="G126">SUM(IF(Period=G$4,IF(Site=$B$113,data!$S$2:$S$1784)))</f>
        <v>1023</v>
      </c>
      <c r="H126" s="16">
        <f t="array" ref="H126">SUM(IF(Period=H$4,IF(Site=$B$113,data!$S$2:$S$1784)))</f>
        <v>1044</v>
      </c>
      <c r="I126" s="16">
        <f t="array" ref="I126">SUM(IF(Period=I$4,IF(Site=$B$113,data!$S$2:$S$1784)))</f>
        <v>973</v>
      </c>
      <c r="J126" s="16">
        <f t="array" ref="J126">SUM(IF(Period=J$4,IF(Site=$B$113,data!$S$2:$S$1784)))</f>
        <v>1164</v>
      </c>
      <c r="K126" s="16">
        <f t="array" ref="K126">SUM(IF(Period=K$4,IF(Site=$B$113,data!$S$2:$S$1784)))</f>
        <v>1071</v>
      </c>
      <c r="L126" s="16">
        <f t="array" ref="L126">SUM(IF(Period=L$4,IF(Site=$B$113,data!$S$2:$S$1784)))</f>
        <v>1074</v>
      </c>
      <c r="M126" s="16">
        <f t="array" ref="M126">SUM(IF(Period=M$4,IF(Site=$B$113,data!$S$2:$S$1784)))</f>
        <v>1046</v>
      </c>
      <c r="N126" s="16">
        <f t="array" ref="N126">SUM(IF(Period=N$4,IF(Site=$B$113,data!$S$2:$S$1784)))</f>
        <v>936</v>
      </c>
      <c r="O126" s="16">
        <f t="array" ref="O126">SUM(IF(Period=O$4,IF(Site=$B$113,data!$S$2:$S$1784)))</f>
        <v>649</v>
      </c>
      <c r="Q126" s="16">
        <f t="shared" si="114"/>
        <v>2185</v>
      </c>
      <c r="R126" s="16">
        <f t="shared" si="115"/>
        <v>3040</v>
      </c>
      <c r="S126" s="16">
        <f t="shared" si="116"/>
        <v>3309</v>
      </c>
      <c r="T126" s="16">
        <f t="shared" si="117"/>
        <v>2631</v>
      </c>
    </row>
    <row r="127" spans="1:20" x14ac:dyDescent="0.25">
      <c r="A127" s="10" t="s">
        <v>13</v>
      </c>
      <c r="C127" s="12" t="s">
        <v>284</v>
      </c>
      <c r="D127" s="16">
        <f t="array" ref="D127">SUM(IF(Period=D$4,IF(Site=$B$113,data!$T$2:$T$1784)))</f>
        <v>0</v>
      </c>
      <c r="E127" s="16">
        <f t="array" ref="E127">SUM(IF(Period=E$4,IF(Site=$B$113,data!$T$2:$T$1784)))</f>
        <v>27</v>
      </c>
      <c r="F127" s="16">
        <f t="array" ref="F127">SUM(IF(Period=F$4,IF(Site=$B$113,data!$T$2:$T$1784)))</f>
        <v>22</v>
      </c>
      <c r="G127" s="16">
        <f t="array" ref="G127">SUM(IF(Period=G$4,IF(Site=$B$113,data!$T$2:$T$1784)))</f>
        <v>18</v>
      </c>
      <c r="H127" s="16">
        <f t="array" ref="H127">SUM(IF(Period=H$4,IF(Site=$B$113,data!$T$2:$T$1784)))</f>
        <v>6</v>
      </c>
      <c r="I127" s="16">
        <f t="array" ref="I127">SUM(IF(Period=I$4,IF(Site=$B$113,data!$T$2:$T$1784)))</f>
        <v>11</v>
      </c>
      <c r="J127" s="16">
        <f t="array" ref="J127">SUM(IF(Period=J$4,IF(Site=$B$113,data!$T$2:$T$1784)))</f>
        <v>3</v>
      </c>
      <c r="K127" s="16">
        <f t="array" ref="K127">SUM(IF(Period=K$4,IF(Site=$B$113,data!$T$2:$T$1784)))</f>
        <v>9</v>
      </c>
      <c r="L127" s="16">
        <f t="array" ref="L127">SUM(IF(Period=L$4,IF(Site=$B$113,data!$T$2:$T$1784)))</f>
        <v>9</v>
      </c>
      <c r="M127" s="16">
        <f t="array" ref="M127">SUM(IF(Period=M$4,IF(Site=$B$113,data!$T$2:$T$1784)))</f>
        <v>9</v>
      </c>
      <c r="N127" s="16">
        <f t="array" ref="N127">SUM(IF(Period=N$4,IF(Site=$B$113,data!$T$2:$T$1784)))</f>
        <v>6</v>
      </c>
      <c r="O127" s="16">
        <f t="array" ref="O127">SUM(IF(Period=O$4,IF(Site=$B$113,data!$T$2:$T$1784)))</f>
        <v>4</v>
      </c>
      <c r="Q127" s="16">
        <f t="shared" si="114"/>
        <v>49</v>
      </c>
      <c r="R127" s="16">
        <f t="shared" si="115"/>
        <v>35</v>
      </c>
      <c r="S127" s="16">
        <f t="shared" si="116"/>
        <v>21</v>
      </c>
      <c r="T127" s="16">
        <f t="shared" si="117"/>
        <v>19</v>
      </c>
    </row>
    <row r="128" spans="1:20" x14ac:dyDescent="0.25">
      <c r="A128" s="10" t="s">
        <v>14</v>
      </c>
      <c r="C128" s="14" t="s">
        <v>285</v>
      </c>
      <c r="D128" s="15">
        <f>IF(D120=0,0,(D121+D122+D124)/D120)</f>
        <v>0.98679577464788737</v>
      </c>
      <c r="E128" s="15">
        <f>IF(E120=0,0,(E121+E122+E124+E126+E127)/E120)</f>
        <v>0.99671249252839211</v>
      </c>
      <c r="F128" s="15">
        <f t="shared" ref="F128" si="118">IF(F120=0,0,(F121+F122+F124+F126+F127)/F120)</f>
        <v>0.99692023406221131</v>
      </c>
      <c r="G128" s="15">
        <f t="shared" ref="G128" si="119">IF(G120=0,0,(G121+G122+G124+G126+G127)/G120)</f>
        <v>0.99711295561169255</v>
      </c>
      <c r="H128" s="15">
        <f t="shared" ref="H128" si="120">IF(H120=0,0,(H121+H122+H124+H126+H127)/H120)</f>
        <v>0.99617346938775508</v>
      </c>
      <c r="I128" s="15">
        <f t="shared" ref="I128" si="121">IF(I120=0,0,(I121+I122+I124+I126+I127)/I120)</f>
        <v>0.99787760877255038</v>
      </c>
      <c r="J128" s="15">
        <f t="shared" ref="J128" si="122">IF(J120=0,0,(J121+J122+J124+J126+J127)/J120)</f>
        <v>0.99846484494933985</v>
      </c>
      <c r="K128" s="15">
        <f t="shared" ref="K128" si="123">IF(K120=0,0,(K121+K122+K124+K126+K127)/K120)</f>
        <v>0.99808734459674853</v>
      </c>
      <c r="L128" s="15">
        <f t="shared" ref="L128" si="124">IF(L120=0,0,(L121+L122+L124+L126+L127)/L120)</f>
        <v>0.99938003719776813</v>
      </c>
      <c r="M128" s="15">
        <f t="shared" ref="M128" si="125">IF(M120=0,0,(M121+M122+M124+M126+M127)/M120)</f>
        <v>0.99711260827718962</v>
      </c>
      <c r="N128" s="15">
        <f t="shared" ref="N128" si="126">IF(N120=0,0,(N121+N122+N124+N126+N127)/N120)</f>
        <v>0.99797365754812561</v>
      </c>
      <c r="O128" s="15">
        <f t="shared" ref="O128" si="127">IF(O120=0,0,(O121+O122+O124+O126+O127)/O120)</f>
        <v>0.99796334012219956</v>
      </c>
      <c r="P128" s="17"/>
      <c r="Q128" s="15">
        <f t="shared" ref="Q128" si="128">IF(Q120=0,0,(Q121+Q122+Q124+Q126+Q127)/Q120)</f>
        <v>0.99424703891708965</v>
      </c>
      <c r="R128" s="15">
        <f t="shared" ref="R128" si="129">IF(R120=0,0,(R121+R122+R124+R126+R127)/R120)</f>
        <v>0.99702312800549575</v>
      </c>
      <c r="S128" s="15">
        <f t="shared" ref="S128" si="130">IF(S120=0,0,(S121+S122+S124+S126+S127)/S120)</f>
        <v>0.99864864864864866</v>
      </c>
      <c r="T128" s="15">
        <f t="shared" ref="T128" si="131">IF(T120=0,0,(T121+T122+T124+T126+T127)/T120)</f>
        <v>0.99763740363093756</v>
      </c>
    </row>
    <row r="129" spans="1:20" x14ac:dyDescent="0.25">
      <c r="A129" s="10" t="s">
        <v>15</v>
      </c>
      <c r="C129" s="14" t="s">
        <v>286</v>
      </c>
      <c r="D129" s="15">
        <f>IF(AND(D114=0,D120=0),0,(SUM(D115:D117)+D121+D122+D124+D126+D127)/(D114+D120))</f>
        <v>0.98751040799333889</v>
      </c>
      <c r="E129" s="15">
        <f t="shared" ref="E129:O129" si="132">IF(AND(E114=0,E120=0),0,(SUM(E115:E117)+E121+E122+E124+E126+E127)/(E114+E120))</f>
        <v>0.99630156472261733</v>
      </c>
      <c r="F129" s="15">
        <f t="shared" si="132"/>
        <v>0.99677608440797183</v>
      </c>
      <c r="G129" s="15">
        <f t="shared" si="132"/>
        <v>0.99723279142165344</v>
      </c>
      <c r="H129" s="15">
        <f t="shared" si="132"/>
        <v>0.99639747823476432</v>
      </c>
      <c r="I129" s="15">
        <f t="shared" si="132"/>
        <v>0.99765021819402488</v>
      </c>
      <c r="J129" s="15">
        <f t="shared" si="132"/>
        <v>0.99825986078886308</v>
      </c>
      <c r="K129" s="15">
        <f t="shared" si="132"/>
        <v>0.99787814489239168</v>
      </c>
      <c r="L129" s="15">
        <f t="shared" si="132"/>
        <v>0.99910952804986641</v>
      </c>
      <c r="M129" s="15">
        <f t="shared" si="132"/>
        <v>0.99662886913882931</v>
      </c>
      <c r="N129" s="15">
        <f t="shared" si="132"/>
        <v>0.99741602067183466</v>
      </c>
      <c r="O129" s="15">
        <f t="shared" si="132"/>
        <v>0.99755740107474355</v>
      </c>
      <c r="P129" s="17"/>
      <c r="Q129" s="15">
        <f t="shared" ref="Q129:T129" si="133">IF(AND(Q114=0,Q120=0),0,(SUM(Q115:Q117)+Q121+Q122+Q124+Q126+Q127)/(Q114+Q120))</f>
        <v>0.99421159824204097</v>
      </c>
      <c r="R129" s="15">
        <f t="shared" si="133"/>
        <v>0.99706553635474404</v>
      </c>
      <c r="S129" s="15">
        <f t="shared" si="133"/>
        <v>0.99841834717279554</v>
      </c>
      <c r="T129" s="15">
        <f t="shared" si="133"/>
        <v>0.99714489650249827</v>
      </c>
    </row>
    <row r="130" spans="1:20" x14ac:dyDescent="0.25">
      <c r="A130" s="10"/>
    </row>
    <row r="131" spans="1:20" ht="18.75" x14ac:dyDescent="0.3">
      <c r="A131" s="10"/>
      <c r="B131" s="13" t="s">
        <v>324</v>
      </c>
    </row>
    <row r="132" spans="1:20" x14ac:dyDescent="0.25">
      <c r="A132" s="10" t="s">
        <v>5</v>
      </c>
      <c r="C132" s="12" t="s">
        <v>272</v>
      </c>
      <c r="D132" s="16">
        <f>D6+D24+D42+D60+D78+D96+D114</f>
        <v>1177</v>
      </c>
      <c r="E132" s="16">
        <f t="shared" ref="E132:O132" si="134">E6+E24+E42+E60+E78+E96+E114</f>
        <v>1520</v>
      </c>
      <c r="F132" s="16">
        <f t="shared" si="134"/>
        <v>1642</v>
      </c>
      <c r="G132" s="16">
        <f t="shared" si="134"/>
        <v>1491</v>
      </c>
      <c r="H132" s="16">
        <f t="shared" si="134"/>
        <v>1764</v>
      </c>
      <c r="I132" s="16">
        <f t="shared" si="134"/>
        <v>1542</v>
      </c>
      <c r="J132" s="16">
        <f t="shared" si="134"/>
        <v>1755</v>
      </c>
      <c r="K132" s="16">
        <f t="shared" si="134"/>
        <v>1647</v>
      </c>
      <c r="L132" s="16">
        <f t="shared" si="134"/>
        <v>1475</v>
      </c>
      <c r="M132" s="16">
        <f t="shared" si="134"/>
        <v>1632</v>
      </c>
      <c r="N132" s="16">
        <f t="shared" si="134"/>
        <v>1285</v>
      </c>
      <c r="O132" s="16">
        <f t="shared" si="134"/>
        <v>855</v>
      </c>
      <c r="Q132" s="16">
        <f>SUM(D132:F132)</f>
        <v>4339</v>
      </c>
      <c r="R132" s="16">
        <f>SUM(G132:I132)</f>
        <v>4797</v>
      </c>
      <c r="S132" s="16">
        <f>SUM(J132:L132)</f>
        <v>4877</v>
      </c>
      <c r="T132" s="16">
        <f>SUM(M132:O132)</f>
        <v>3772</v>
      </c>
    </row>
    <row r="133" spans="1:20" x14ac:dyDescent="0.25">
      <c r="A133" s="10" t="s">
        <v>0</v>
      </c>
      <c r="C133" s="12" t="s">
        <v>0</v>
      </c>
      <c r="D133" s="16">
        <f t="shared" ref="D133:O133" si="135">D7+D25+D43+D61+D79+D97+D115</f>
        <v>1175</v>
      </c>
      <c r="E133" s="16">
        <f t="shared" si="135"/>
        <v>1502</v>
      </c>
      <c r="F133" s="16">
        <f t="shared" si="135"/>
        <v>1638</v>
      </c>
      <c r="G133" s="16">
        <f t="shared" si="135"/>
        <v>1487</v>
      </c>
      <c r="H133" s="16">
        <f t="shared" si="135"/>
        <v>1753</v>
      </c>
      <c r="I133" s="16">
        <f t="shared" si="135"/>
        <v>1532</v>
      </c>
      <c r="J133" s="16">
        <f t="shared" si="135"/>
        <v>1749</v>
      </c>
      <c r="K133" s="16">
        <f t="shared" si="135"/>
        <v>1640</v>
      </c>
      <c r="L133" s="16">
        <f t="shared" si="135"/>
        <v>1468</v>
      </c>
      <c r="M133" s="16">
        <f t="shared" si="135"/>
        <v>1623</v>
      </c>
      <c r="N133" s="16">
        <f t="shared" si="135"/>
        <v>1275</v>
      </c>
      <c r="O133" s="16">
        <f t="shared" si="135"/>
        <v>853</v>
      </c>
      <c r="Q133" s="16">
        <f>SUM(D133:F133)</f>
        <v>4315</v>
      </c>
      <c r="R133" s="16">
        <f>SUM(G133:I133)</f>
        <v>4772</v>
      </c>
      <c r="S133" s="16">
        <f>SUM(J133:L133)</f>
        <v>4857</v>
      </c>
      <c r="T133" s="16">
        <f>SUM(M133:O133)</f>
        <v>3751</v>
      </c>
    </row>
    <row r="134" spans="1:20" x14ac:dyDescent="0.25">
      <c r="A134" s="10" t="s">
        <v>2</v>
      </c>
      <c r="C134" s="12" t="s">
        <v>273</v>
      </c>
      <c r="D134" s="16">
        <f t="shared" ref="D134:O134" si="136">D8+D26+D44+D62+D80+D98+D116</f>
        <v>0</v>
      </c>
      <c r="E134" s="16">
        <f t="shared" si="136"/>
        <v>11</v>
      </c>
      <c r="F134" s="16">
        <f t="shared" si="136"/>
        <v>0</v>
      </c>
      <c r="G134" s="16">
        <f t="shared" si="136"/>
        <v>0</v>
      </c>
      <c r="H134" s="16">
        <f t="shared" si="136"/>
        <v>3</v>
      </c>
      <c r="I134" s="16">
        <f t="shared" si="136"/>
        <v>0</v>
      </c>
      <c r="J134" s="16">
        <f t="shared" si="136"/>
        <v>0</v>
      </c>
      <c r="K134" s="16">
        <f t="shared" si="136"/>
        <v>3</v>
      </c>
      <c r="L134" s="16">
        <f t="shared" si="136"/>
        <v>0</v>
      </c>
      <c r="M134" s="16">
        <f t="shared" si="136"/>
        <v>0</v>
      </c>
      <c r="N134" s="16">
        <f t="shared" si="136"/>
        <v>1</v>
      </c>
      <c r="O134" s="16">
        <f t="shared" si="136"/>
        <v>0</v>
      </c>
      <c r="Q134" s="16">
        <f>SUM(D134:F134)</f>
        <v>11</v>
      </c>
      <c r="R134" s="16">
        <f>SUM(G134:I134)</f>
        <v>3</v>
      </c>
      <c r="S134" s="16">
        <f>SUM(J134:L134)</f>
        <v>3</v>
      </c>
      <c r="T134" s="16">
        <f>SUM(M134:O134)</f>
        <v>1</v>
      </c>
    </row>
    <row r="135" spans="1:20" x14ac:dyDescent="0.25">
      <c r="A135" s="10" t="s">
        <v>3</v>
      </c>
      <c r="C135" s="12" t="s">
        <v>274</v>
      </c>
      <c r="D135" s="16">
        <f t="shared" ref="D135:O135" si="137">D9+D27+D45+D63+D81+D99+D117</f>
        <v>0</v>
      </c>
      <c r="E135" s="16">
        <f t="shared" si="137"/>
        <v>1</v>
      </c>
      <c r="F135" s="16">
        <f t="shared" si="137"/>
        <v>0</v>
      </c>
      <c r="G135" s="16">
        <f t="shared" si="137"/>
        <v>2</v>
      </c>
      <c r="H135" s="16">
        <f t="shared" si="137"/>
        <v>1</v>
      </c>
      <c r="I135" s="16">
        <f t="shared" si="137"/>
        <v>1</v>
      </c>
      <c r="J135" s="16">
        <f t="shared" si="137"/>
        <v>0</v>
      </c>
      <c r="K135" s="16">
        <f t="shared" si="137"/>
        <v>1</v>
      </c>
      <c r="L135" s="16">
        <f t="shared" si="137"/>
        <v>1</v>
      </c>
      <c r="M135" s="16">
        <f t="shared" si="137"/>
        <v>0</v>
      </c>
      <c r="N135" s="16">
        <f t="shared" si="137"/>
        <v>0</v>
      </c>
      <c r="O135" s="16">
        <f t="shared" si="137"/>
        <v>0</v>
      </c>
      <c r="Q135" s="16">
        <f>SUM(D135:F135)</f>
        <v>1</v>
      </c>
      <c r="R135" s="16">
        <f>SUM(G135:I135)</f>
        <v>4</v>
      </c>
      <c r="S135" s="16">
        <f>SUM(J135:L135)</f>
        <v>2</v>
      </c>
      <c r="T135" s="16">
        <f>SUM(M135:O135)</f>
        <v>0</v>
      </c>
    </row>
    <row r="136" spans="1:20" x14ac:dyDescent="0.25">
      <c r="A136" s="10" t="s">
        <v>4</v>
      </c>
      <c r="C136" s="12" t="s">
        <v>275</v>
      </c>
      <c r="D136" s="16">
        <f t="shared" ref="D136:O136" si="138">D10+D28+D46+D64+D82+D100+D118</f>
        <v>2</v>
      </c>
      <c r="E136" s="16">
        <f t="shared" si="138"/>
        <v>6</v>
      </c>
      <c r="F136" s="16">
        <f t="shared" si="138"/>
        <v>4</v>
      </c>
      <c r="G136" s="16">
        <f t="shared" si="138"/>
        <v>2</v>
      </c>
      <c r="H136" s="16">
        <f t="shared" si="138"/>
        <v>7</v>
      </c>
      <c r="I136" s="16">
        <f t="shared" si="138"/>
        <v>10</v>
      </c>
      <c r="J136" s="16">
        <f t="shared" si="138"/>
        <v>6</v>
      </c>
      <c r="K136" s="16">
        <f t="shared" si="138"/>
        <v>3</v>
      </c>
      <c r="L136" s="16">
        <f t="shared" si="138"/>
        <v>6</v>
      </c>
      <c r="M136" s="16">
        <f t="shared" si="138"/>
        <v>9</v>
      </c>
      <c r="N136" s="16">
        <f t="shared" si="138"/>
        <v>9</v>
      </c>
      <c r="O136" s="16">
        <f t="shared" si="138"/>
        <v>2</v>
      </c>
      <c r="Q136" s="16">
        <f>SUM(D136:F136)</f>
        <v>12</v>
      </c>
      <c r="R136" s="16">
        <f>SUM(G136:I136)</f>
        <v>19</v>
      </c>
      <c r="S136" s="16">
        <f>SUM(J136:L136)</f>
        <v>15</v>
      </c>
      <c r="T136" s="16">
        <f>SUM(M136:O136)</f>
        <v>20</v>
      </c>
    </row>
    <row r="137" spans="1:20" x14ac:dyDescent="0.25">
      <c r="A137" s="10" t="s">
        <v>6</v>
      </c>
      <c r="C137" s="14" t="s">
        <v>276</v>
      </c>
      <c r="D137" s="15">
        <f>IF(D132=0,0,SUM(D133:D135)/D132)</f>
        <v>0.99830076465590489</v>
      </c>
      <c r="E137" s="15">
        <f t="shared" ref="E137:O137" si="139">IF(E132=0,0,SUM(E133:E135)/E132)</f>
        <v>0.99605263157894741</v>
      </c>
      <c r="F137" s="15">
        <f t="shared" si="139"/>
        <v>0.997563946406821</v>
      </c>
      <c r="G137" s="15">
        <f t="shared" si="139"/>
        <v>0.99865861837692826</v>
      </c>
      <c r="H137" s="15">
        <f t="shared" si="139"/>
        <v>0.99603174603174605</v>
      </c>
      <c r="I137" s="15">
        <f t="shared" si="139"/>
        <v>0.99416342412451364</v>
      </c>
      <c r="J137" s="15">
        <f t="shared" si="139"/>
        <v>0.99658119658119659</v>
      </c>
      <c r="K137" s="15">
        <f t="shared" si="139"/>
        <v>0.99817850637522765</v>
      </c>
      <c r="L137" s="15">
        <f t="shared" si="139"/>
        <v>0.99593220338983046</v>
      </c>
      <c r="M137" s="15">
        <f t="shared" si="139"/>
        <v>0.99448529411764708</v>
      </c>
      <c r="N137" s="15">
        <f t="shared" si="139"/>
        <v>0.99299610894941637</v>
      </c>
      <c r="O137" s="15">
        <f t="shared" si="139"/>
        <v>0.99766081871345025</v>
      </c>
      <c r="P137" s="17"/>
      <c r="Q137" s="15">
        <f t="shared" ref="Q137:T137" si="140">IF(Q132=0,0,SUM(Q133:Q135)/Q132)</f>
        <v>0.99723438580318047</v>
      </c>
      <c r="R137" s="15">
        <f t="shared" si="140"/>
        <v>0.99624765478424016</v>
      </c>
      <c r="S137" s="15">
        <f t="shared" si="140"/>
        <v>0.9969243387328276</v>
      </c>
      <c r="T137" s="15">
        <f t="shared" si="140"/>
        <v>0.99469777306468721</v>
      </c>
    </row>
    <row r="138" spans="1:20" x14ac:dyDescent="0.25">
      <c r="A138" s="10" t="s">
        <v>7</v>
      </c>
      <c r="C138" s="12" t="s">
        <v>277</v>
      </c>
      <c r="D138" s="16">
        <f t="shared" ref="D138:D145" si="141">D12+D30+D48+D66+D84+D102+D120</f>
        <v>16623</v>
      </c>
      <c r="E138" s="16">
        <f t="shared" ref="E138:O145" si="142">E12+E30+E48+E66+E84+E102+E120</f>
        <v>26358</v>
      </c>
      <c r="F138" s="16">
        <f t="shared" si="142"/>
        <v>27667</v>
      </c>
      <c r="G138" s="16">
        <f t="shared" si="142"/>
        <v>25843</v>
      </c>
      <c r="H138" s="16">
        <f t="shared" si="142"/>
        <v>27011</v>
      </c>
      <c r="I138" s="16">
        <f t="shared" si="142"/>
        <v>24278</v>
      </c>
      <c r="J138" s="16">
        <f t="shared" si="142"/>
        <v>26685</v>
      </c>
      <c r="K138" s="16">
        <f t="shared" si="142"/>
        <v>25923</v>
      </c>
      <c r="L138" s="16">
        <f t="shared" si="142"/>
        <v>25308</v>
      </c>
      <c r="M138" s="16">
        <f t="shared" si="142"/>
        <v>25466</v>
      </c>
      <c r="N138" s="16">
        <f t="shared" si="142"/>
        <v>21478</v>
      </c>
      <c r="O138" s="16">
        <f t="shared" si="142"/>
        <v>15510</v>
      </c>
      <c r="Q138" s="16">
        <f t="shared" ref="Q138:Q145" si="143">SUM(D138:F138)</f>
        <v>70648</v>
      </c>
      <c r="R138" s="16">
        <f t="shared" ref="R138:R145" si="144">SUM(G138:I138)</f>
        <v>77132</v>
      </c>
      <c r="S138" s="16">
        <f t="shared" ref="S138:S145" si="145">SUM(J138:L138)</f>
        <v>77916</v>
      </c>
      <c r="T138" s="16">
        <f t="shared" ref="T138:T145" si="146">SUM(M138:O138)</f>
        <v>62454</v>
      </c>
    </row>
    <row r="139" spans="1:20" x14ac:dyDescent="0.25">
      <c r="A139" s="10" t="s">
        <v>61</v>
      </c>
      <c r="C139" s="12" t="s">
        <v>278</v>
      </c>
      <c r="D139" s="16">
        <f t="shared" si="141"/>
        <v>4196</v>
      </c>
      <c r="E139" s="16">
        <f t="shared" si="142"/>
        <v>4659</v>
      </c>
      <c r="F139" s="16">
        <f t="shared" si="142"/>
        <v>4835</v>
      </c>
      <c r="G139" s="16">
        <f t="shared" si="142"/>
        <v>5243</v>
      </c>
      <c r="H139" s="16">
        <f t="shared" si="142"/>
        <v>4802</v>
      </c>
      <c r="I139" s="16">
        <f t="shared" si="142"/>
        <v>3903</v>
      </c>
      <c r="J139" s="16">
        <f t="shared" si="142"/>
        <v>4208</v>
      </c>
      <c r="K139" s="16">
        <f t="shared" si="142"/>
        <v>4069</v>
      </c>
      <c r="L139" s="16">
        <f t="shared" si="142"/>
        <v>4128</v>
      </c>
      <c r="M139" s="16">
        <f t="shared" si="142"/>
        <v>4093</v>
      </c>
      <c r="N139" s="16">
        <f t="shared" si="142"/>
        <v>3519</v>
      </c>
      <c r="O139" s="16">
        <f t="shared" si="142"/>
        <v>2286</v>
      </c>
      <c r="Q139" s="16">
        <f t="shared" si="143"/>
        <v>13690</v>
      </c>
      <c r="R139" s="16">
        <f t="shared" si="144"/>
        <v>13948</v>
      </c>
      <c r="S139" s="16">
        <f t="shared" si="145"/>
        <v>12405</v>
      </c>
      <c r="T139" s="16">
        <f t="shared" si="146"/>
        <v>9898</v>
      </c>
    </row>
    <row r="140" spans="1:20" x14ac:dyDescent="0.25">
      <c r="A140" s="10" t="s">
        <v>12</v>
      </c>
      <c r="C140" s="12" t="s">
        <v>279</v>
      </c>
      <c r="D140" s="16">
        <f t="shared" si="141"/>
        <v>1421</v>
      </c>
      <c r="E140" s="16">
        <f t="shared" si="142"/>
        <v>0</v>
      </c>
      <c r="F140" s="16">
        <f t="shared" si="142"/>
        <v>0</v>
      </c>
      <c r="G140" s="16">
        <f t="shared" si="142"/>
        <v>0</v>
      </c>
      <c r="H140" s="16">
        <f t="shared" si="142"/>
        <v>0</v>
      </c>
      <c r="I140" s="16">
        <f t="shared" si="142"/>
        <v>1</v>
      </c>
      <c r="J140" s="16">
        <f t="shared" si="142"/>
        <v>0</v>
      </c>
      <c r="K140" s="16">
        <f t="shared" si="142"/>
        <v>0</v>
      </c>
      <c r="L140" s="16">
        <f t="shared" si="142"/>
        <v>0</v>
      </c>
      <c r="M140" s="16">
        <f t="shared" si="142"/>
        <v>0</v>
      </c>
      <c r="N140" s="16">
        <f t="shared" si="142"/>
        <v>0</v>
      </c>
      <c r="O140" s="16">
        <f t="shared" si="142"/>
        <v>0</v>
      </c>
      <c r="Q140" s="16">
        <f t="shared" si="143"/>
        <v>1421</v>
      </c>
      <c r="R140" s="16">
        <f t="shared" si="144"/>
        <v>1</v>
      </c>
      <c r="S140" s="16">
        <f t="shared" si="145"/>
        <v>0</v>
      </c>
      <c r="T140" s="16">
        <f t="shared" si="146"/>
        <v>0</v>
      </c>
    </row>
    <row r="141" spans="1:20" x14ac:dyDescent="0.25">
      <c r="A141" s="10" t="s">
        <v>8</v>
      </c>
      <c r="C141" s="12" t="s">
        <v>280</v>
      </c>
      <c r="D141" s="16">
        <f t="shared" si="141"/>
        <v>18</v>
      </c>
      <c r="E141" s="16">
        <f t="shared" si="142"/>
        <v>28</v>
      </c>
      <c r="F141" s="16">
        <f t="shared" si="142"/>
        <v>22</v>
      </c>
      <c r="G141" s="16">
        <f t="shared" si="142"/>
        <v>22</v>
      </c>
      <c r="H141" s="16">
        <f t="shared" si="142"/>
        <v>62</v>
      </c>
      <c r="I141" s="16">
        <f t="shared" si="142"/>
        <v>2353</v>
      </c>
      <c r="J141" s="16">
        <f t="shared" si="142"/>
        <v>34</v>
      </c>
      <c r="K141" s="16">
        <f t="shared" si="142"/>
        <v>24</v>
      </c>
      <c r="L141" s="16">
        <f t="shared" si="142"/>
        <v>19</v>
      </c>
      <c r="M141" s="16">
        <f t="shared" si="142"/>
        <v>35</v>
      </c>
      <c r="N141" s="16">
        <f t="shared" si="142"/>
        <v>33</v>
      </c>
      <c r="O141" s="16">
        <f t="shared" si="142"/>
        <v>224</v>
      </c>
      <c r="Q141" s="16">
        <f t="shared" si="143"/>
        <v>68</v>
      </c>
      <c r="R141" s="16">
        <f t="shared" si="144"/>
        <v>2437</v>
      </c>
      <c r="S141" s="16">
        <f t="shared" si="145"/>
        <v>77</v>
      </c>
      <c r="T141" s="16">
        <f t="shared" si="146"/>
        <v>292</v>
      </c>
    </row>
    <row r="142" spans="1:20" x14ac:dyDescent="0.25">
      <c r="A142" s="10" t="s">
        <v>9</v>
      </c>
      <c r="C142" s="12" t="s">
        <v>281</v>
      </c>
      <c r="D142" s="16">
        <f t="shared" si="141"/>
        <v>10828</v>
      </c>
      <c r="E142" s="16">
        <f t="shared" si="142"/>
        <v>11698</v>
      </c>
      <c r="F142" s="16">
        <f t="shared" si="142"/>
        <v>11467</v>
      </c>
      <c r="G142" s="16">
        <f t="shared" si="142"/>
        <v>10521</v>
      </c>
      <c r="H142" s="16">
        <f t="shared" si="142"/>
        <v>12121</v>
      </c>
      <c r="I142" s="16">
        <f t="shared" si="142"/>
        <v>8853</v>
      </c>
      <c r="J142" s="16">
        <f t="shared" si="142"/>
        <v>12251</v>
      </c>
      <c r="K142" s="16">
        <f t="shared" si="142"/>
        <v>12061</v>
      </c>
      <c r="L142" s="16">
        <f t="shared" si="142"/>
        <v>11493</v>
      </c>
      <c r="M142" s="16">
        <f t="shared" si="142"/>
        <v>11648</v>
      </c>
      <c r="N142" s="16">
        <f t="shared" si="142"/>
        <v>9856</v>
      </c>
      <c r="O142" s="16">
        <f t="shared" si="142"/>
        <v>6539</v>
      </c>
      <c r="Q142" s="16">
        <f t="shared" si="143"/>
        <v>33993</v>
      </c>
      <c r="R142" s="16">
        <f t="shared" si="144"/>
        <v>31495</v>
      </c>
      <c r="S142" s="16">
        <f t="shared" si="145"/>
        <v>35805</v>
      </c>
      <c r="T142" s="16">
        <f t="shared" si="146"/>
        <v>28043</v>
      </c>
    </row>
    <row r="143" spans="1:20" x14ac:dyDescent="0.25">
      <c r="A143" s="10" t="s">
        <v>10</v>
      </c>
      <c r="C143" s="12" t="s">
        <v>282</v>
      </c>
      <c r="D143" s="16">
        <f t="shared" si="141"/>
        <v>161</v>
      </c>
      <c r="E143" s="16">
        <f t="shared" si="142"/>
        <v>97</v>
      </c>
      <c r="F143" s="16">
        <f t="shared" si="142"/>
        <v>99</v>
      </c>
      <c r="G143" s="16">
        <f t="shared" si="142"/>
        <v>134</v>
      </c>
      <c r="H143" s="16">
        <f t="shared" si="142"/>
        <v>99</v>
      </c>
      <c r="I143" s="16">
        <f t="shared" si="142"/>
        <v>1909</v>
      </c>
      <c r="J143" s="16">
        <f t="shared" si="142"/>
        <v>94</v>
      </c>
      <c r="K143" s="16">
        <f t="shared" si="142"/>
        <v>75</v>
      </c>
      <c r="L143" s="16">
        <f t="shared" si="142"/>
        <v>76</v>
      </c>
      <c r="M143" s="16">
        <f t="shared" si="142"/>
        <v>35</v>
      </c>
      <c r="N143" s="16">
        <f t="shared" si="142"/>
        <v>67</v>
      </c>
      <c r="O143" s="16">
        <f t="shared" si="142"/>
        <v>723</v>
      </c>
      <c r="Q143" s="16">
        <f t="shared" si="143"/>
        <v>357</v>
      </c>
      <c r="R143" s="16">
        <f t="shared" si="144"/>
        <v>2142</v>
      </c>
      <c r="S143" s="16">
        <f t="shared" si="145"/>
        <v>245</v>
      </c>
      <c r="T143" s="16">
        <f t="shared" si="146"/>
        <v>825</v>
      </c>
    </row>
    <row r="144" spans="1:20" x14ac:dyDescent="0.25">
      <c r="A144" s="10" t="s">
        <v>11</v>
      </c>
      <c r="C144" s="12" t="s">
        <v>283</v>
      </c>
      <c r="D144" s="16">
        <f t="shared" si="141"/>
        <v>0</v>
      </c>
      <c r="E144" s="16">
        <f t="shared" si="142"/>
        <v>9641</v>
      </c>
      <c r="F144" s="16">
        <f t="shared" si="142"/>
        <v>11043</v>
      </c>
      <c r="G144" s="16">
        <f t="shared" si="142"/>
        <v>9746</v>
      </c>
      <c r="H144" s="16">
        <f t="shared" si="142"/>
        <v>9791</v>
      </c>
      <c r="I144" s="16">
        <f t="shared" si="142"/>
        <v>7209</v>
      </c>
      <c r="J144" s="16">
        <f t="shared" si="142"/>
        <v>10013</v>
      </c>
      <c r="K144" s="16">
        <f t="shared" si="142"/>
        <v>9624</v>
      </c>
      <c r="L144" s="16">
        <f t="shared" si="142"/>
        <v>9498</v>
      </c>
      <c r="M144" s="16">
        <f t="shared" si="142"/>
        <v>9576</v>
      </c>
      <c r="N144" s="16">
        <f t="shared" si="142"/>
        <v>7922</v>
      </c>
      <c r="O144" s="16">
        <f t="shared" si="142"/>
        <v>5189</v>
      </c>
      <c r="Q144" s="16">
        <f t="shared" si="143"/>
        <v>20684</v>
      </c>
      <c r="R144" s="16">
        <f t="shared" si="144"/>
        <v>26746</v>
      </c>
      <c r="S144" s="16">
        <f t="shared" si="145"/>
        <v>29135</v>
      </c>
      <c r="T144" s="16">
        <f t="shared" si="146"/>
        <v>22687</v>
      </c>
    </row>
    <row r="145" spans="1:20" x14ac:dyDescent="0.25">
      <c r="A145" s="10" t="s">
        <v>13</v>
      </c>
      <c r="C145" s="12" t="s">
        <v>284</v>
      </c>
      <c r="D145" s="16">
        <f t="shared" si="141"/>
        <v>0</v>
      </c>
      <c r="E145" s="16">
        <f t="shared" si="142"/>
        <v>235</v>
      </c>
      <c r="F145" s="16">
        <f t="shared" si="142"/>
        <v>201</v>
      </c>
      <c r="G145" s="16">
        <f t="shared" si="142"/>
        <v>177</v>
      </c>
      <c r="H145" s="16">
        <f t="shared" si="142"/>
        <v>136</v>
      </c>
      <c r="I145" s="16">
        <f t="shared" si="142"/>
        <v>77.753831035597443</v>
      </c>
      <c r="J145" s="16">
        <f t="shared" si="142"/>
        <v>85</v>
      </c>
      <c r="K145" s="16">
        <f t="shared" si="142"/>
        <v>70</v>
      </c>
      <c r="L145" s="16">
        <f t="shared" si="142"/>
        <v>94</v>
      </c>
      <c r="M145" s="16">
        <f t="shared" si="142"/>
        <v>79</v>
      </c>
      <c r="N145" s="16">
        <f t="shared" si="142"/>
        <v>81</v>
      </c>
      <c r="O145" s="16">
        <f t="shared" si="142"/>
        <v>756</v>
      </c>
      <c r="Q145" s="16">
        <f t="shared" si="143"/>
        <v>436</v>
      </c>
      <c r="R145" s="16">
        <f t="shared" si="144"/>
        <v>390.75383103559744</v>
      </c>
      <c r="S145" s="16">
        <f t="shared" si="145"/>
        <v>249</v>
      </c>
      <c r="T145" s="16">
        <f t="shared" si="146"/>
        <v>916</v>
      </c>
    </row>
    <row r="146" spans="1:20" x14ac:dyDescent="0.25">
      <c r="A146" s="10" t="s">
        <v>14</v>
      </c>
      <c r="C146" s="14" t="s">
        <v>285</v>
      </c>
      <c r="D146" s="15">
        <f>IF(D138=0,0,(D139+D140+D142)/D138)</f>
        <v>0.98929194489562655</v>
      </c>
      <c r="E146" s="15">
        <f>IF(E138=0,0,(E139+E140+E142+E144+E145)/E138)</f>
        <v>0.9952576067986949</v>
      </c>
      <c r="F146" s="15">
        <f t="shared" ref="F146" si="147">IF(F138=0,0,(F139+F140+F142+F144+F145)/F138)</f>
        <v>0.99562655871616002</v>
      </c>
      <c r="G146" s="15">
        <f t="shared" ref="G146" si="148">IF(G138=0,0,(G139+G140+G142+G144+G145)/G138)</f>
        <v>0.99396354912355378</v>
      </c>
      <c r="H146" s="15">
        <f t="shared" ref="H146" si="149">IF(H138=0,0,(H139+H140+H142+H144+H145)/H138)</f>
        <v>0.99403946540298393</v>
      </c>
      <c r="I146" s="15">
        <f t="shared" ref="I146" si="150">IF(I138=0,0,(I139+I140+I142+I144+I145)/I138)</f>
        <v>0.8255932873809867</v>
      </c>
      <c r="J146" s="15">
        <f t="shared" ref="J146" si="151">IF(J138=0,0,(J139+J140+J142+J144+J145)/J138)</f>
        <v>0.99520329773280869</v>
      </c>
      <c r="K146" s="15">
        <f t="shared" ref="K146" si="152">IF(K138=0,0,(K139+K140+K142+K144+K145)/K138)</f>
        <v>0.99618099756972578</v>
      </c>
      <c r="L146" s="15">
        <f t="shared" ref="L146" si="153">IF(L138=0,0,(L139+L140+L142+L144+L145)/L138)</f>
        <v>0.99624624624624625</v>
      </c>
      <c r="M146" s="15">
        <f t="shared" ref="M146" si="154">IF(M138=0,0,(M139+M140+M142+M144+M145)/M138)</f>
        <v>0.99725123694337547</v>
      </c>
      <c r="N146" s="15">
        <f t="shared" ref="N146" si="155">IF(N138=0,0,(N139+N140+N142+N144+N145)/N138)</f>
        <v>0.99534407300493533</v>
      </c>
      <c r="O146" s="15">
        <f t="shared" ref="O146" si="156">IF(O138=0,0,(O139+O140+O142+O144+O145)/O138)</f>
        <v>0.95228884590586715</v>
      </c>
      <c r="P146" s="17"/>
      <c r="Q146" s="15">
        <f t="shared" ref="Q146" si="157">IF(Q138=0,0,(Q139+Q140+Q142+Q144+Q145)/Q138)</f>
        <v>0.9939984146755747</v>
      </c>
      <c r="R146" s="15">
        <f t="shared" ref="R146" si="158">IF(R138=0,0,(R139+R140+R142+R144+R145)/R138)</f>
        <v>0.94099405993667484</v>
      </c>
      <c r="S146" s="15">
        <f t="shared" ref="S146" si="159">IF(S138=0,0,(S139+S140+S142+S144+S145)/S138)</f>
        <v>0.99586734431952362</v>
      </c>
      <c r="T146" s="15">
        <f t="shared" ref="T146" si="160">IF(T138=0,0,(T139+T140+T142+T144+T145)/T138)</f>
        <v>0.98542927594709706</v>
      </c>
    </row>
    <row r="147" spans="1:20" x14ac:dyDescent="0.25">
      <c r="A147" s="10" t="s">
        <v>15</v>
      </c>
      <c r="C147" s="14" t="s">
        <v>286</v>
      </c>
      <c r="D147" s="15">
        <f>IF(AND(D132=0,D138=0),0,(SUM(D133:D135)+D139+D140+D142+D144+D145)/(D132+D138))</f>
        <v>0.98988764044943822</v>
      </c>
      <c r="E147" s="15">
        <f t="shared" ref="E147:O147" si="161">IF(AND(E132=0,E138=0),0,(SUM(E133:E135)+E139+E140+E142+E144+E145)/(E132+E138))</f>
        <v>0.99530095415740005</v>
      </c>
      <c r="F147" s="15">
        <f t="shared" si="161"/>
        <v>0.99573509843392816</v>
      </c>
      <c r="G147" s="15">
        <f t="shared" si="161"/>
        <v>0.9942196531791907</v>
      </c>
      <c r="H147" s="15">
        <f t="shared" si="161"/>
        <v>0.99416159860990438</v>
      </c>
      <c r="I147" s="15">
        <f t="shared" si="161"/>
        <v>0.83566048919580149</v>
      </c>
      <c r="J147" s="15">
        <f t="shared" si="161"/>
        <v>0.99528832630098452</v>
      </c>
      <c r="K147" s="15">
        <f t="shared" si="161"/>
        <v>0.99630032644178457</v>
      </c>
      <c r="L147" s="15">
        <f t="shared" si="161"/>
        <v>0.99622895120038835</v>
      </c>
      <c r="M147" s="15">
        <f t="shared" si="161"/>
        <v>0.99708465569414717</v>
      </c>
      <c r="N147" s="15">
        <f t="shared" si="161"/>
        <v>0.99521152747880337</v>
      </c>
      <c r="O147" s="15">
        <f t="shared" si="161"/>
        <v>0.95465933394439351</v>
      </c>
      <c r="P147" s="17"/>
      <c r="Q147" s="15">
        <f t="shared" ref="Q147:T147" si="162">IF(AND(Q132=0,Q138=0),0,(SUM(Q133:Q135)+Q139+Q140+Q142+Q144+Q145)/(Q132+Q138))</f>
        <v>0.99418565884753363</v>
      </c>
      <c r="R147" s="15">
        <f t="shared" si="162"/>
        <v>0.94422919638999137</v>
      </c>
      <c r="S147" s="15">
        <f t="shared" si="162"/>
        <v>0.99592960757551963</v>
      </c>
      <c r="T147" s="15">
        <f t="shared" si="162"/>
        <v>0.98595717693957052</v>
      </c>
    </row>
  </sheetData>
  <pageMargins left="0.3" right="0.3" top="0.5" bottom="0.4" header="0.3" footer="0.3"/>
  <pageSetup scale="62" fitToHeight="4" orientation="landscape" r:id="rId1"/>
  <headerFooter>
    <oddFooter>&amp;RPage &amp;P</oddFooter>
  </headerFooter>
  <rowBreaks count="2" manualBreakCount="2">
    <brk id="57" max="19" man="1"/>
    <brk id="111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9"/>
  <sheetViews>
    <sheetView showGridLines="0" zoomScale="80" zoomScaleNormal="80" workbookViewId="0">
      <pane ySplit="1" topLeftCell="A1372" activePane="bottomLeft" state="frozen"/>
      <selection activeCell="F1" sqref="F1"/>
      <selection pane="bottomLeft" activeCell="E2" sqref="E2"/>
    </sheetView>
  </sheetViews>
  <sheetFormatPr defaultRowHeight="15" x14ac:dyDescent="0.25"/>
  <cols>
    <col min="1" max="1" width="39.140625" style="2" bestFit="1" customWidth="1"/>
    <col min="2" max="2" width="9.140625" style="18"/>
    <col min="3" max="3" width="67.28515625" customWidth="1"/>
    <col min="4" max="4" width="12.85546875" style="18" customWidth="1"/>
  </cols>
  <sheetData>
    <row r="1" spans="1:4" ht="16.5" thickTop="1" thickBot="1" x14ac:dyDescent="0.3">
      <c r="A1" s="23" t="s">
        <v>16</v>
      </c>
      <c r="B1" s="23" t="s">
        <v>18</v>
      </c>
      <c r="C1" s="22" t="s">
        <v>325</v>
      </c>
      <c r="D1" s="23" t="s">
        <v>326</v>
      </c>
    </row>
    <row r="2" spans="1:4" ht="15.75" thickTop="1" x14ac:dyDescent="0.25">
      <c r="A2" s="27" t="s">
        <v>1</v>
      </c>
      <c r="B2" s="24" t="s">
        <v>19</v>
      </c>
      <c r="C2" s="21" t="s">
        <v>272</v>
      </c>
      <c r="D2" s="30">
        <f>'Summary by Site'!$D$6</f>
        <v>141</v>
      </c>
    </row>
    <row r="3" spans="1:4" x14ac:dyDescent="0.25">
      <c r="A3" s="28" t="s">
        <v>1</v>
      </c>
      <c r="B3" s="25" t="s">
        <v>19</v>
      </c>
      <c r="C3" s="12" t="s">
        <v>0</v>
      </c>
      <c r="D3" s="31">
        <f>'Summary by Site'!$D$7</f>
        <v>141</v>
      </c>
    </row>
    <row r="4" spans="1:4" x14ac:dyDescent="0.25">
      <c r="A4" s="28" t="s">
        <v>1</v>
      </c>
      <c r="B4" s="25" t="s">
        <v>19</v>
      </c>
      <c r="C4" s="12" t="s">
        <v>273</v>
      </c>
      <c r="D4" s="31">
        <f>'Summary by Site'!$D$8</f>
        <v>0</v>
      </c>
    </row>
    <row r="5" spans="1:4" x14ac:dyDescent="0.25">
      <c r="A5" s="28" t="s">
        <v>1</v>
      </c>
      <c r="B5" s="25" t="s">
        <v>19</v>
      </c>
      <c r="C5" s="12" t="s">
        <v>274</v>
      </c>
      <c r="D5" s="31">
        <f>'Summary by Site'!$D$9</f>
        <v>0</v>
      </c>
    </row>
    <row r="6" spans="1:4" x14ac:dyDescent="0.25">
      <c r="A6" s="28" t="s">
        <v>1</v>
      </c>
      <c r="B6" s="25" t="s">
        <v>19</v>
      </c>
      <c r="C6" s="12" t="s">
        <v>275</v>
      </c>
      <c r="D6" s="31">
        <f>'Summary by Site'!$D$10</f>
        <v>0</v>
      </c>
    </row>
    <row r="7" spans="1:4" x14ac:dyDescent="0.25">
      <c r="A7" s="29" t="s">
        <v>1</v>
      </c>
      <c r="B7" s="26" t="s">
        <v>19</v>
      </c>
      <c r="C7" s="14" t="s">
        <v>276</v>
      </c>
      <c r="D7" s="32">
        <f>'Summary by Site'!$D$11</f>
        <v>1</v>
      </c>
    </row>
    <row r="8" spans="1:4" x14ac:dyDescent="0.25">
      <c r="A8" s="28" t="s">
        <v>1</v>
      </c>
      <c r="B8" s="25" t="s">
        <v>19</v>
      </c>
      <c r="C8" s="12" t="s">
        <v>277</v>
      </c>
      <c r="D8" s="31">
        <f>'Summary by Site'!$D$12</f>
        <v>2830</v>
      </c>
    </row>
    <row r="9" spans="1:4" x14ac:dyDescent="0.25">
      <c r="A9" s="28" t="s">
        <v>1</v>
      </c>
      <c r="B9" s="25" t="s">
        <v>19</v>
      </c>
      <c r="C9" s="12" t="s">
        <v>278</v>
      </c>
      <c r="D9" s="31">
        <f>'Summary by Site'!$D$13</f>
        <v>781</v>
      </c>
    </row>
    <row r="10" spans="1:4" x14ac:dyDescent="0.25">
      <c r="A10" s="28" t="s">
        <v>1</v>
      </c>
      <c r="B10" s="25" t="s">
        <v>19</v>
      </c>
      <c r="C10" s="12" t="s">
        <v>279</v>
      </c>
      <c r="D10" s="31">
        <f>'Summary by Site'!$D$14</f>
        <v>140</v>
      </c>
    </row>
    <row r="11" spans="1:4" x14ac:dyDescent="0.25">
      <c r="A11" s="28" t="s">
        <v>1</v>
      </c>
      <c r="B11" s="25" t="s">
        <v>19</v>
      </c>
      <c r="C11" s="12" t="s">
        <v>280</v>
      </c>
      <c r="D11" s="31">
        <f>'Summary by Site'!$D$15</f>
        <v>1</v>
      </c>
    </row>
    <row r="12" spans="1:4" x14ac:dyDescent="0.25">
      <c r="A12" s="28" t="s">
        <v>1</v>
      </c>
      <c r="B12" s="25" t="s">
        <v>19</v>
      </c>
      <c r="C12" s="12" t="s">
        <v>281</v>
      </c>
      <c r="D12" s="31">
        <f>'Summary by Site'!$D$16</f>
        <v>1900</v>
      </c>
    </row>
    <row r="13" spans="1:4" x14ac:dyDescent="0.25">
      <c r="A13" s="28" t="s">
        <v>1</v>
      </c>
      <c r="B13" s="25" t="s">
        <v>19</v>
      </c>
      <c r="C13" s="12" t="s">
        <v>282</v>
      </c>
      <c r="D13" s="31">
        <f>'Summary by Site'!$D$17</f>
        <v>9</v>
      </c>
    </row>
    <row r="14" spans="1:4" x14ac:dyDescent="0.25">
      <c r="A14" s="28" t="s">
        <v>1</v>
      </c>
      <c r="B14" s="25" t="s">
        <v>19</v>
      </c>
      <c r="C14" s="12" t="s">
        <v>283</v>
      </c>
      <c r="D14" s="31">
        <f>'Summary by Site'!$D$18</f>
        <v>0</v>
      </c>
    </row>
    <row r="15" spans="1:4" x14ac:dyDescent="0.25">
      <c r="A15" s="28" t="s">
        <v>1</v>
      </c>
      <c r="B15" s="25" t="s">
        <v>19</v>
      </c>
      <c r="C15" s="12" t="s">
        <v>284</v>
      </c>
      <c r="D15" s="31">
        <f>'Summary by Site'!$D$19</f>
        <v>0</v>
      </c>
    </row>
    <row r="16" spans="1:4" x14ac:dyDescent="0.25">
      <c r="A16" s="29" t="s">
        <v>1</v>
      </c>
      <c r="B16" s="26" t="s">
        <v>19</v>
      </c>
      <c r="C16" s="14" t="s">
        <v>285</v>
      </c>
      <c r="D16" s="32">
        <f>'Summary by Site'!$D$20</f>
        <v>0.99681978798586568</v>
      </c>
    </row>
    <row r="17" spans="1:4" x14ac:dyDescent="0.25">
      <c r="A17" s="29" t="s">
        <v>1</v>
      </c>
      <c r="B17" s="26" t="s">
        <v>19</v>
      </c>
      <c r="C17" s="14" t="s">
        <v>286</v>
      </c>
      <c r="D17" s="32">
        <f>'Summary by Site'!$D$21</f>
        <v>0.99697071693032646</v>
      </c>
    </row>
    <row r="18" spans="1:4" x14ac:dyDescent="0.25">
      <c r="A18" s="27" t="s">
        <v>1</v>
      </c>
      <c r="B18" s="24" t="s">
        <v>25</v>
      </c>
      <c r="C18" s="21" t="s">
        <v>272</v>
      </c>
      <c r="D18" s="30">
        <f>'Summary by Site'!$E$6</f>
        <v>297</v>
      </c>
    </row>
    <row r="19" spans="1:4" x14ac:dyDescent="0.25">
      <c r="A19" s="28" t="s">
        <v>1</v>
      </c>
      <c r="B19" s="25" t="s">
        <v>25</v>
      </c>
      <c r="C19" s="12" t="s">
        <v>0</v>
      </c>
      <c r="D19" s="31">
        <f>'Summary by Site'!$E$7</f>
        <v>297</v>
      </c>
    </row>
    <row r="20" spans="1:4" x14ac:dyDescent="0.25">
      <c r="A20" s="28" t="s">
        <v>1</v>
      </c>
      <c r="B20" s="25" t="s">
        <v>25</v>
      </c>
      <c r="C20" s="12" t="s">
        <v>273</v>
      </c>
      <c r="D20" s="31">
        <f>'Summary by Site'!$E$8</f>
        <v>0</v>
      </c>
    </row>
    <row r="21" spans="1:4" x14ac:dyDescent="0.25">
      <c r="A21" s="28" t="s">
        <v>1</v>
      </c>
      <c r="B21" s="25" t="s">
        <v>25</v>
      </c>
      <c r="C21" s="12" t="s">
        <v>274</v>
      </c>
      <c r="D21" s="31">
        <f>'Summary by Site'!$E$9</f>
        <v>0</v>
      </c>
    </row>
    <row r="22" spans="1:4" x14ac:dyDescent="0.25">
      <c r="A22" s="28" t="s">
        <v>1</v>
      </c>
      <c r="B22" s="25" t="s">
        <v>25</v>
      </c>
      <c r="C22" s="12" t="s">
        <v>275</v>
      </c>
      <c r="D22" s="31">
        <f>'Summary by Site'!$E$10</f>
        <v>0</v>
      </c>
    </row>
    <row r="23" spans="1:4" x14ac:dyDescent="0.25">
      <c r="A23" s="29" t="s">
        <v>1</v>
      </c>
      <c r="B23" s="33" t="s">
        <v>25</v>
      </c>
      <c r="C23" s="14" t="s">
        <v>276</v>
      </c>
      <c r="D23" s="32">
        <f>'Summary by Site'!$E$11</f>
        <v>1</v>
      </c>
    </row>
    <row r="24" spans="1:4" x14ac:dyDescent="0.25">
      <c r="A24" s="28" t="s">
        <v>1</v>
      </c>
      <c r="B24" s="25" t="s">
        <v>25</v>
      </c>
      <c r="C24" s="12" t="s">
        <v>277</v>
      </c>
      <c r="D24" s="31">
        <f>'Summary by Site'!$E$12</f>
        <v>5233</v>
      </c>
    </row>
    <row r="25" spans="1:4" x14ac:dyDescent="0.25">
      <c r="A25" s="28" t="s">
        <v>1</v>
      </c>
      <c r="B25" s="25" t="s">
        <v>25</v>
      </c>
      <c r="C25" s="12" t="s">
        <v>278</v>
      </c>
      <c r="D25" s="31">
        <f>'Summary by Site'!$E$13</f>
        <v>1041</v>
      </c>
    </row>
    <row r="26" spans="1:4" x14ac:dyDescent="0.25">
      <c r="A26" s="28" t="s">
        <v>1</v>
      </c>
      <c r="B26" s="25" t="s">
        <v>25</v>
      </c>
      <c r="C26" s="12" t="s">
        <v>279</v>
      </c>
      <c r="D26" s="31">
        <f>'Summary by Site'!$E$14</f>
        <v>0</v>
      </c>
    </row>
    <row r="27" spans="1:4" x14ac:dyDescent="0.25">
      <c r="A27" s="28" t="s">
        <v>1</v>
      </c>
      <c r="B27" s="25" t="s">
        <v>25</v>
      </c>
      <c r="C27" s="12" t="s">
        <v>280</v>
      </c>
      <c r="D27" s="31">
        <f>'Summary by Site'!$E$15</f>
        <v>0</v>
      </c>
    </row>
    <row r="28" spans="1:4" x14ac:dyDescent="0.25">
      <c r="A28" s="28" t="s">
        <v>1</v>
      </c>
      <c r="B28" s="25" t="s">
        <v>25</v>
      </c>
      <c r="C28" s="12" t="s">
        <v>281</v>
      </c>
      <c r="D28" s="31">
        <f>'Summary by Site'!$E$16</f>
        <v>2383</v>
      </c>
    </row>
    <row r="29" spans="1:4" x14ac:dyDescent="0.25">
      <c r="A29" s="28" t="s">
        <v>1</v>
      </c>
      <c r="B29" s="25" t="s">
        <v>25</v>
      </c>
      <c r="C29" s="12" t="s">
        <v>282</v>
      </c>
      <c r="D29" s="31">
        <f>'Summary by Site'!$E$17</f>
        <v>4</v>
      </c>
    </row>
    <row r="30" spans="1:4" x14ac:dyDescent="0.25">
      <c r="A30" s="28" t="s">
        <v>1</v>
      </c>
      <c r="B30" s="25" t="s">
        <v>25</v>
      </c>
      <c r="C30" s="12" t="s">
        <v>283</v>
      </c>
      <c r="D30" s="31">
        <f>'Summary by Site'!$E$18</f>
        <v>1792</v>
      </c>
    </row>
    <row r="31" spans="1:4" x14ac:dyDescent="0.25">
      <c r="A31" s="28" t="s">
        <v>1</v>
      </c>
      <c r="B31" s="25" t="s">
        <v>25</v>
      </c>
      <c r="C31" s="12" t="s">
        <v>284</v>
      </c>
      <c r="D31" s="31">
        <f>'Summary by Site'!$E$19</f>
        <v>13</v>
      </c>
    </row>
    <row r="32" spans="1:4" x14ac:dyDescent="0.25">
      <c r="A32" s="29" t="s">
        <v>1</v>
      </c>
      <c r="B32" s="33" t="s">
        <v>25</v>
      </c>
      <c r="C32" s="14" t="s">
        <v>285</v>
      </c>
      <c r="D32" s="32">
        <f>'Summary by Site'!$E$20</f>
        <v>0.99923562010319134</v>
      </c>
    </row>
    <row r="33" spans="1:4" x14ac:dyDescent="0.25">
      <c r="A33" s="29" t="s">
        <v>1</v>
      </c>
      <c r="B33" s="33" t="s">
        <v>25</v>
      </c>
      <c r="C33" s="14" t="s">
        <v>286</v>
      </c>
      <c r="D33" s="32">
        <f>'Summary by Site'!$E$21</f>
        <v>0.99927667269439424</v>
      </c>
    </row>
    <row r="34" spans="1:4" x14ac:dyDescent="0.25">
      <c r="A34" s="27" t="s">
        <v>1</v>
      </c>
      <c r="B34" s="24" t="s">
        <v>26</v>
      </c>
      <c r="C34" s="21" t="s">
        <v>272</v>
      </c>
      <c r="D34" s="30">
        <f>'Summary by Site'!$F$6</f>
        <v>395</v>
      </c>
    </row>
    <row r="35" spans="1:4" x14ac:dyDescent="0.25">
      <c r="A35" s="28" t="s">
        <v>1</v>
      </c>
      <c r="B35" s="25" t="s">
        <v>26</v>
      </c>
      <c r="C35" s="12" t="s">
        <v>0</v>
      </c>
      <c r="D35" s="31">
        <f>'Summary by Site'!$F$7</f>
        <v>395</v>
      </c>
    </row>
    <row r="36" spans="1:4" x14ac:dyDescent="0.25">
      <c r="A36" s="28" t="s">
        <v>1</v>
      </c>
      <c r="B36" s="25" t="s">
        <v>26</v>
      </c>
      <c r="C36" s="12" t="s">
        <v>273</v>
      </c>
      <c r="D36" s="31">
        <f>'Summary by Site'!$F$8</f>
        <v>0</v>
      </c>
    </row>
    <row r="37" spans="1:4" x14ac:dyDescent="0.25">
      <c r="A37" s="28" t="s">
        <v>1</v>
      </c>
      <c r="B37" s="25" t="s">
        <v>26</v>
      </c>
      <c r="C37" s="12" t="s">
        <v>274</v>
      </c>
      <c r="D37" s="31">
        <f>'Summary by Site'!$F$9</f>
        <v>0</v>
      </c>
    </row>
    <row r="38" spans="1:4" x14ac:dyDescent="0.25">
      <c r="A38" s="28" t="s">
        <v>1</v>
      </c>
      <c r="B38" s="25" t="s">
        <v>26</v>
      </c>
      <c r="C38" s="12" t="s">
        <v>275</v>
      </c>
      <c r="D38" s="31">
        <f>'Summary by Site'!$F$10</f>
        <v>0</v>
      </c>
    </row>
    <row r="39" spans="1:4" x14ac:dyDescent="0.25">
      <c r="A39" s="29" t="s">
        <v>1</v>
      </c>
      <c r="B39" s="33" t="s">
        <v>26</v>
      </c>
      <c r="C39" s="14" t="s">
        <v>276</v>
      </c>
      <c r="D39" s="32">
        <f>'Summary by Site'!$F$11</f>
        <v>1</v>
      </c>
    </row>
    <row r="40" spans="1:4" x14ac:dyDescent="0.25">
      <c r="A40" s="28" t="s">
        <v>1</v>
      </c>
      <c r="B40" s="25" t="s">
        <v>26</v>
      </c>
      <c r="C40" s="12" t="s">
        <v>277</v>
      </c>
      <c r="D40" s="31">
        <f>'Summary by Site'!$F$12</f>
        <v>6524</v>
      </c>
    </row>
    <row r="41" spans="1:4" x14ac:dyDescent="0.25">
      <c r="A41" s="28" t="s">
        <v>1</v>
      </c>
      <c r="B41" s="25" t="s">
        <v>26</v>
      </c>
      <c r="C41" s="12" t="s">
        <v>278</v>
      </c>
      <c r="D41" s="31">
        <f>'Summary by Site'!$F$13</f>
        <v>1186</v>
      </c>
    </row>
    <row r="42" spans="1:4" x14ac:dyDescent="0.25">
      <c r="A42" s="28" t="s">
        <v>1</v>
      </c>
      <c r="B42" s="25" t="s">
        <v>26</v>
      </c>
      <c r="C42" s="12" t="s">
        <v>279</v>
      </c>
      <c r="D42" s="31">
        <f>'Summary by Site'!$F$14</f>
        <v>0</v>
      </c>
    </row>
    <row r="43" spans="1:4" x14ac:dyDescent="0.25">
      <c r="A43" s="28" t="s">
        <v>1</v>
      </c>
      <c r="B43" s="25" t="s">
        <v>26</v>
      </c>
      <c r="C43" s="12" t="s">
        <v>280</v>
      </c>
      <c r="D43" s="31">
        <f>'Summary by Site'!$F$15</f>
        <v>3</v>
      </c>
    </row>
    <row r="44" spans="1:4" x14ac:dyDescent="0.25">
      <c r="A44" s="28" t="s">
        <v>1</v>
      </c>
      <c r="B44" s="25" t="s">
        <v>26</v>
      </c>
      <c r="C44" s="12" t="s">
        <v>281</v>
      </c>
      <c r="D44" s="31">
        <f>'Summary by Site'!$F$16</f>
        <v>2641</v>
      </c>
    </row>
    <row r="45" spans="1:4" x14ac:dyDescent="0.25">
      <c r="A45" s="28" t="s">
        <v>1</v>
      </c>
      <c r="B45" s="25" t="s">
        <v>26</v>
      </c>
      <c r="C45" s="12" t="s">
        <v>282</v>
      </c>
      <c r="D45" s="31">
        <f>'Summary by Site'!$F$17</f>
        <v>19</v>
      </c>
    </row>
    <row r="46" spans="1:4" x14ac:dyDescent="0.25">
      <c r="A46" s="28" t="s">
        <v>1</v>
      </c>
      <c r="B46" s="25" t="s">
        <v>26</v>
      </c>
      <c r="C46" s="12" t="s">
        <v>283</v>
      </c>
      <c r="D46" s="31">
        <f>'Summary by Site'!$F$18</f>
        <v>2656</v>
      </c>
    </row>
    <row r="47" spans="1:4" x14ac:dyDescent="0.25">
      <c r="A47" s="28" t="s">
        <v>1</v>
      </c>
      <c r="B47" s="25" t="s">
        <v>26</v>
      </c>
      <c r="C47" s="12" t="s">
        <v>284</v>
      </c>
      <c r="D47" s="31">
        <f>'Summary by Site'!$F$19</f>
        <v>19</v>
      </c>
    </row>
    <row r="48" spans="1:4" x14ac:dyDescent="0.25">
      <c r="A48" s="29" t="s">
        <v>1</v>
      </c>
      <c r="B48" s="33" t="s">
        <v>26</v>
      </c>
      <c r="C48" s="14" t="s">
        <v>285</v>
      </c>
      <c r="D48" s="32">
        <f>'Summary by Site'!$F$20</f>
        <v>0.99662783568362967</v>
      </c>
    </row>
    <row r="49" spans="1:4" x14ac:dyDescent="0.25">
      <c r="A49" s="29" t="s">
        <v>1</v>
      </c>
      <c r="B49" s="33" t="s">
        <v>26</v>
      </c>
      <c r="C49" s="14" t="s">
        <v>286</v>
      </c>
      <c r="D49" s="32">
        <f>'Summary by Site'!$F$21</f>
        <v>0.99682034976152623</v>
      </c>
    </row>
    <row r="50" spans="1:4" x14ac:dyDescent="0.25">
      <c r="A50" s="27" t="s">
        <v>1</v>
      </c>
      <c r="B50" s="24" t="s">
        <v>38</v>
      </c>
      <c r="C50" s="21" t="s">
        <v>272</v>
      </c>
      <c r="D50" s="30">
        <f>'Summary by Site'!$G$6</f>
        <v>391</v>
      </c>
    </row>
    <row r="51" spans="1:4" x14ac:dyDescent="0.25">
      <c r="A51" s="28" t="s">
        <v>1</v>
      </c>
      <c r="B51" s="25" t="s">
        <v>38</v>
      </c>
      <c r="C51" s="12" t="s">
        <v>0</v>
      </c>
      <c r="D51" s="31">
        <f>'Summary by Site'!$G$7</f>
        <v>389</v>
      </c>
    </row>
    <row r="52" spans="1:4" x14ac:dyDescent="0.25">
      <c r="A52" s="28" t="s">
        <v>1</v>
      </c>
      <c r="B52" s="25" t="s">
        <v>38</v>
      </c>
      <c r="C52" s="12" t="s">
        <v>273</v>
      </c>
      <c r="D52" s="31">
        <f>'Summary by Site'!$G$8</f>
        <v>0</v>
      </c>
    </row>
    <row r="53" spans="1:4" x14ac:dyDescent="0.25">
      <c r="A53" s="28" t="s">
        <v>1</v>
      </c>
      <c r="B53" s="25" t="s">
        <v>38</v>
      </c>
      <c r="C53" s="12" t="s">
        <v>274</v>
      </c>
      <c r="D53" s="31">
        <f>'Summary by Site'!$G$9</f>
        <v>2</v>
      </c>
    </row>
    <row r="54" spans="1:4" x14ac:dyDescent="0.25">
      <c r="A54" s="28" t="s">
        <v>1</v>
      </c>
      <c r="B54" s="25" t="s">
        <v>38</v>
      </c>
      <c r="C54" s="12" t="s">
        <v>275</v>
      </c>
      <c r="D54" s="31">
        <f>'Summary by Site'!$G$10</f>
        <v>0</v>
      </c>
    </row>
    <row r="55" spans="1:4" x14ac:dyDescent="0.25">
      <c r="A55" s="29" t="s">
        <v>1</v>
      </c>
      <c r="B55" s="33" t="s">
        <v>38</v>
      </c>
      <c r="C55" s="14" t="s">
        <v>276</v>
      </c>
      <c r="D55" s="32">
        <f>'Summary by Site'!$G$11</f>
        <v>1</v>
      </c>
    </row>
    <row r="56" spans="1:4" x14ac:dyDescent="0.25">
      <c r="A56" s="28" t="s">
        <v>1</v>
      </c>
      <c r="B56" s="25" t="s">
        <v>38</v>
      </c>
      <c r="C56" s="12" t="s">
        <v>277</v>
      </c>
      <c r="D56" s="31">
        <f>'Summary by Site'!$G$12</f>
        <v>6211</v>
      </c>
    </row>
    <row r="57" spans="1:4" x14ac:dyDescent="0.25">
      <c r="A57" s="28" t="s">
        <v>1</v>
      </c>
      <c r="B57" s="25" t="s">
        <v>38</v>
      </c>
      <c r="C57" s="12" t="s">
        <v>278</v>
      </c>
      <c r="D57" s="31">
        <f>'Summary by Site'!$G$13</f>
        <v>1212</v>
      </c>
    </row>
    <row r="58" spans="1:4" x14ac:dyDescent="0.25">
      <c r="A58" s="28" t="s">
        <v>1</v>
      </c>
      <c r="B58" s="25" t="s">
        <v>38</v>
      </c>
      <c r="C58" s="12" t="s">
        <v>279</v>
      </c>
      <c r="D58" s="31">
        <f>'Summary by Site'!$G$14</f>
        <v>0</v>
      </c>
    </row>
    <row r="59" spans="1:4" x14ac:dyDescent="0.25">
      <c r="A59" s="28" t="s">
        <v>1</v>
      </c>
      <c r="B59" s="25" t="s">
        <v>38</v>
      </c>
      <c r="C59" s="12" t="s">
        <v>280</v>
      </c>
      <c r="D59" s="31">
        <f>'Summary by Site'!$G$15</f>
        <v>6</v>
      </c>
    </row>
    <row r="60" spans="1:4" x14ac:dyDescent="0.25">
      <c r="A60" s="28" t="s">
        <v>1</v>
      </c>
      <c r="B60" s="25" t="s">
        <v>38</v>
      </c>
      <c r="C60" s="12" t="s">
        <v>281</v>
      </c>
      <c r="D60" s="31">
        <f>'Summary by Site'!$G$16</f>
        <v>2499</v>
      </c>
    </row>
    <row r="61" spans="1:4" x14ac:dyDescent="0.25">
      <c r="A61" s="28" t="s">
        <v>1</v>
      </c>
      <c r="B61" s="25" t="s">
        <v>38</v>
      </c>
      <c r="C61" s="12" t="s">
        <v>282</v>
      </c>
      <c r="D61" s="31">
        <f>'Summary by Site'!$G$17</f>
        <v>14</v>
      </c>
    </row>
    <row r="62" spans="1:4" x14ac:dyDescent="0.25">
      <c r="A62" s="28" t="s">
        <v>1</v>
      </c>
      <c r="B62" s="25" t="s">
        <v>38</v>
      </c>
      <c r="C62" s="12" t="s">
        <v>283</v>
      </c>
      <c r="D62" s="31">
        <f>'Summary by Site'!$G$18</f>
        <v>2457</v>
      </c>
    </row>
    <row r="63" spans="1:4" x14ac:dyDescent="0.25">
      <c r="A63" s="28" t="s">
        <v>1</v>
      </c>
      <c r="B63" s="25" t="s">
        <v>38</v>
      </c>
      <c r="C63" s="12" t="s">
        <v>284</v>
      </c>
      <c r="D63" s="31">
        <f>'Summary by Site'!$G$19</f>
        <v>23</v>
      </c>
    </row>
    <row r="64" spans="1:4" x14ac:dyDescent="0.25">
      <c r="A64" s="29" t="s">
        <v>1</v>
      </c>
      <c r="B64" s="33" t="s">
        <v>38</v>
      </c>
      <c r="C64" s="14" t="s">
        <v>285</v>
      </c>
      <c r="D64" s="32">
        <f>'Summary by Site'!$G$20</f>
        <v>0.99677990661729188</v>
      </c>
    </row>
    <row r="65" spans="1:4" x14ac:dyDescent="0.25">
      <c r="A65" s="29" t="s">
        <v>1</v>
      </c>
      <c r="B65" s="33" t="s">
        <v>38</v>
      </c>
      <c r="C65" s="14" t="s">
        <v>286</v>
      </c>
      <c r="D65" s="32">
        <f>'Summary by Site'!$G$21</f>
        <v>0.99697061496516204</v>
      </c>
    </row>
    <row r="66" spans="1:4" x14ac:dyDescent="0.25">
      <c r="A66" s="27" t="s">
        <v>1</v>
      </c>
      <c r="B66" s="24" t="s">
        <v>44</v>
      </c>
      <c r="C66" s="21" t="s">
        <v>272</v>
      </c>
      <c r="D66" s="30">
        <f>'Summary by Site'!$H$6</f>
        <v>456</v>
      </c>
    </row>
    <row r="67" spans="1:4" x14ac:dyDescent="0.25">
      <c r="A67" s="28" t="s">
        <v>1</v>
      </c>
      <c r="B67" s="25" t="s">
        <v>44</v>
      </c>
      <c r="C67" s="12" t="s">
        <v>0</v>
      </c>
      <c r="D67" s="31">
        <f>'Summary by Site'!$H$7</f>
        <v>454</v>
      </c>
    </row>
    <row r="68" spans="1:4" x14ac:dyDescent="0.25">
      <c r="A68" s="28" t="s">
        <v>1</v>
      </c>
      <c r="B68" s="25" t="s">
        <v>44</v>
      </c>
      <c r="C68" s="12" t="s">
        <v>273</v>
      </c>
      <c r="D68" s="31">
        <f>'Summary by Site'!$H$8</f>
        <v>1</v>
      </c>
    </row>
    <row r="69" spans="1:4" x14ac:dyDescent="0.25">
      <c r="A69" s="28" t="s">
        <v>1</v>
      </c>
      <c r="B69" s="25" t="s">
        <v>44</v>
      </c>
      <c r="C69" s="12" t="s">
        <v>274</v>
      </c>
      <c r="D69" s="31">
        <f>'Summary by Site'!$H$9</f>
        <v>0</v>
      </c>
    </row>
    <row r="70" spans="1:4" x14ac:dyDescent="0.25">
      <c r="A70" s="28" t="s">
        <v>1</v>
      </c>
      <c r="B70" s="25" t="s">
        <v>44</v>
      </c>
      <c r="C70" s="12" t="s">
        <v>275</v>
      </c>
      <c r="D70" s="31">
        <f>'Summary by Site'!$H$10</f>
        <v>1</v>
      </c>
    </row>
    <row r="71" spans="1:4" x14ac:dyDescent="0.25">
      <c r="A71" s="29" t="s">
        <v>1</v>
      </c>
      <c r="B71" s="33" t="s">
        <v>44</v>
      </c>
      <c r="C71" s="14" t="s">
        <v>276</v>
      </c>
      <c r="D71" s="32">
        <f>'Summary by Site'!$H$11</f>
        <v>0.9978070175438597</v>
      </c>
    </row>
    <row r="72" spans="1:4" x14ac:dyDescent="0.25">
      <c r="A72" s="28" t="s">
        <v>1</v>
      </c>
      <c r="B72" s="25" t="s">
        <v>44</v>
      </c>
      <c r="C72" s="12" t="s">
        <v>277</v>
      </c>
      <c r="D72" s="31">
        <f>'Summary by Site'!$H$12</f>
        <v>6625</v>
      </c>
    </row>
    <row r="73" spans="1:4" x14ac:dyDescent="0.25">
      <c r="A73" s="28" t="s">
        <v>1</v>
      </c>
      <c r="B73" s="25" t="s">
        <v>44</v>
      </c>
      <c r="C73" s="12" t="s">
        <v>278</v>
      </c>
      <c r="D73" s="31">
        <f>'Summary by Site'!$H$13</f>
        <v>1079</v>
      </c>
    </row>
    <row r="74" spans="1:4" x14ac:dyDescent="0.25">
      <c r="A74" s="28" t="s">
        <v>1</v>
      </c>
      <c r="B74" s="25" t="s">
        <v>44</v>
      </c>
      <c r="C74" s="12" t="s">
        <v>279</v>
      </c>
      <c r="D74" s="31">
        <f>'Summary by Site'!$H$14</f>
        <v>0</v>
      </c>
    </row>
    <row r="75" spans="1:4" x14ac:dyDescent="0.25">
      <c r="A75" s="28" t="s">
        <v>1</v>
      </c>
      <c r="B75" s="25" t="s">
        <v>44</v>
      </c>
      <c r="C75" s="12" t="s">
        <v>280</v>
      </c>
      <c r="D75" s="31">
        <f>'Summary by Site'!$H$15</f>
        <v>9</v>
      </c>
    </row>
    <row r="76" spans="1:4" x14ac:dyDescent="0.25">
      <c r="A76" s="28" t="s">
        <v>1</v>
      </c>
      <c r="B76" s="25" t="s">
        <v>44</v>
      </c>
      <c r="C76" s="12" t="s">
        <v>281</v>
      </c>
      <c r="D76" s="31">
        <f>'Summary by Site'!$H$16</f>
        <v>2894</v>
      </c>
    </row>
    <row r="77" spans="1:4" x14ac:dyDescent="0.25">
      <c r="A77" s="28" t="s">
        <v>1</v>
      </c>
      <c r="B77" s="25" t="s">
        <v>44</v>
      </c>
      <c r="C77" s="12" t="s">
        <v>282</v>
      </c>
      <c r="D77" s="31">
        <f>'Summary by Site'!$H$17</f>
        <v>10</v>
      </c>
    </row>
    <row r="78" spans="1:4" x14ac:dyDescent="0.25">
      <c r="A78" s="28" t="s">
        <v>1</v>
      </c>
      <c r="B78" s="25" t="s">
        <v>44</v>
      </c>
      <c r="C78" s="12" t="s">
        <v>283</v>
      </c>
      <c r="D78" s="31">
        <f>'Summary by Site'!$H$18</f>
        <v>2604</v>
      </c>
    </row>
    <row r="79" spans="1:4" x14ac:dyDescent="0.25">
      <c r="A79" s="28" t="s">
        <v>1</v>
      </c>
      <c r="B79" s="25" t="s">
        <v>44</v>
      </c>
      <c r="C79" s="12" t="s">
        <v>284</v>
      </c>
      <c r="D79" s="31">
        <f>'Summary by Site'!$H$19</f>
        <v>29</v>
      </c>
    </row>
    <row r="80" spans="1:4" x14ac:dyDescent="0.25">
      <c r="A80" s="29" t="s">
        <v>1</v>
      </c>
      <c r="B80" s="33" t="s">
        <v>44</v>
      </c>
      <c r="C80" s="14" t="s">
        <v>285</v>
      </c>
      <c r="D80" s="32">
        <f>'Summary by Site'!$H$20</f>
        <v>0.99713207547169813</v>
      </c>
    </row>
    <row r="81" spans="1:4" x14ac:dyDescent="0.25">
      <c r="A81" s="29" t="s">
        <v>1</v>
      </c>
      <c r="B81" s="33" t="s">
        <v>44</v>
      </c>
      <c r="C81" s="14" t="s">
        <v>286</v>
      </c>
      <c r="D81" s="32">
        <f>'Summary by Site'!$H$21</f>
        <v>0.99717554017794097</v>
      </c>
    </row>
    <row r="82" spans="1:4" x14ac:dyDescent="0.25">
      <c r="A82" s="27" t="s">
        <v>1</v>
      </c>
      <c r="B82" s="24" t="s">
        <v>45</v>
      </c>
      <c r="C82" s="21" t="s">
        <v>272</v>
      </c>
      <c r="D82" s="30">
        <f>'Summary by Site'!$I$6</f>
        <v>427</v>
      </c>
    </row>
    <row r="83" spans="1:4" x14ac:dyDescent="0.25">
      <c r="A83" s="28" t="s">
        <v>1</v>
      </c>
      <c r="B83" s="25" t="s">
        <v>45</v>
      </c>
      <c r="C83" s="12" t="s">
        <v>0</v>
      </c>
      <c r="D83" s="31">
        <f>'Summary by Site'!$I$7</f>
        <v>425</v>
      </c>
    </row>
    <row r="84" spans="1:4" x14ac:dyDescent="0.25">
      <c r="A84" s="28" t="s">
        <v>1</v>
      </c>
      <c r="B84" s="25" t="s">
        <v>45</v>
      </c>
      <c r="C84" s="12" t="s">
        <v>273</v>
      </c>
      <c r="D84" s="31">
        <f>'Summary by Site'!$I$8</f>
        <v>0</v>
      </c>
    </row>
    <row r="85" spans="1:4" x14ac:dyDescent="0.25">
      <c r="A85" s="28" t="s">
        <v>1</v>
      </c>
      <c r="B85" s="25" t="s">
        <v>45</v>
      </c>
      <c r="C85" s="12" t="s">
        <v>274</v>
      </c>
      <c r="D85" s="31">
        <f>'Summary by Site'!$I$9</f>
        <v>1</v>
      </c>
    </row>
    <row r="86" spans="1:4" x14ac:dyDescent="0.25">
      <c r="A86" s="28" t="s">
        <v>1</v>
      </c>
      <c r="B86" s="25" t="s">
        <v>45</v>
      </c>
      <c r="C86" s="12" t="s">
        <v>275</v>
      </c>
      <c r="D86" s="31">
        <f>'Summary by Site'!$I$10</f>
        <v>1</v>
      </c>
    </row>
    <row r="87" spans="1:4" x14ac:dyDescent="0.25">
      <c r="A87" s="29" t="s">
        <v>1</v>
      </c>
      <c r="B87" s="33" t="s">
        <v>45</v>
      </c>
      <c r="C87" s="14" t="s">
        <v>276</v>
      </c>
      <c r="D87" s="32">
        <f>'Summary by Site'!$I$11</f>
        <v>0.99765807962529274</v>
      </c>
    </row>
    <row r="88" spans="1:4" x14ac:dyDescent="0.25">
      <c r="A88" s="28" t="s">
        <v>1</v>
      </c>
      <c r="B88" s="25" t="s">
        <v>45</v>
      </c>
      <c r="C88" s="12" t="s">
        <v>277</v>
      </c>
      <c r="D88" s="31">
        <f>'Summary by Site'!$I$12</f>
        <v>6422</v>
      </c>
    </row>
    <row r="89" spans="1:4" x14ac:dyDescent="0.25">
      <c r="A89" s="28" t="s">
        <v>1</v>
      </c>
      <c r="B89" s="25" t="s">
        <v>45</v>
      </c>
      <c r="C89" s="12" t="s">
        <v>278</v>
      </c>
      <c r="D89" s="31">
        <f>'Summary by Site'!$I$13</f>
        <v>977</v>
      </c>
    </row>
    <row r="90" spans="1:4" x14ac:dyDescent="0.25">
      <c r="A90" s="28" t="s">
        <v>1</v>
      </c>
      <c r="B90" s="25" t="s">
        <v>45</v>
      </c>
      <c r="C90" s="12" t="s">
        <v>279</v>
      </c>
      <c r="D90" s="31">
        <f>'Summary by Site'!$I$14</f>
        <v>0</v>
      </c>
    </row>
    <row r="91" spans="1:4" x14ac:dyDescent="0.25">
      <c r="A91" s="28" t="s">
        <v>1</v>
      </c>
      <c r="B91" s="25" t="s">
        <v>45</v>
      </c>
      <c r="C91" s="12" t="s">
        <v>280</v>
      </c>
      <c r="D91" s="31">
        <f>'Summary by Site'!$I$15</f>
        <v>1</v>
      </c>
    </row>
    <row r="92" spans="1:4" x14ac:dyDescent="0.25">
      <c r="A92" s="28" t="s">
        <v>1</v>
      </c>
      <c r="B92" s="25" t="s">
        <v>45</v>
      </c>
      <c r="C92" s="12" t="s">
        <v>281</v>
      </c>
      <c r="D92" s="31">
        <f>'Summary by Site'!$I$16</f>
        <v>2889</v>
      </c>
    </row>
    <row r="93" spans="1:4" x14ac:dyDescent="0.25">
      <c r="A93" s="28" t="s">
        <v>1</v>
      </c>
      <c r="B93" s="25" t="s">
        <v>45</v>
      </c>
      <c r="C93" s="12" t="s">
        <v>282</v>
      </c>
      <c r="D93" s="31">
        <f>'Summary by Site'!$I$17</f>
        <v>8</v>
      </c>
    </row>
    <row r="94" spans="1:4" x14ac:dyDescent="0.25">
      <c r="A94" s="28" t="s">
        <v>1</v>
      </c>
      <c r="B94" s="25" t="s">
        <v>45</v>
      </c>
      <c r="C94" s="12" t="s">
        <v>283</v>
      </c>
      <c r="D94" s="31">
        <f>'Summary by Site'!$I$18</f>
        <v>2534</v>
      </c>
    </row>
    <row r="95" spans="1:4" x14ac:dyDescent="0.25">
      <c r="A95" s="28" t="s">
        <v>1</v>
      </c>
      <c r="B95" s="25" t="s">
        <v>45</v>
      </c>
      <c r="C95" s="12" t="s">
        <v>284</v>
      </c>
      <c r="D95" s="31">
        <f>'Summary by Site'!$I$19</f>
        <v>13</v>
      </c>
    </row>
    <row r="96" spans="1:4" x14ac:dyDescent="0.25">
      <c r="A96" s="29" t="s">
        <v>1</v>
      </c>
      <c r="B96" s="33" t="s">
        <v>45</v>
      </c>
      <c r="C96" s="14" t="s">
        <v>285</v>
      </c>
      <c r="D96" s="32">
        <f>'Summary by Site'!$I$20</f>
        <v>0.99859856742447839</v>
      </c>
    </row>
    <row r="97" spans="1:4" x14ac:dyDescent="0.25">
      <c r="A97" s="29" t="s">
        <v>1</v>
      </c>
      <c r="B97" s="33" t="s">
        <v>45</v>
      </c>
      <c r="C97" s="14" t="s">
        <v>286</v>
      </c>
      <c r="D97" s="32">
        <f>'Summary by Site'!$I$21</f>
        <v>0.99853993283691045</v>
      </c>
    </row>
    <row r="98" spans="1:4" x14ac:dyDescent="0.25">
      <c r="A98" s="27" t="s">
        <v>1</v>
      </c>
      <c r="B98" s="24" t="s">
        <v>46</v>
      </c>
      <c r="C98" s="21" t="s">
        <v>272</v>
      </c>
      <c r="D98" s="30">
        <f>'Summary by Site'!$J$6</f>
        <v>471</v>
      </c>
    </row>
    <row r="99" spans="1:4" x14ac:dyDescent="0.25">
      <c r="A99" s="28" t="s">
        <v>1</v>
      </c>
      <c r="B99" s="25" t="s">
        <v>46</v>
      </c>
      <c r="C99" s="12" t="s">
        <v>0</v>
      </c>
      <c r="D99" s="31">
        <f>'Summary by Site'!$J$7</f>
        <v>468</v>
      </c>
    </row>
    <row r="100" spans="1:4" x14ac:dyDescent="0.25">
      <c r="A100" s="28" t="s">
        <v>1</v>
      </c>
      <c r="B100" s="25" t="s">
        <v>46</v>
      </c>
      <c r="C100" s="12" t="s">
        <v>273</v>
      </c>
      <c r="D100" s="31">
        <f>'Summary by Site'!$J$8</f>
        <v>0</v>
      </c>
    </row>
    <row r="101" spans="1:4" x14ac:dyDescent="0.25">
      <c r="A101" s="28" t="s">
        <v>1</v>
      </c>
      <c r="B101" s="25" t="s">
        <v>46</v>
      </c>
      <c r="C101" s="12" t="s">
        <v>274</v>
      </c>
      <c r="D101" s="31">
        <f>'Summary by Site'!$J$9</f>
        <v>0</v>
      </c>
    </row>
    <row r="102" spans="1:4" x14ac:dyDescent="0.25">
      <c r="A102" s="28" t="s">
        <v>1</v>
      </c>
      <c r="B102" s="25" t="s">
        <v>46</v>
      </c>
      <c r="C102" s="12" t="s">
        <v>275</v>
      </c>
      <c r="D102" s="31">
        <f>'Summary by Site'!$J$10</f>
        <v>3</v>
      </c>
    </row>
    <row r="103" spans="1:4" x14ac:dyDescent="0.25">
      <c r="A103" s="29" t="s">
        <v>1</v>
      </c>
      <c r="B103" s="33" t="s">
        <v>46</v>
      </c>
      <c r="C103" s="14" t="s">
        <v>276</v>
      </c>
      <c r="D103" s="32">
        <f>'Summary by Site'!$J$11</f>
        <v>0.99363057324840764</v>
      </c>
    </row>
    <row r="104" spans="1:4" x14ac:dyDescent="0.25">
      <c r="A104" s="28" t="s">
        <v>1</v>
      </c>
      <c r="B104" s="25" t="s">
        <v>46</v>
      </c>
      <c r="C104" s="12" t="s">
        <v>277</v>
      </c>
      <c r="D104" s="31">
        <f>'Summary by Site'!$J$12</f>
        <v>6804</v>
      </c>
    </row>
    <row r="105" spans="1:4" x14ac:dyDescent="0.25">
      <c r="A105" s="28" t="s">
        <v>1</v>
      </c>
      <c r="B105" s="25" t="s">
        <v>46</v>
      </c>
      <c r="C105" s="12" t="s">
        <v>278</v>
      </c>
      <c r="D105" s="31">
        <f>'Summary by Site'!$J$13</f>
        <v>973</v>
      </c>
    </row>
    <row r="106" spans="1:4" x14ac:dyDescent="0.25">
      <c r="A106" s="28" t="s">
        <v>1</v>
      </c>
      <c r="B106" s="25" t="s">
        <v>46</v>
      </c>
      <c r="C106" s="12" t="s">
        <v>279</v>
      </c>
      <c r="D106" s="31">
        <f>'Summary by Site'!$J$14</f>
        <v>0</v>
      </c>
    </row>
    <row r="107" spans="1:4" x14ac:dyDescent="0.25">
      <c r="A107" s="28" t="s">
        <v>1</v>
      </c>
      <c r="B107" s="25" t="s">
        <v>46</v>
      </c>
      <c r="C107" s="12" t="s">
        <v>280</v>
      </c>
      <c r="D107" s="31">
        <f>'Summary by Site'!$J$15</f>
        <v>5</v>
      </c>
    </row>
    <row r="108" spans="1:4" x14ac:dyDescent="0.25">
      <c r="A108" s="28" t="s">
        <v>1</v>
      </c>
      <c r="B108" s="25" t="s">
        <v>46</v>
      </c>
      <c r="C108" s="12" t="s">
        <v>281</v>
      </c>
      <c r="D108" s="31">
        <f>'Summary by Site'!$J$16</f>
        <v>3075</v>
      </c>
    </row>
    <row r="109" spans="1:4" x14ac:dyDescent="0.25">
      <c r="A109" s="28" t="s">
        <v>1</v>
      </c>
      <c r="B109" s="25" t="s">
        <v>46</v>
      </c>
      <c r="C109" s="12" t="s">
        <v>282</v>
      </c>
      <c r="D109" s="31">
        <f>'Summary by Site'!$J$17</f>
        <v>2</v>
      </c>
    </row>
    <row r="110" spans="1:4" x14ac:dyDescent="0.25">
      <c r="A110" s="28" t="s">
        <v>1</v>
      </c>
      <c r="B110" s="25" t="s">
        <v>46</v>
      </c>
      <c r="C110" s="12" t="s">
        <v>283</v>
      </c>
      <c r="D110" s="31">
        <f>'Summary by Site'!$J$18</f>
        <v>2734</v>
      </c>
    </row>
    <row r="111" spans="1:4" x14ac:dyDescent="0.25">
      <c r="A111" s="28" t="s">
        <v>1</v>
      </c>
      <c r="B111" s="25" t="s">
        <v>46</v>
      </c>
      <c r="C111" s="12" t="s">
        <v>284</v>
      </c>
      <c r="D111" s="31">
        <f>'Summary by Site'!$J$19</f>
        <v>15</v>
      </c>
    </row>
    <row r="112" spans="1:4" x14ac:dyDescent="0.25">
      <c r="A112" s="29" t="s">
        <v>1</v>
      </c>
      <c r="B112" s="33" t="s">
        <v>46</v>
      </c>
      <c r="C112" s="14" t="s">
        <v>285</v>
      </c>
      <c r="D112" s="32">
        <f>'Summary by Site'!$J$20</f>
        <v>0.99897119341563789</v>
      </c>
    </row>
    <row r="113" spans="1:4" x14ac:dyDescent="0.25">
      <c r="A113" s="29" t="s">
        <v>1</v>
      </c>
      <c r="B113" s="33" t="s">
        <v>46</v>
      </c>
      <c r="C113" s="14" t="s">
        <v>286</v>
      </c>
      <c r="D113" s="32">
        <f>'Summary by Site'!$J$21</f>
        <v>0.99862542955326461</v>
      </c>
    </row>
    <row r="114" spans="1:4" x14ac:dyDescent="0.25">
      <c r="A114" s="27" t="s">
        <v>1</v>
      </c>
      <c r="B114" s="24" t="s">
        <v>47</v>
      </c>
      <c r="C114" s="21" t="s">
        <v>272</v>
      </c>
      <c r="D114" s="30">
        <f>'Summary by Site'!$K$6</f>
        <v>393</v>
      </c>
    </row>
    <row r="115" spans="1:4" x14ac:dyDescent="0.25">
      <c r="A115" s="28" t="s">
        <v>1</v>
      </c>
      <c r="B115" s="25" t="s">
        <v>47</v>
      </c>
      <c r="C115" s="12" t="s">
        <v>0</v>
      </c>
      <c r="D115" s="31">
        <f>'Summary by Site'!$K$7</f>
        <v>389</v>
      </c>
    </row>
    <row r="116" spans="1:4" x14ac:dyDescent="0.25">
      <c r="A116" s="28" t="s">
        <v>1</v>
      </c>
      <c r="B116" s="25" t="s">
        <v>47</v>
      </c>
      <c r="C116" s="12" t="s">
        <v>273</v>
      </c>
      <c r="D116" s="31">
        <f>'Summary by Site'!$K$8</f>
        <v>2</v>
      </c>
    </row>
    <row r="117" spans="1:4" x14ac:dyDescent="0.25">
      <c r="A117" s="28" t="s">
        <v>1</v>
      </c>
      <c r="B117" s="25" t="s">
        <v>47</v>
      </c>
      <c r="C117" s="12" t="s">
        <v>274</v>
      </c>
      <c r="D117" s="31">
        <f>'Summary by Site'!$K$9</f>
        <v>1</v>
      </c>
    </row>
    <row r="118" spans="1:4" x14ac:dyDescent="0.25">
      <c r="A118" s="28" t="s">
        <v>1</v>
      </c>
      <c r="B118" s="25" t="s">
        <v>47</v>
      </c>
      <c r="C118" s="12" t="s">
        <v>275</v>
      </c>
      <c r="D118" s="31">
        <f>'Summary by Site'!$K$10</f>
        <v>1</v>
      </c>
    </row>
    <row r="119" spans="1:4" x14ac:dyDescent="0.25">
      <c r="A119" s="29" t="s">
        <v>1</v>
      </c>
      <c r="B119" s="33" t="s">
        <v>47</v>
      </c>
      <c r="C119" s="14" t="s">
        <v>276</v>
      </c>
      <c r="D119" s="32">
        <f>'Summary by Site'!$K$11</f>
        <v>0.99745547073791352</v>
      </c>
    </row>
    <row r="120" spans="1:4" x14ac:dyDescent="0.25">
      <c r="A120" s="28" t="s">
        <v>1</v>
      </c>
      <c r="B120" s="25" t="s">
        <v>47</v>
      </c>
      <c r="C120" s="12" t="s">
        <v>277</v>
      </c>
      <c r="D120" s="31">
        <f>'Summary by Site'!$K$12</f>
        <v>6328</v>
      </c>
    </row>
    <row r="121" spans="1:4" x14ac:dyDescent="0.25">
      <c r="A121" s="28" t="s">
        <v>1</v>
      </c>
      <c r="B121" s="25" t="s">
        <v>47</v>
      </c>
      <c r="C121" s="12" t="s">
        <v>278</v>
      </c>
      <c r="D121" s="31">
        <f>'Summary by Site'!$K$13</f>
        <v>944</v>
      </c>
    </row>
    <row r="122" spans="1:4" x14ac:dyDescent="0.25">
      <c r="A122" s="28" t="s">
        <v>1</v>
      </c>
      <c r="B122" s="25" t="s">
        <v>47</v>
      </c>
      <c r="C122" s="12" t="s">
        <v>279</v>
      </c>
      <c r="D122" s="31">
        <f>'Summary by Site'!$K$14</f>
        <v>0</v>
      </c>
    </row>
    <row r="123" spans="1:4" x14ac:dyDescent="0.25">
      <c r="A123" s="28" t="s">
        <v>1</v>
      </c>
      <c r="B123" s="25" t="s">
        <v>47</v>
      </c>
      <c r="C123" s="12" t="s">
        <v>280</v>
      </c>
      <c r="D123" s="31">
        <f>'Summary by Site'!$K$15</f>
        <v>0</v>
      </c>
    </row>
    <row r="124" spans="1:4" x14ac:dyDescent="0.25">
      <c r="A124" s="28" t="s">
        <v>1</v>
      </c>
      <c r="B124" s="25" t="s">
        <v>47</v>
      </c>
      <c r="C124" s="12" t="s">
        <v>281</v>
      </c>
      <c r="D124" s="31">
        <f>'Summary by Site'!$K$16</f>
        <v>2794</v>
      </c>
    </row>
    <row r="125" spans="1:4" x14ac:dyDescent="0.25">
      <c r="A125" s="28" t="s">
        <v>1</v>
      </c>
      <c r="B125" s="25" t="s">
        <v>47</v>
      </c>
      <c r="C125" s="12" t="s">
        <v>282</v>
      </c>
      <c r="D125" s="31">
        <f>'Summary by Site'!$K$17</f>
        <v>6</v>
      </c>
    </row>
    <row r="126" spans="1:4" x14ac:dyDescent="0.25">
      <c r="A126" s="28" t="s">
        <v>1</v>
      </c>
      <c r="B126" s="25" t="s">
        <v>47</v>
      </c>
      <c r="C126" s="12" t="s">
        <v>283</v>
      </c>
      <c r="D126" s="31">
        <f>'Summary by Site'!$K$18</f>
        <v>2572</v>
      </c>
    </row>
    <row r="127" spans="1:4" x14ac:dyDescent="0.25">
      <c r="A127" s="28" t="s">
        <v>1</v>
      </c>
      <c r="B127" s="25" t="s">
        <v>47</v>
      </c>
      <c r="C127" s="12" t="s">
        <v>284</v>
      </c>
      <c r="D127" s="31">
        <f>'Summary by Site'!$K$19</f>
        <v>12</v>
      </c>
    </row>
    <row r="128" spans="1:4" x14ac:dyDescent="0.25">
      <c r="A128" s="29" t="s">
        <v>1</v>
      </c>
      <c r="B128" s="33" t="s">
        <v>47</v>
      </c>
      <c r="C128" s="14" t="s">
        <v>285</v>
      </c>
      <c r="D128" s="32">
        <f>'Summary by Site'!$K$20</f>
        <v>0.99905183312262957</v>
      </c>
    </row>
    <row r="129" spans="1:4" x14ac:dyDescent="0.25">
      <c r="A129" s="29" t="s">
        <v>1</v>
      </c>
      <c r="B129" s="33" t="s">
        <v>47</v>
      </c>
      <c r="C129" s="14" t="s">
        <v>286</v>
      </c>
      <c r="D129" s="32">
        <f>'Summary by Site'!$K$21</f>
        <v>0.99895848832019041</v>
      </c>
    </row>
    <row r="130" spans="1:4" x14ac:dyDescent="0.25">
      <c r="A130" s="27" t="s">
        <v>1</v>
      </c>
      <c r="B130" s="24" t="s">
        <v>50</v>
      </c>
      <c r="C130" s="21" t="s">
        <v>272</v>
      </c>
      <c r="D130" s="30">
        <f>'Summary by Site'!$L$6</f>
        <v>367</v>
      </c>
    </row>
    <row r="131" spans="1:4" x14ac:dyDescent="0.25">
      <c r="A131" s="28" t="s">
        <v>1</v>
      </c>
      <c r="B131" s="25" t="s">
        <v>50</v>
      </c>
      <c r="C131" s="12" t="s">
        <v>0</v>
      </c>
      <c r="D131" s="31">
        <f>'Summary by Site'!$L$7</f>
        <v>366</v>
      </c>
    </row>
    <row r="132" spans="1:4" x14ac:dyDescent="0.25">
      <c r="A132" s="28" t="s">
        <v>1</v>
      </c>
      <c r="B132" s="25" t="s">
        <v>50</v>
      </c>
      <c r="C132" s="12" t="s">
        <v>273</v>
      </c>
      <c r="D132" s="31">
        <f>'Summary by Site'!$L$8</f>
        <v>0</v>
      </c>
    </row>
    <row r="133" spans="1:4" x14ac:dyDescent="0.25">
      <c r="A133" s="28" t="s">
        <v>1</v>
      </c>
      <c r="B133" s="25" t="s">
        <v>50</v>
      </c>
      <c r="C133" s="12" t="s">
        <v>274</v>
      </c>
      <c r="D133" s="31">
        <f>'Summary by Site'!$L$9</f>
        <v>0</v>
      </c>
    </row>
    <row r="134" spans="1:4" x14ac:dyDescent="0.25">
      <c r="A134" s="28" t="s">
        <v>1</v>
      </c>
      <c r="B134" s="25" t="s">
        <v>50</v>
      </c>
      <c r="C134" s="12" t="s">
        <v>275</v>
      </c>
      <c r="D134" s="31">
        <f>'Summary by Site'!$L$10</f>
        <v>1</v>
      </c>
    </row>
    <row r="135" spans="1:4" x14ac:dyDescent="0.25">
      <c r="A135" s="29" t="s">
        <v>1</v>
      </c>
      <c r="B135" s="33" t="s">
        <v>50</v>
      </c>
      <c r="C135" s="14" t="s">
        <v>276</v>
      </c>
      <c r="D135" s="32">
        <f>'Summary by Site'!$L$11</f>
        <v>0.99727520435967298</v>
      </c>
    </row>
    <row r="136" spans="1:4" x14ac:dyDescent="0.25">
      <c r="A136" s="28" t="s">
        <v>1</v>
      </c>
      <c r="B136" s="25" t="s">
        <v>50</v>
      </c>
      <c r="C136" s="12" t="s">
        <v>277</v>
      </c>
      <c r="D136" s="31">
        <f>'Summary by Site'!$L$12</f>
        <v>6342</v>
      </c>
    </row>
    <row r="137" spans="1:4" x14ac:dyDescent="0.25">
      <c r="A137" s="28" t="s">
        <v>1</v>
      </c>
      <c r="B137" s="25" t="s">
        <v>50</v>
      </c>
      <c r="C137" s="12" t="s">
        <v>278</v>
      </c>
      <c r="D137" s="31">
        <f>'Summary by Site'!$L$13</f>
        <v>1055</v>
      </c>
    </row>
    <row r="138" spans="1:4" x14ac:dyDescent="0.25">
      <c r="A138" s="28" t="s">
        <v>1</v>
      </c>
      <c r="B138" s="25" t="s">
        <v>50</v>
      </c>
      <c r="C138" s="12" t="s">
        <v>279</v>
      </c>
      <c r="D138" s="31">
        <f>'Summary by Site'!$L$14</f>
        <v>0</v>
      </c>
    </row>
    <row r="139" spans="1:4" x14ac:dyDescent="0.25">
      <c r="A139" s="28" t="s">
        <v>1</v>
      </c>
      <c r="B139" s="25" t="s">
        <v>50</v>
      </c>
      <c r="C139" s="12" t="s">
        <v>280</v>
      </c>
      <c r="D139" s="31">
        <f>'Summary by Site'!$L$15</f>
        <v>3</v>
      </c>
    </row>
    <row r="140" spans="1:4" x14ac:dyDescent="0.25">
      <c r="A140" s="28" t="s">
        <v>1</v>
      </c>
      <c r="B140" s="25" t="s">
        <v>50</v>
      </c>
      <c r="C140" s="12" t="s">
        <v>281</v>
      </c>
      <c r="D140" s="31">
        <f>'Summary by Site'!$L$16</f>
        <v>2669</v>
      </c>
    </row>
    <row r="141" spans="1:4" x14ac:dyDescent="0.25">
      <c r="A141" s="28" t="s">
        <v>1</v>
      </c>
      <c r="B141" s="25" t="s">
        <v>50</v>
      </c>
      <c r="C141" s="12" t="s">
        <v>282</v>
      </c>
      <c r="D141" s="31">
        <f>'Summary by Site'!$L$17</f>
        <v>3</v>
      </c>
    </row>
    <row r="142" spans="1:4" x14ac:dyDescent="0.25">
      <c r="A142" s="28" t="s">
        <v>1</v>
      </c>
      <c r="B142" s="25" t="s">
        <v>50</v>
      </c>
      <c r="C142" s="12" t="s">
        <v>283</v>
      </c>
      <c r="D142" s="31">
        <f>'Summary by Site'!$L$18</f>
        <v>2601</v>
      </c>
    </row>
    <row r="143" spans="1:4" x14ac:dyDescent="0.25">
      <c r="A143" s="28" t="s">
        <v>1</v>
      </c>
      <c r="B143" s="25" t="s">
        <v>50</v>
      </c>
      <c r="C143" s="12" t="s">
        <v>284</v>
      </c>
      <c r="D143" s="31">
        <f>'Summary by Site'!$L$19</f>
        <v>11</v>
      </c>
    </row>
    <row r="144" spans="1:4" x14ac:dyDescent="0.25">
      <c r="A144" s="29" t="s">
        <v>1</v>
      </c>
      <c r="B144" s="33" t="s">
        <v>50</v>
      </c>
      <c r="C144" s="14" t="s">
        <v>285</v>
      </c>
      <c r="D144" s="32">
        <f>'Summary by Site'!$L$20</f>
        <v>0.99905392620624411</v>
      </c>
    </row>
    <row r="145" spans="1:4" x14ac:dyDescent="0.25">
      <c r="A145" s="29" t="s">
        <v>1</v>
      </c>
      <c r="B145" s="33" t="s">
        <v>50</v>
      </c>
      <c r="C145" s="14" t="s">
        <v>286</v>
      </c>
      <c r="D145" s="32">
        <f>'Summary by Site'!$L$21</f>
        <v>0.99895662542852881</v>
      </c>
    </row>
    <row r="146" spans="1:4" x14ac:dyDescent="0.25">
      <c r="A146" s="27" t="s">
        <v>1</v>
      </c>
      <c r="B146" s="24" t="s">
        <v>51</v>
      </c>
      <c r="C146" s="21" t="s">
        <v>272</v>
      </c>
      <c r="D146" s="30">
        <f>'Summary by Site'!$M$6</f>
        <v>445</v>
      </c>
    </row>
    <row r="147" spans="1:4" x14ac:dyDescent="0.25">
      <c r="A147" s="28" t="s">
        <v>1</v>
      </c>
      <c r="B147" s="25" t="s">
        <v>51</v>
      </c>
      <c r="C147" s="12" t="s">
        <v>0</v>
      </c>
      <c r="D147" s="31">
        <f>'Summary by Site'!$M$7</f>
        <v>444</v>
      </c>
    </row>
    <row r="148" spans="1:4" x14ac:dyDescent="0.25">
      <c r="A148" s="28" t="s">
        <v>1</v>
      </c>
      <c r="B148" s="25" t="s">
        <v>51</v>
      </c>
      <c r="C148" s="12" t="s">
        <v>273</v>
      </c>
      <c r="D148" s="31">
        <f>'Summary by Site'!$M$8</f>
        <v>0</v>
      </c>
    </row>
    <row r="149" spans="1:4" x14ac:dyDescent="0.25">
      <c r="A149" s="28" t="s">
        <v>1</v>
      </c>
      <c r="B149" s="25" t="s">
        <v>51</v>
      </c>
      <c r="C149" s="12" t="s">
        <v>274</v>
      </c>
      <c r="D149" s="31">
        <f>'Summary by Site'!$M$9</f>
        <v>0</v>
      </c>
    </row>
    <row r="150" spans="1:4" x14ac:dyDescent="0.25">
      <c r="A150" s="28" t="s">
        <v>1</v>
      </c>
      <c r="B150" s="25" t="s">
        <v>51</v>
      </c>
      <c r="C150" s="12" t="s">
        <v>275</v>
      </c>
      <c r="D150" s="31">
        <f>'Summary by Site'!$M$10</f>
        <v>1</v>
      </c>
    </row>
    <row r="151" spans="1:4" x14ac:dyDescent="0.25">
      <c r="A151" s="29" t="s">
        <v>1</v>
      </c>
      <c r="B151" s="33" t="s">
        <v>51</v>
      </c>
      <c r="C151" s="14" t="s">
        <v>276</v>
      </c>
      <c r="D151" s="32">
        <f>'Summary by Site'!$M$11</f>
        <v>0.99775280898876406</v>
      </c>
    </row>
    <row r="152" spans="1:4" x14ac:dyDescent="0.25">
      <c r="A152" s="28" t="s">
        <v>1</v>
      </c>
      <c r="B152" s="25" t="s">
        <v>51</v>
      </c>
      <c r="C152" s="12" t="s">
        <v>277</v>
      </c>
      <c r="D152" s="31">
        <f>'Summary by Site'!$M$12</f>
        <v>6160</v>
      </c>
    </row>
    <row r="153" spans="1:4" x14ac:dyDescent="0.25">
      <c r="A153" s="28" t="s">
        <v>1</v>
      </c>
      <c r="B153" s="25" t="s">
        <v>51</v>
      </c>
      <c r="C153" s="12" t="s">
        <v>278</v>
      </c>
      <c r="D153" s="31">
        <f>'Summary by Site'!$M$13</f>
        <v>1105</v>
      </c>
    </row>
    <row r="154" spans="1:4" x14ac:dyDescent="0.25">
      <c r="A154" s="28" t="s">
        <v>1</v>
      </c>
      <c r="B154" s="25" t="s">
        <v>51</v>
      </c>
      <c r="C154" s="12" t="s">
        <v>279</v>
      </c>
      <c r="D154" s="31">
        <f>'Summary by Site'!$M$14</f>
        <v>0</v>
      </c>
    </row>
    <row r="155" spans="1:4" x14ac:dyDescent="0.25">
      <c r="A155" s="28" t="s">
        <v>1</v>
      </c>
      <c r="B155" s="25" t="s">
        <v>51</v>
      </c>
      <c r="C155" s="12" t="s">
        <v>280</v>
      </c>
      <c r="D155" s="31">
        <f>'Summary by Site'!$M$15</f>
        <v>5</v>
      </c>
    </row>
    <row r="156" spans="1:4" x14ac:dyDescent="0.25">
      <c r="A156" s="28" t="s">
        <v>1</v>
      </c>
      <c r="B156" s="25" t="s">
        <v>51</v>
      </c>
      <c r="C156" s="12" t="s">
        <v>281</v>
      </c>
      <c r="D156" s="31">
        <f>'Summary by Site'!$M$16</f>
        <v>2606</v>
      </c>
    </row>
    <row r="157" spans="1:4" x14ac:dyDescent="0.25">
      <c r="A157" s="28" t="s">
        <v>1</v>
      </c>
      <c r="B157" s="25" t="s">
        <v>51</v>
      </c>
      <c r="C157" s="12" t="s">
        <v>282</v>
      </c>
      <c r="D157" s="31">
        <f>'Summary by Site'!$M$17</f>
        <v>8</v>
      </c>
    </row>
    <row r="158" spans="1:4" x14ac:dyDescent="0.25">
      <c r="A158" s="28" t="s">
        <v>1</v>
      </c>
      <c r="B158" s="25" t="s">
        <v>51</v>
      </c>
      <c r="C158" s="12" t="s">
        <v>283</v>
      </c>
      <c r="D158" s="31">
        <f>'Summary by Site'!$M$18</f>
        <v>2422</v>
      </c>
    </row>
    <row r="159" spans="1:4" x14ac:dyDescent="0.25">
      <c r="A159" s="28" t="s">
        <v>1</v>
      </c>
      <c r="B159" s="25" t="s">
        <v>51</v>
      </c>
      <c r="C159" s="12" t="s">
        <v>284</v>
      </c>
      <c r="D159" s="31">
        <f>'Summary by Site'!$M$19</f>
        <v>14</v>
      </c>
    </row>
    <row r="160" spans="1:4" x14ac:dyDescent="0.25">
      <c r="A160" s="29" t="s">
        <v>1</v>
      </c>
      <c r="B160" s="33" t="s">
        <v>51</v>
      </c>
      <c r="C160" s="14" t="s">
        <v>285</v>
      </c>
      <c r="D160" s="32">
        <f>'Summary by Site'!$M$20</f>
        <v>0.99788961038961044</v>
      </c>
    </row>
    <row r="161" spans="1:4" x14ac:dyDescent="0.25">
      <c r="A161" s="29" t="s">
        <v>1</v>
      </c>
      <c r="B161" s="33" t="s">
        <v>51</v>
      </c>
      <c r="C161" s="14" t="s">
        <v>286</v>
      </c>
      <c r="D161" s="32">
        <f>'Summary by Site'!$M$21</f>
        <v>0.99788039364118097</v>
      </c>
    </row>
    <row r="162" spans="1:4" x14ac:dyDescent="0.25">
      <c r="A162" s="27" t="s">
        <v>1</v>
      </c>
      <c r="B162" s="24" t="s">
        <v>89</v>
      </c>
      <c r="C162" s="21" t="s">
        <v>272</v>
      </c>
      <c r="D162" s="30">
        <f>'Summary by Site'!$N$6</f>
        <v>164</v>
      </c>
    </row>
    <row r="163" spans="1:4" x14ac:dyDescent="0.25">
      <c r="A163" s="28" t="s">
        <v>1</v>
      </c>
      <c r="B163" s="25" t="s">
        <v>89</v>
      </c>
      <c r="C163" s="12" t="s">
        <v>0</v>
      </c>
      <c r="D163" s="31">
        <f>'Summary by Site'!$N$7</f>
        <v>163</v>
      </c>
    </row>
    <row r="164" spans="1:4" x14ac:dyDescent="0.25">
      <c r="A164" s="28" t="s">
        <v>1</v>
      </c>
      <c r="B164" s="25" t="s">
        <v>89</v>
      </c>
      <c r="C164" s="12" t="s">
        <v>273</v>
      </c>
      <c r="D164" s="31">
        <f>'Summary by Site'!$N$8</f>
        <v>0</v>
      </c>
    </row>
    <row r="165" spans="1:4" x14ac:dyDescent="0.25">
      <c r="A165" s="28" t="s">
        <v>1</v>
      </c>
      <c r="B165" s="25" t="s">
        <v>89</v>
      </c>
      <c r="C165" s="12" t="s">
        <v>274</v>
      </c>
      <c r="D165" s="31">
        <f>'Summary by Site'!$N$9</f>
        <v>0</v>
      </c>
    </row>
    <row r="166" spans="1:4" x14ac:dyDescent="0.25">
      <c r="A166" s="28" t="s">
        <v>1</v>
      </c>
      <c r="B166" s="25" t="s">
        <v>89</v>
      </c>
      <c r="C166" s="12" t="s">
        <v>275</v>
      </c>
      <c r="D166" s="31">
        <f>'Summary by Site'!$N$10</f>
        <v>1</v>
      </c>
    </row>
    <row r="167" spans="1:4" x14ac:dyDescent="0.25">
      <c r="A167" s="29" t="s">
        <v>1</v>
      </c>
      <c r="B167" s="33" t="s">
        <v>89</v>
      </c>
      <c r="C167" s="14" t="s">
        <v>276</v>
      </c>
      <c r="D167" s="32">
        <f>'Summary by Site'!$N$11</f>
        <v>0.99390243902439024</v>
      </c>
    </row>
    <row r="168" spans="1:4" x14ac:dyDescent="0.25">
      <c r="A168" s="28" t="s">
        <v>1</v>
      </c>
      <c r="B168" s="25" t="s">
        <v>89</v>
      </c>
      <c r="C168" s="12" t="s">
        <v>277</v>
      </c>
      <c r="D168" s="31">
        <f>'Summary by Site'!$N$12</f>
        <v>2738</v>
      </c>
    </row>
    <row r="169" spans="1:4" x14ac:dyDescent="0.25">
      <c r="A169" s="28" t="s">
        <v>1</v>
      </c>
      <c r="B169" s="25" t="s">
        <v>89</v>
      </c>
      <c r="C169" s="12" t="s">
        <v>278</v>
      </c>
      <c r="D169" s="31">
        <f>'Summary by Site'!$N$13</f>
        <v>535</v>
      </c>
    </row>
    <row r="170" spans="1:4" x14ac:dyDescent="0.25">
      <c r="A170" s="28" t="s">
        <v>1</v>
      </c>
      <c r="B170" s="25" t="s">
        <v>89</v>
      </c>
      <c r="C170" s="12" t="s">
        <v>279</v>
      </c>
      <c r="D170" s="31">
        <f>'Summary by Site'!$N$14</f>
        <v>0</v>
      </c>
    </row>
    <row r="171" spans="1:4" x14ac:dyDescent="0.25">
      <c r="A171" s="28" t="s">
        <v>1</v>
      </c>
      <c r="B171" s="25" t="s">
        <v>89</v>
      </c>
      <c r="C171" s="12" t="s">
        <v>280</v>
      </c>
      <c r="D171" s="31">
        <f>'Summary by Site'!$N$15</f>
        <v>0</v>
      </c>
    </row>
    <row r="172" spans="1:4" x14ac:dyDescent="0.25">
      <c r="A172" s="28" t="s">
        <v>1</v>
      </c>
      <c r="B172" s="25" t="s">
        <v>89</v>
      </c>
      <c r="C172" s="12" t="s">
        <v>281</v>
      </c>
      <c r="D172" s="31">
        <f>'Summary by Site'!$N$16</f>
        <v>1109</v>
      </c>
    </row>
    <row r="173" spans="1:4" x14ac:dyDescent="0.25">
      <c r="A173" s="28" t="s">
        <v>1</v>
      </c>
      <c r="B173" s="25" t="s">
        <v>89</v>
      </c>
      <c r="C173" s="12" t="s">
        <v>282</v>
      </c>
      <c r="D173" s="31">
        <f>'Summary by Site'!$N$17</f>
        <v>0</v>
      </c>
    </row>
    <row r="174" spans="1:4" x14ac:dyDescent="0.25">
      <c r="A174" s="28" t="s">
        <v>1</v>
      </c>
      <c r="B174" s="25" t="s">
        <v>89</v>
      </c>
      <c r="C174" s="12" t="s">
        <v>283</v>
      </c>
      <c r="D174" s="31">
        <f>'Summary by Site'!$N$18</f>
        <v>1088</v>
      </c>
    </row>
    <row r="175" spans="1:4" x14ac:dyDescent="0.25">
      <c r="A175" s="28" t="s">
        <v>1</v>
      </c>
      <c r="B175" s="25" t="s">
        <v>89</v>
      </c>
      <c r="C175" s="12" t="s">
        <v>284</v>
      </c>
      <c r="D175" s="31">
        <f>'Summary by Site'!$N$19</f>
        <v>6</v>
      </c>
    </row>
    <row r="176" spans="1:4" x14ac:dyDescent="0.25">
      <c r="A176" s="29" t="s">
        <v>1</v>
      </c>
      <c r="B176" s="33" t="s">
        <v>89</v>
      </c>
      <c r="C176" s="14" t="s">
        <v>285</v>
      </c>
      <c r="D176" s="32">
        <f>'Summary by Site'!$N$20</f>
        <v>1</v>
      </c>
    </row>
    <row r="177" spans="1:4" x14ac:dyDescent="0.25">
      <c r="A177" s="29" t="s">
        <v>1</v>
      </c>
      <c r="B177" s="33" t="s">
        <v>89</v>
      </c>
      <c r="C177" s="14" t="s">
        <v>286</v>
      </c>
      <c r="D177" s="32">
        <f>'Summary by Site'!$N$21</f>
        <v>0.99965541006202618</v>
      </c>
    </row>
    <row r="178" spans="1:4" x14ac:dyDescent="0.25">
      <c r="A178" s="27" t="s">
        <v>1</v>
      </c>
      <c r="B178" s="24" t="s">
        <v>271</v>
      </c>
      <c r="C178" s="21" t="s">
        <v>272</v>
      </c>
      <c r="D178" s="30">
        <f>'Summary by Site'!$O$6</f>
        <v>216</v>
      </c>
    </row>
    <row r="179" spans="1:4" x14ac:dyDescent="0.25">
      <c r="A179" s="28" t="s">
        <v>1</v>
      </c>
      <c r="B179" s="25" t="s">
        <v>271</v>
      </c>
      <c r="C179" s="12" t="s">
        <v>0</v>
      </c>
      <c r="D179" s="31">
        <f>'Summary by Site'!$O$7</f>
        <v>215</v>
      </c>
    </row>
    <row r="180" spans="1:4" x14ac:dyDescent="0.25">
      <c r="A180" s="28" t="s">
        <v>1</v>
      </c>
      <c r="B180" s="25" t="s">
        <v>271</v>
      </c>
      <c r="C180" s="12" t="s">
        <v>273</v>
      </c>
      <c r="D180" s="31">
        <f>'Summary by Site'!$O$8</f>
        <v>0</v>
      </c>
    </row>
    <row r="181" spans="1:4" x14ac:dyDescent="0.25">
      <c r="A181" s="28" t="s">
        <v>1</v>
      </c>
      <c r="B181" s="25" t="s">
        <v>271</v>
      </c>
      <c r="C181" s="12" t="s">
        <v>274</v>
      </c>
      <c r="D181" s="31">
        <f>'Summary by Site'!$O$9</f>
        <v>0</v>
      </c>
    </row>
    <row r="182" spans="1:4" x14ac:dyDescent="0.25">
      <c r="A182" s="28" t="s">
        <v>1</v>
      </c>
      <c r="B182" s="25" t="s">
        <v>271</v>
      </c>
      <c r="C182" s="12" t="s">
        <v>275</v>
      </c>
      <c r="D182" s="31">
        <f>'Summary by Site'!$O$10</f>
        <v>1</v>
      </c>
    </row>
    <row r="183" spans="1:4" x14ac:dyDescent="0.25">
      <c r="A183" s="29" t="s">
        <v>1</v>
      </c>
      <c r="B183" s="33" t="s">
        <v>271</v>
      </c>
      <c r="C183" s="14" t="s">
        <v>276</v>
      </c>
      <c r="D183" s="32">
        <f>'Summary by Site'!$O$11</f>
        <v>0.99537037037037035</v>
      </c>
    </row>
    <row r="184" spans="1:4" x14ac:dyDescent="0.25">
      <c r="A184" s="28" t="s">
        <v>1</v>
      </c>
      <c r="B184" s="25" t="s">
        <v>271</v>
      </c>
      <c r="C184" s="12" t="s">
        <v>277</v>
      </c>
      <c r="D184" s="31">
        <f>'Summary by Site'!$O$12</f>
        <v>3493</v>
      </c>
    </row>
    <row r="185" spans="1:4" x14ac:dyDescent="0.25">
      <c r="A185" s="28" t="s">
        <v>1</v>
      </c>
      <c r="B185" s="25" t="s">
        <v>271</v>
      </c>
      <c r="C185" s="12" t="s">
        <v>278</v>
      </c>
      <c r="D185" s="31">
        <f>'Summary by Site'!$O$13</f>
        <v>622</v>
      </c>
    </row>
    <row r="186" spans="1:4" x14ac:dyDescent="0.25">
      <c r="A186" s="28" t="s">
        <v>1</v>
      </c>
      <c r="B186" s="25" t="s">
        <v>271</v>
      </c>
      <c r="C186" s="12" t="s">
        <v>279</v>
      </c>
      <c r="D186" s="31">
        <f>'Summary by Site'!$O$14</f>
        <v>0</v>
      </c>
    </row>
    <row r="187" spans="1:4" x14ac:dyDescent="0.25">
      <c r="A187" s="28" t="s">
        <v>1</v>
      </c>
      <c r="B187" s="25" t="s">
        <v>271</v>
      </c>
      <c r="C187" s="12" t="s">
        <v>280</v>
      </c>
      <c r="D187" s="31">
        <f>'Summary by Site'!$O$15</f>
        <v>0</v>
      </c>
    </row>
    <row r="188" spans="1:4" x14ac:dyDescent="0.25">
      <c r="A188" s="28" t="s">
        <v>1</v>
      </c>
      <c r="B188" s="25" t="s">
        <v>271</v>
      </c>
      <c r="C188" s="12" t="s">
        <v>281</v>
      </c>
      <c r="D188" s="31">
        <f>'Summary by Site'!$O$16</f>
        <v>1424</v>
      </c>
    </row>
    <row r="189" spans="1:4" x14ac:dyDescent="0.25">
      <c r="A189" s="28" t="s">
        <v>1</v>
      </c>
      <c r="B189" s="25" t="s">
        <v>271</v>
      </c>
      <c r="C189" s="12" t="s">
        <v>282</v>
      </c>
      <c r="D189" s="31">
        <f>'Summary by Site'!$O$17</f>
        <v>0</v>
      </c>
    </row>
    <row r="190" spans="1:4" x14ac:dyDescent="0.25">
      <c r="A190" s="28" t="s">
        <v>1</v>
      </c>
      <c r="B190" s="25" t="s">
        <v>271</v>
      </c>
      <c r="C190" s="12" t="s">
        <v>283</v>
      </c>
      <c r="D190" s="31">
        <f>'Summary by Site'!$O$18</f>
        <v>1432</v>
      </c>
    </row>
    <row r="191" spans="1:4" x14ac:dyDescent="0.25">
      <c r="A191" s="28" t="s">
        <v>1</v>
      </c>
      <c r="B191" s="25" t="s">
        <v>271</v>
      </c>
      <c r="C191" s="12" t="s">
        <v>284</v>
      </c>
      <c r="D191" s="31">
        <f>'Summary by Site'!$O$19</f>
        <v>15</v>
      </c>
    </row>
    <row r="192" spans="1:4" x14ac:dyDescent="0.25">
      <c r="A192" s="29" t="s">
        <v>1</v>
      </c>
      <c r="B192" s="33" t="s">
        <v>271</v>
      </c>
      <c r="C192" s="14" t="s">
        <v>285</v>
      </c>
      <c r="D192" s="32">
        <f>'Summary by Site'!$O$20</f>
        <v>1</v>
      </c>
    </row>
    <row r="193" spans="1:4" x14ac:dyDescent="0.25">
      <c r="A193" s="29" t="s">
        <v>1</v>
      </c>
      <c r="B193" s="33" t="s">
        <v>271</v>
      </c>
      <c r="C193" s="14" t="s">
        <v>286</v>
      </c>
      <c r="D193" s="32">
        <f>'Summary by Site'!$O$21</f>
        <v>0.99973038554866545</v>
      </c>
    </row>
    <row r="194" spans="1:4" x14ac:dyDescent="0.25">
      <c r="A194" s="27" t="s">
        <v>22</v>
      </c>
      <c r="B194" s="24" t="s">
        <v>19</v>
      </c>
      <c r="C194" s="21" t="s">
        <v>272</v>
      </c>
      <c r="D194" s="30">
        <f>'Summary by Site'!$D$24</f>
        <v>399</v>
      </c>
    </row>
    <row r="195" spans="1:4" x14ac:dyDescent="0.25">
      <c r="A195" s="28" t="s">
        <v>22</v>
      </c>
      <c r="B195" s="25" t="s">
        <v>19</v>
      </c>
      <c r="C195" s="12" t="s">
        <v>0</v>
      </c>
      <c r="D195" s="31">
        <f>'Summary by Site'!$D$25</f>
        <v>398</v>
      </c>
    </row>
    <row r="196" spans="1:4" x14ac:dyDescent="0.25">
      <c r="A196" s="28" t="s">
        <v>22</v>
      </c>
      <c r="B196" s="25" t="s">
        <v>19</v>
      </c>
      <c r="C196" s="12" t="s">
        <v>273</v>
      </c>
      <c r="D196" s="31">
        <f>'Summary by Site'!$D$26</f>
        <v>0</v>
      </c>
    </row>
    <row r="197" spans="1:4" x14ac:dyDescent="0.25">
      <c r="A197" s="28" t="s">
        <v>22</v>
      </c>
      <c r="B197" s="25" t="s">
        <v>19</v>
      </c>
      <c r="C197" s="12" t="s">
        <v>274</v>
      </c>
      <c r="D197" s="31">
        <f>'Summary by Site'!$D$27</f>
        <v>0</v>
      </c>
    </row>
    <row r="198" spans="1:4" x14ac:dyDescent="0.25">
      <c r="A198" s="28" t="s">
        <v>22</v>
      </c>
      <c r="B198" s="25" t="s">
        <v>19</v>
      </c>
      <c r="C198" s="12" t="s">
        <v>275</v>
      </c>
      <c r="D198" s="31">
        <f>'Summary by Site'!$D$28</f>
        <v>1</v>
      </c>
    </row>
    <row r="199" spans="1:4" x14ac:dyDescent="0.25">
      <c r="A199" s="29" t="s">
        <v>22</v>
      </c>
      <c r="B199" s="26" t="s">
        <v>19</v>
      </c>
      <c r="C199" s="14" t="s">
        <v>276</v>
      </c>
      <c r="D199" s="32">
        <f>'Summary by Site'!$D$29</f>
        <v>0.99749373433583954</v>
      </c>
    </row>
    <row r="200" spans="1:4" x14ac:dyDescent="0.25">
      <c r="A200" s="28" t="s">
        <v>22</v>
      </c>
      <c r="B200" s="25" t="s">
        <v>19</v>
      </c>
      <c r="C200" s="12" t="s">
        <v>277</v>
      </c>
      <c r="D200" s="31">
        <f>'Summary by Site'!$D$30</f>
        <v>4237</v>
      </c>
    </row>
    <row r="201" spans="1:4" x14ac:dyDescent="0.25">
      <c r="A201" s="28" t="s">
        <v>22</v>
      </c>
      <c r="B201" s="25" t="s">
        <v>19</v>
      </c>
      <c r="C201" s="12" t="s">
        <v>278</v>
      </c>
      <c r="D201" s="31">
        <f>'Summary by Site'!$D$31</f>
        <v>1365</v>
      </c>
    </row>
    <row r="202" spans="1:4" x14ac:dyDescent="0.25">
      <c r="A202" s="28" t="s">
        <v>22</v>
      </c>
      <c r="B202" s="25" t="s">
        <v>19</v>
      </c>
      <c r="C202" s="12" t="s">
        <v>279</v>
      </c>
      <c r="D202" s="31">
        <f>'Summary by Site'!$D$32</f>
        <v>353</v>
      </c>
    </row>
    <row r="203" spans="1:4" x14ac:dyDescent="0.25">
      <c r="A203" s="28" t="s">
        <v>22</v>
      </c>
      <c r="B203" s="25" t="s">
        <v>19</v>
      </c>
      <c r="C203" s="12" t="s">
        <v>280</v>
      </c>
      <c r="D203" s="31">
        <f>'Summary by Site'!$D$33</f>
        <v>3</v>
      </c>
    </row>
    <row r="204" spans="1:4" x14ac:dyDescent="0.25">
      <c r="A204" s="28" t="s">
        <v>22</v>
      </c>
      <c r="B204" s="25" t="s">
        <v>19</v>
      </c>
      <c r="C204" s="12" t="s">
        <v>281</v>
      </c>
      <c r="D204" s="31">
        <f>'Summary by Site'!$D$34</f>
        <v>2459</v>
      </c>
    </row>
    <row r="205" spans="1:4" x14ac:dyDescent="0.25">
      <c r="A205" s="28" t="s">
        <v>22</v>
      </c>
      <c r="B205" s="25" t="s">
        <v>19</v>
      </c>
      <c r="C205" s="12" t="s">
        <v>282</v>
      </c>
      <c r="D205" s="31">
        <f>'Summary by Site'!$D$35</f>
        <v>57</v>
      </c>
    </row>
    <row r="206" spans="1:4" x14ac:dyDescent="0.25">
      <c r="A206" s="28" t="s">
        <v>22</v>
      </c>
      <c r="B206" s="25" t="s">
        <v>19</v>
      </c>
      <c r="C206" s="12" t="s">
        <v>283</v>
      </c>
      <c r="D206" s="31">
        <f>'Summary by Site'!$D$36</f>
        <v>0</v>
      </c>
    </row>
    <row r="207" spans="1:4" x14ac:dyDescent="0.25">
      <c r="A207" s="28" t="s">
        <v>22</v>
      </c>
      <c r="B207" s="25" t="s">
        <v>19</v>
      </c>
      <c r="C207" s="12" t="s">
        <v>284</v>
      </c>
      <c r="D207" s="31">
        <f>'Summary by Site'!$D$37</f>
        <v>0</v>
      </c>
    </row>
    <row r="208" spans="1:4" x14ac:dyDescent="0.25">
      <c r="A208" s="29" t="s">
        <v>22</v>
      </c>
      <c r="B208" s="26" t="s">
        <v>19</v>
      </c>
      <c r="C208" s="14" t="s">
        <v>285</v>
      </c>
      <c r="D208" s="32">
        <f>'Summary by Site'!$D$38</f>
        <v>0.9858390370545197</v>
      </c>
    </row>
    <row r="209" spans="1:4" x14ac:dyDescent="0.25">
      <c r="A209" s="29" t="s">
        <v>22</v>
      </c>
      <c r="B209" s="26" t="s">
        <v>19</v>
      </c>
      <c r="C209" s="14" t="s">
        <v>286</v>
      </c>
      <c r="D209" s="32">
        <f>'Summary by Site'!$D$39</f>
        <v>0.98684210526315785</v>
      </c>
    </row>
    <row r="210" spans="1:4" x14ac:dyDescent="0.25">
      <c r="A210" s="27" t="s">
        <v>22</v>
      </c>
      <c r="B210" s="24" t="s">
        <v>25</v>
      </c>
      <c r="C210" s="21" t="s">
        <v>272</v>
      </c>
      <c r="D210" s="30">
        <f>'Summary by Site'!$E$24</f>
        <v>447</v>
      </c>
    </row>
    <row r="211" spans="1:4" x14ac:dyDescent="0.25">
      <c r="A211" s="28" t="s">
        <v>22</v>
      </c>
      <c r="B211" s="25" t="s">
        <v>25</v>
      </c>
      <c r="C211" s="12" t="s">
        <v>0</v>
      </c>
      <c r="D211" s="31">
        <f>'Summary by Site'!$E$25</f>
        <v>435</v>
      </c>
    </row>
    <row r="212" spans="1:4" x14ac:dyDescent="0.25">
      <c r="A212" s="28" t="s">
        <v>22</v>
      </c>
      <c r="B212" s="25" t="s">
        <v>25</v>
      </c>
      <c r="C212" s="12" t="s">
        <v>273</v>
      </c>
      <c r="D212" s="31">
        <f>'Summary by Site'!$E$26</f>
        <v>9</v>
      </c>
    </row>
    <row r="213" spans="1:4" x14ac:dyDescent="0.25">
      <c r="A213" s="28" t="s">
        <v>22</v>
      </c>
      <c r="B213" s="25" t="s">
        <v>25</v>
      </c>
      <c r="C213" s="12" t="s">
        <v>274</v>
      </c>
      <c r="D213" s="31">
        <f>'Summary by Site'!$E$27</f>
        <v>0</v>
      </c>
    </row>
    <row r="214" spans="1:4" x14ac:dyDescent="0.25">
      <c r="A214" s="28" t="s">
        <v>22</v>
      </c>
      <c r="B214" s="25" t="s">
        <v>25</v>
      </c>
      <c r="C214" s="12" t="s">
        <v>275</v>
      </c>
      <c r="D214" s="31">
        <f>'Summary by Site'!$E$28</f>
        <v>3</v>
      </c>
    </row>
    <row r="215" spans="1:4" x14ac:dyDescent="0.25">
      <c r="A215" s="29" t="s">
        <v>22</v>
      </c>
      <c r="B215" s="33" t="s">
        <v>25</v>
      </c>
      <c r="C215" s="14" t="s">
        <v>276</v>
      </c>
      <c r="D215" s="32">
        <f>'Summary by Site'!$E$29</f>
        <v>0.99328859060402686</v>
      </c>
    </row>
    <row r="216" spans="1:4" x14ac:dyDescent="0.25">
      <c r="A216" s="28" t="s">
        <v>22</v>
      </c>
      <c r="B216" s="25" t="s">
        <v>25</v>
      </c>
      <c r="C216" s="12" t="s">
        <v>277</v>
      </c>
      <c r="D216" s="31">
        <f>'Summary by Site'!$E$30</f>
        <v>7045</v>
      </c>
    </row>
    <row r="217" spans="1:4" x14ac:dyDescent="0.25">
      <c r="A217" s="28" t="s">
        <v>22</v>
      </c>
      <c r="B217" s="25" t="s">
        <v>25</v>
      </c>
      <c r="C217" s="12" t="s">
        <v>278</v>
      </c>
      <c r="D217" s="31">
        <f>'Summary by Site'!$E$31</f>
        <v>1444</v>
      </c>
    </row>
    <row r="218" spans="1:4" x14ac:dyDescent="0.25">
      <c r="A218" s="28" t="s">
        <v>22</v>
      </c>
      <c r="B218" s="25" t="s">
        <v>25</v>
      </c>
      <c r="C218" s="12" t="s">
        <v>279</v>
      </c>
      <c r="D218" s="31">
        <f>'Summary by Site'!$E$32</f>
        <v>0</v>
      </c>
    </row>
    <row r="219" spans="1:4" x14ac:dyDescent="0.25">
      <c r="A219" s="28" t="s">
        <v>22</v>
      </c>
      <c r="B219" s="25" t="s">
        <v>25</v>
      </c>
      <c r="C219" s="12" t="s">
        <v>280</v>
      </c>
      <c r="D219" s="31">
        <f>'Summary by Site'!$E$33</f>
        <v>8</v>
      </c>
    </row>
    <row r="220" spans="1:4" x14ac:dyDescent="0.25">
      <c r="A220" s="28" t="s">
        <v>22</v>
      </c>
      <c r="B220" s="25" t="s">
        <v>25</v>
      </c>
      <c r="C220" s="12" t="s">
        <v>281</v>
      </c>
      <c r="D220" s="31">
        <f>'Summary by Site'!$E$34</f>
        <v>2783</v>
      </c>
    </row>
    <row r="221" spans="1:4" x14ac:dyDescent="0.25">
      <c r="A221" s="28" t="s">
        <v>22</v>
      </c>
      <c r="B221" s="25" t="s">
        <v>25</v>
      </c>
      <c r="C221" s="12" t="s">
        <v>282</v>
      </c>
      <c r="D221" s="31">
        <f>'Summary by Site'!$E$35</f>
        <v>47</v>
      </c>
    </row>
    <row r="222" spans="1:4" x14ac:dyDescent="0.25">
      <c r="A222" s="28" t="s">
        <v>22</v>
      </c>
      <c r="B222" s="25" t="s">
        <v>25</v>
      </c>
      <c r="C222" s="12" t="s">
        <v>283</v>
      </c>
      <c r="D222" s="31">
        <f>'Summary by Site'!$E$36</f>
        <v>2680</v>
      </c>
    </row>
    <row r="223" spans="1:4" x14ac:dyDescent="0.25">
      <c r="A223" s="28" t="s">
        <v>22</v>
      </c>
      <c r="B223" s="25" t="s">
        <v>25</v>
      </c>
      <c r="C223" s="12" t="s">
        <v>284</v>
      </c>
      <c r="D223" s="31">
        <f>'Summary by Site'!$E$37</f>
        <v>83</v>
      </c>
    </row>
    <row r="224" spans="1:4" x14ac:dyDescent="0.25">
      <c r="A224" s="29" t="s">
        <v>22</v>
      </c>
      <c r="B224" s="33" t="s">
        <v>25</v>
      </c>
      <c r="C224" s="14" t="s">
        <v>285</v>
      </c>
      <c r="D224" s="32">
        <f>'Summary by Site'!$E$38</f>
        <v>0.99219304471256209</v>
      </c>
    </row>
    <row r="225" spans="1:4" x14ac:dyDescent="0.25">
      <c r="A225" s="29" t="s">
        <v>22</v>
      </c>
      <c r="B225" s="33" t="s">
        <v>25</v>
      </c>
      <c r="C225" s="14" t="s">
        <v>286</v>
      </c>
      <c r="D225" s="32">
        <f>'Summary by Site'!$E$39</f>
        <v>0.99225840896956752</v>
      </c>
    </row>
    <row r="226" spans="1:4" x14ac:dyDescent="0.25">
      <c r="A226" s="27" t="s">
        <v>22</v>
      </c>
      <c r="B226" s="24" t="s">
        <v>26</v>
      </c>
      <c r="C226" s="21" t="s">
        <v>272</v>
      </c>
      <c r="D226" s="30">
        <f>'Summary by Site'!$F$24</f>
        <v>450</v>
      </c>
    </row>
    <row r="227" spans="1:4" x14ac:dyDescent="0.25">
      <c r="A227" s="28" t="s">
        <v>22</v>
      </c>
      <c r="B227" s="25" t="s">
        <v>26</v>
      </c>
      <c r="C227" s="12" t="s">
        <v>0</v>
      </c>
      <c r="D227" s="31">
        <f>'Summary by Site'!$F$25</f>
        <v>448</v>
      </c>
    </row>
    <row r="228" spans="1:4" x14ac:dyDescent="0.25">
      <c r="A228" s="28" t="s">
        <v>22</v>
      </c>
      <c r="B228" s="25" t="s">
        <v>26</v>
      </c>
      <c r="C228" s="12" t="s">
        <v>273</v>
      </c>
      <c r="D228" s="31">
        <f>'Summary by Site'!$F$26</f>
        <v>0</v>
      </c>
    </row>
    <row r="229" spans="1:4" x14ac:dyDescent="0.25">
      <c r="A229" s="28" t="s">
        <v>22</v>
      </c>
      <c r="B229" s="25" t="s">
        <v>26</v>
      </c>
      <c r="C229" s="12" t="s">
        <v>274</v>
      </c>
      <c r="D229" s="31">
        <f>'Summary by Site'!$F$27</f>
        <v>0</v>
      </c>
    </row>
    <row r="230" spans="1:4" x14ac:dyDescent="0.25">
      <c r="A230" s="28" t="s">
        <v>22</v>
      </c>
      <c r="B230" s="25" t="s">
        <v>26</v>
      </c>
      <c r="C230" s="12" t="s">
        <v>275</v>
      </c>
      <c r="D230" s="31">
        <f>'Summary by Site'!$F$28</f>
        <v>2</v>
      </c>
    </row>
    <row r="231" spans="1:4" x14ac:dyDescent="0.25">
      <c r="A231" s="29" t="s">
        <v>22</v>
      </c>
      <c r="B231" s="33" t="s">
        <v>26</v>
      </c>
      <c r="C231" s="14" t="s">
        <v>276</v>
      </c>
      <c r="D231" s="32">
        <f>'Summary by Site'!$F$29</f>
        <v>0.99555555555555553</v>
      </c>
    </row>
    <row r="232" spans="1:4" x14ac:dyDescent="0.25">
      <c r="A232" s="28" t="s">
        <v>22</v>
      </c>
      <c r="B232" s="25" t="s">
        <v>26</v>
      </c>
      <c r="C232" s="12" t="s">
        <v>277</v>
      </c>
      <c r="D232" s="31">
        <f>'Summary by Site'!$F$30</f>
        <v>6552</v>
      </c>
    </row>
    <row r="233" spans="1:4" x14ac:dyDescent="0.25">
      <c r="A233" s="28" t="s">
        <v>22</v>
      </c>
      <c r="B233" s="25" t="s">
        <v>26</v>
      </c>
      <c r="C233" s="12" t="s">
        <v>278</v>
      </c>
      <c r="D233" s="31">
        <f>'Summary by Site'!$F$31</f>
        <v>1467</v>
      </c>
    </row>
    <row r="234" spans="1:4" x14ac:dyDescent="0.25">
      <c r="A234" s="28" t="s">
        <v>22</v>
      </c>
      <c r="B234" s="25" t="s">
        <v>26</v>
      </c>
      <c r="C234" s="12" t="s">
        <v>279</v>
      </c>
      <c r="D234" s="31">
        <f>'Summary by Site'!$F$32</f>
        <v>0</v>
      </c>
    </row>
    <row r="235" spans="1:4" x14ac:dyDescent="0.25">
      <c r="A235" s="28" t="s">
        <v>22</v>
      </c>
      <c r="B235" s="25" t="s">
        <v>26</v>
      </c>
      <c r="C235" s="12" t="s">
        <v>280</v>
      </c>
      <c r="D235" s="31">
        <f>'Summary by Site'!$F$33</f>
        <v>8</v>
      </c>
    </row>
    <row r="236" spans="1:4" x14ac:dyDescent="0.25">
      <c r="A236" s="28" t="s">
        <v>22</v>
      </c>
      <c r="B236" s="25" t="s">
        <v>26</v>
      </c>
      <c r="C236" s="12" t="s">
        <v>281</v>
      </c>
      <c r="D236" s="31">
        <f>'Summary by Site'!$F$34</f>
        <v>2442</v>
      </c>
    </row>
    <row r="237" spans="1:4" x14ac:dyDescent="0.25">
      <c r="A237" s="28" t="s">
        <v>22</v>
      </c>
      <c r="B237" s="25" t="s">
        <v>26</v>
      </c>
      <c r="C237" s="12" t="s">
        <v>282</v>
      </c>
      <c r="D237" s="31">
        <f>'Summary by Site'!$F$35</f>
        <v>36</v>
      </c>
    </row>
    <row r="238" spans="1:4" x14ac:dyDescent="0.25">
      <c r="A238" s="28" t="s">
        <v>22</v>
      </c>
      <c r="B238" s="25" t="s">
        <v>26</v>
      </c>
      <c r="C238" s="12" t="s">
        <v>283</v>
      </c>
      <c r="D238" s="31">
        <f>'Summary by Site'!$F$36</f>
        <v>2535</v>
      </c>
    </row>
    <row r="239" spans="1:4" x14ac:dyDescent="0.25">
      <c r="A239" s="28" t="s">
        <v>22</v>
      </c>
      <c r="B239" s="25" t="s">
        <v>26</v>
      </c>
      <c r="C239" s="12" t="s">
        <v>284</v>
      </c>
      <c r="D239" s="31">
        <f>'Summary by Site'!$F$37</f>
        <v>64</v>
      </c>
    </row>
    <row r="240" spans="1:4" x14ac:dyDescent="0.25">
      <c r="A240" s="29" t="s">
        <v>22</v>
      </c>
      <c r="B240" s="33" t="s">
        <v>26</v>
      </c>
      <c r="C240" s="14" t="s">
        <v>285</v>
      </c>
      <c r="D240" s="32">
        <f>'Summary by Site'!$F$38</f>
        <v>0.99328449328449331</v>
      </c>
    </row>
    <row r="241" spans="1:4" x14ac:dyDescent="0.25">
      <c r="A241" s="29" t="s">
        <v>22</v>
      </c>
      <c r="B241" s="33" t="s">
        <v>26</v>
      </c>
      <c r="C241" s="14" t="s">
        <v>286</v>
      </c>
      <c r="D241" s="32">
        <f>'Summary by Site'!$F$39</f>
        <v>0.99343044844330186</v>
      </c>
    </row>
    <row r="242" spans="1:4" x14ac:dyDescent="0.25">
      <c r="A242" s="27" t="s">
        <v>22</v>
      </c>
      <c r="B242" s="24" t="s">
        <v>38</v>
      </c>
      <c r="C242" s="21" t="s">
        <v>272</v>
      </c>
      <c r="D242" s="30">
        <f>'Summary by Site'!$G$24</f>
        <v>425</v>
      </c>
    </row>
    <row r="243" spans="1:4" x14ac:dyDescent="0.25">
      <c r="A243" s="28" t="s">
        <v>22</v>
      </c>
      <c r="B243" s="25" t="s">
        <v>38</v>
      </c>
      <c r="C243" s="12" t="s">
        <v>0</v>
      </c>
      <c r="D243" s="31">
        <f>'Summary by Site'!$G$25</f>
        <v>423</v>
      </c>
    </row>
    <row r="244" spans="1:4" x14ac:dyDescent="0.25">
      <c r="A244" s="28" t="s">
        <v>22</v>
      </c>
      <c r="B244" s="25" t="s">
        <v>38</v>
      </c>
      <c r="C244" s="12" t="s">
        <v>273</v>
      </c>
      <c r="D244" s="31">
        <f>'Summary by Site'!$G$26</f>
        <v>0</v>
      </c>
    </row>
    <row r="245" spans="1:4" x14ac:dyDescent="0.25">
      <c r="A245" s="28" t="s">
        <v>22</v>
      </c>
      <c r="B245" s="25" t="s">
        <v>38</v>
      </c>
      <c r="C245" s="12" t="s">
        <v>274</v>
      </c>
      <c r="D245" s="31">
        <f>'Summary by Site'!$G$27</f>
        <v>0</v>
      </c>
    </row>
    <row r="246" spans="1:4" x14ac:dyDescent="0.25">
      <c r="A246" s="28" t="s">
        <v>22</v>
      </c>
      <c r="B246" s="25" t="s">
        <v>38</v>
      </c>
      <c r="C246" s="12" t="s">
        <v>275</v>
      </c>
      <c r="D246" s="31">
        <f>'Summary by Site'!$G$28</f>
        <v>2</v>
      </c>
    </row>
    <row r="247" spans="1:4" x14ac:dyDescent="0.25">
      <c r="A247" s="29" t="s">
        <v>22</v>
      </c>
      <c r="B247" s="33" t="s">
        <v>38</v>
      </c>
      <c r="C247" s="14" t="s">
        <v>276</v>
      </c>
      <c r="D247" s="32">
        <f>'Summary by Site'!$G$29</f>
        <v>0.99529411764705877</v>
      </c>
    </row>
    <row r="248" spans="1:4" x14ac:dyDescent="0.25">
      <c r="A248" s="28" t="s">
        <v>22</v>
      </c>
      <c r="B248" s="25" t="s">
        <v>38</v>
      </c>
      <c r="C248" s="12" t="s">
        <v>277</v>
      </c>
      <c r="D248" s="31">
        <f>'Summary by Site'!$G$30</f>
        <v>6075</v>
      </c>
    </row>
    <row r="249" spans="1:4" x14ac:dyDescent="0.25">
      <c r="A249" s="28" t="s">
        <v>22</v>
      </c>
      <c r="B249" s="25" t="s">
        <v>38</v>
      </c>
      <c r="C249" s="12" t="s">
        <v>278</v>
      </c>
      <c r="D249" s="31">
        <f>'Summary by Site'!$G$31</f>
        <v>1486</v>
      </c>
    </row>
    <row r="250" spans="1:4" x14ac:dyDescent="0.25">
      <c r="A250" s="28" t="s">
        <v>22</v>
      </c>
      <c r="B250" s="25" t="s">
        <v>38</v>
      </c>
      <c r="C250" s="12" t="s">
        <v>279</v>
      </c>
      <c r="D250" s="31">
        <f>'Summary by Site'!$G$32</f>
        <v>0</v>
      </c>
    </row>
    <row r="251" spans="1:4" x14ac:dyDescent="0.25">
      <c r="A251" s="28" t="s">
        <v>22</v>
      </c>
      <c r="B251" s="25" t="s">
        <v>38</v>
      </c>
      <c r="C251" s="12" t="s">
        <v>280</v>
      </c>
      <c r="D251" s="31">
        <f>'Summary by Site'!$G$33</f>
        <v>4</v>
      </c>
    </row>
    <row r="252" spans="1:4" x14ac:dyDescent="0.25">
      <c r="A252" s="28" t="s">
        <v>22</v>
      </c>
      <c r="B252" s="25" t="s">
        <v>38</v>
      </c>
      <c r="C252" s="12" t="s">
        <v>281</v>
      </c>
      <c r="D252" s="31">
        <f>'Summary by Site'!$G$34</f>
        <v>2308</v>
      </c>
    </row>
    <row r="253" spans="1:4" x14ac:dyDescent="0.25">
      <c r="A253" s="28" t="s">
        <v>22</v>
      </c>
      <c r="B253" s="25" t="s">
        <v>38</v>
      </c>
      <c r="C253" s="12" t="s">
        <v>282</v>
      </c>
      <c r="D253" s="31">
        <f>'Summary by Site'!$G$35</f>
        <v>72</v>
      </c>
    </row>
    <row r="254" spans="1:4" x14ac:dyDescent="0.25">
      <c r="A254" s="28" t="s">
        <v>22</v>
      </c>
      <c r="B254" s="25" t="s">
        <v>38</v>
      </c>
      <c r="C254" s="12" t="s">
        <v>283</v>
      </c>
      <c r="D254" s="31">
        <f>'Summary by Site'!$G$36</f>
        <v>2157</v>
      </c>
    </row>
    <row r="255" spans="1:4" x14ac:dyDescent="0.25">
      <c r="A255" s="28" t="s">
        <v>22</v>
      </c>
      <c r="B255" s="25" t="s">
        <v>38</v>
      </c>
      <c r="C255" s="12" t="s">
        <v>284</v>
      </c>
      <c r="D255" s="31">
        <f>'Summary by Site'!$G$37</f>
        <v>48</v>
      </c>
    </row>
    <row r="256" spans="1:4" x14ac:dyDescent="0.25">
      <c r="A256" s="29" t="s">
        <v>22</v>
      </c>
      <c r="B256" s="33" t="s">
        <v>38</v>
      </c>
      <c r="C256" s="14" t="s">
        <v>285</v>
      </c>
      <c r="D256" s="32">
        <f>'Summary by Site'!$G$38</f>
        <v>0.98748971193415636</v>
      </c>
    </row>
    <row r="257" spans="1:4" x14ac:dyDescent="0.25">
      <c r="A257" s="29" t="s">
        <v>22</v>
      </c>
      <c r="B257" s="33" t="s">
        <v>38</v>
      </c>
      <c r="C257" s="14" t="s">
        <v>286</v>
      </c>
      <c r="D257" s="32">
        <f>'Summary by Site'!$G$39</f>
        <v>0.98799999999999999</v>
      </c>
    </row>
    <row r="258" spans="1:4" x14ac:dyDescent="0.25">
      <c r="A258" s="27" t="s">
        <v>22</v>
      </c>
      <c r="B258" s="24" t="s">
        <v>44</v>
      </c>
      <c r="C258" s="21" t="s">
        <v>272</v>
      </c>
      <c r="D258" s="30">
        <f>'Summary by Site'!$H$24</f>
        <v>453</v>
      </c>
    </row>
    <row r="259" spans="1:4" x14ac:dyDescent="0.25">
      <c r="A259" s="28" t="s">
        <v>22</v>
      </c>
      <c r="B259" s="25" t="s">
        <v>44</v>
      </c>
      <c r="C259" s="12" t="s">
        <v>0</v>
      </c>
      <c r="D259" s="31">
        <f>'Summary by Site'!$H$25</f>
        <v>447</v>
      </c>
    </row>
    <row r="260" spans="1:4" x14ac:dyDescent="0.25">
      <c r="A260" s="28" t="s">
        <v>22</v>
      </c>
      <c r="B260" s="25" t="s">
        <v>44</v>
      </c>
      <c r="C260" s="12" t="s">
        <v>273</v>
      </c>
      <c r="D260" s="31">
        <f>'Summary by Site'!$H$26</f>
        <v>0</v>
      </c>
    </row>
    <row r="261" spans="1:4" x14ac:dyDescent="0.25">
      <c r="A261" s="28" t="s">
        <v>22</v>
      </c>
      <c r="B261" s="25" t="s">
        <v>44</v>
      </c>
      <c r="C261" s="12" t="s">
        <v>274</v>
      </c>
      <c r="D261" s="31">
        <f>'Summary by Site'!$H$27</f>
        <v>0</v>
      </c>
    </row>
    <row r="262" spans="1:4" x14ac:dyDescent="0.25">
      <c r="A262" s="28" t="s">
        <v>22</v>
      </c>
      <c r="B262" s="25" t="s">
        <v>44</v>
      </c>
      <c r="C262" s="12" t="s">
        <v>275</v>
      </c>
      <c r="D262" s="31">
        <f>'Summary by Site'!$H$28</f>
        <v>6</v>
      </c>
    </row>
    <row r="263" spans="1:4" x14ac:dyDescent="0.25">
      <c r="A263" s="29" t="s">
        <v>22</v>
      </c>
      <c r="B263" s="33" t="s">
        <v>44</v>
      </c>
      <c r="C263" s="14" t="s">
        <v>276</v>
      </c>
      <c r="D263" s="32">
        <f>'Summary by Site'!$H$29</f>
        <v>0.98675496688741726</v>
      </c>
    </row>
    <row r="264" spans="1:4" x14ac:dyDescent="0.25">
      <c r="A264" s="28" t="s">
        <v>22</v>
      </c>
      <c r="B264" s="25" t="s">
        <v>44</v>
      </c>
      <c r="C264" s="12" t="s">
        <v>277</v>
      </c>
      <c r="D264" s="31">
        <f>'Summary by Site'!$H$30</f>
        <v>6251</v>
      </c>
    </row>
    <row r="265" spans="1:4" x14ac:dyDescent="0.25">
      <c r="A265" s="28" t="s">
        <v>22</v>
      </c>
      <c r="B265" s="25" t="s">
        <v>44</v>
      </c>
      <c r="C265" s="12" t="s">
        <v>278</v>
      </c>
      <c r="D265" s="31">
        <f>'Summary by Site'!$H$31</f>
        <v>1405</v>
      </c>
    </row>
    <row r="266" spans="1:4" x14ac:dyDescent="0.25">
      <c r="A266" s="28" t="s">
        <v>22</v>
      </c>
      <c r="B266" s="25" t="s">
        <v>44</v>
      </c>
      <c r="C266" s="12" t="s">
        <v>279</v>
      </c>
      <c r="D266" s="31">
        <f>'Summary by Site'!$H$32</f>
        <v>0</v>
      </c>
    </row>
    <row r="267" spans="1:4" x14ac:dyDescent="0.25">
      <c r="A267" s="28" t="s">
        <v>22</v>
      </c>
      <c r="B267" s="25" t="s">
        <v>44</v>
      </c>
      <c r="C267" s="12" t="s">
        <v>280</v>
      </c>
      <c r="D267" s="31">
        <f>'Summary by Site'!$H$33</f>
        <v>22</v>
      </c>
    </row>
    <row r="268" spans="1:4" x14ac:dyDescent="0.25">
      <c r="A268" s="28" t="s">
        <v>22</v>
      </c>
      <c r="B268" s="25" t="s">
        <v>44</v>
      </c>
      <c r="C268" s="12" t="s">
        <v>281</v>
      </c>
      <c r="D268" s="31">
        <f>'Summary by Site'!$H$34</f>
        <v>2742</v>
      </c>
    </row>
    <row r="269" spans="1:4" x14ac:dyDescent="0.25">
      <c r="A269" s="28" t="s">
        <v>22</v>
      </c>
      <c r="B269" s="25" t="s">
        <v>44</v>
      </c>
      <c r="C269" s="12" t="s">
        <v>282</v>
      </c>
      <c r="D269" s="31">
        <f>'Summary by Site'!$H$35</f>
        <v>36</v>
      </c>
    </row>
    <row r="270" spans="1:4" x14ac:dyDescent="0.25">
      <c r="A270" s="28" t="s">
        <v>22</v>
      </c>
      <c r="B270" s="25" t="s">
        <v>44</v>
      </c>
      <c r="C270" s="12" t="s">
        <v>283</v>
      </c>
      <c r="D270" s="31">
        <f>'Summary by Site'!$H$36</f>
        <v>2007</v>
      </c>
    </row>
    <row r="271" spans="1:4" x14ac:dyDescent="0.25">
      <c r="A271" s="28" t="s">
        <v>22</v>
      </c>
      <c r="B271" s="25" t="s">
        <v>44</v>
      </c>
      <c r="C271" s="12" t="s">
        <v>284</v>
      </c>
      <c r="D271" s="31">
        <f>'Summary by Site'!$H$37</f>
        <v>39</v>
      </c>
    </row>
    <row r="272" spans="1:4" x14ac:dyDescent="0.25">
      <c r="A272" s="29" t="s">
        <v>22</v>
      </c>
      <c r="B272" s="33" t="s">
        <v>44</v>
      </c>
      <c r="C272" s="14" t="s">
        <v>285</v>
      </c>
      <c r="D272" s="32">
        <f>'Summary by Site'!$H$38</f>
        <v>0.99072148456247</v>
      </c>
    </row>
    <row r="273" spans="1:4" x14ac:dyDescent="0.25">
      <c r="A273" s="29" t="s">
        <v>22</v>
      </c>
      <c r="B273" s="33" t="s">
        <v>44</v>
      </c>
      <c r="C273" s="14" t="s">
        <v>286</v>
      </c>
      <c r="D273" s="32">
        <f>'Summary by Site'!$H$39</f>
        <v>0.99045346062052508</v>
      </c>
    </row>
    <row r="274" spans="1:4" x14ac:dyDescent="0.25">
      <c r="A274" s="27" t="s">
        <v>22</v>
      </c>
      <c r="B274" s="24" t="s">
        <v>45</v>
      </c>
      <c r="C274" s="21" t="s">
        <v>272</v>
      </c>
      <c r="D274" s="30">
        <f>'Summary by Site'!$I$24</f>
        <v>393</v>
      </c>
    </row>
    <row r="275" spans="1:4" x14ac:dyDescent="0.25">
      <c r="A275" s="28" t="s">
        <v>22</v>
      </c>
      <c r="B275" s="25" t="s">
        <v>45</v>
      </c>
      <c r="C275" s="12" t="s">
        <v>0</v>
      </c>
      <c r="D275" s="31">
        <f>'Summary by Site'!$I$25</f>
        <v>388</v>
      </c>
    </row>
    <row r="276" spans="1:4" x14ac:dyDescent="0.25">
      <c r="A276" s="28" t="s">
        <v>22</v>
      </c>
      <c r="B276" s="25" t="s">
        <v>45</v>
      </c>
      <c r="C276" s="12" t="s">
        <v>273</v>
      </c>
      <c r="D276" s="31">
        <f>'Summary by Site'!$I$26</f>
        <v>0</v>
      </c>
    </row>
    <row r="277" spans="1:4" x14ac:dyDescent="0.25">
      <c r="A277" s="28" t="s">
        <v>22</v>
      </c>
      <c r="B277" s="25" t="s">
        <v>45</v>
      </c>
      <c r="C277" s="12" t="s">
        <v>274</v>
      </c>
      <c r="D277" s="31">
        <f>'Summary by Site'!$I$27</f>
        <v>0</v>
      </c>
    </row>
    <row r="278" spans="1:4" x14ac:dyDescent="0.25">
      <c r="A278" s="28" t="s">
        <v>22</v>
      </c>
      <c r="B278" s="25" t="s">
        <v>45</v>
      </c>
      <c r="C278" s="12" t="s">
        <v>275</v>
      </c>
      <c r="D278" s="31">
        <f>'Summary by Site'!$I$28</f>
        <v>5</v>
      </c>
    </row>
    <row r="279" spans="1:4" x14ac:dyDescent="0.25">
      <c r="A279" s="29" t="s">
        <v>22</v>
      </c>
      <c r="B279" s="33" t="s">
        <v>45</v>
      </c>
      <c r="C279" s="14" t="s">
        <v>276</v>
      </c>
      <c r="D279" s="32">
        <f>'Summary by Site'!$I$29</f>
        <v>0.98727735368956748</v>
      </c>
    </row>
    <row r="280" spans="1:4" x14ac:dyDescent="0.25">
      <c r="A280" s="28" t="s">
        <v>22</v>
      </c>
      <c r="B280" s="25" t="s">
        <v>45</v>
      </c>
      <c r="C280" s="12" t="s">
        <v>277</v>
      </c>
      <c r="D280" s="31">
        <f>'Summary by Site'!$I$30</f>
        <v>5279</v>
      </c>
    </row>
    <row r="281" spans="1:4" x14ac:dyDescent="0.25">
      <c r="A281" s="28" t="s">
        <v>22</v>
      </c>
      <c r="B281" s="25" t="s">
        <v>45</v>
      </c>
      <c r="C281" s="12" t="s">
        <v>278</v>
      </c>
      <c r="D281" s="31">
        <f>'Summary by Site'!$I$31</f>
        <v>981</v>
      </c>
    </row>
    <row r="282" spans="1:4" x14ac:dyDescent="0.25">
      <c r="A282" s="28" t="s">
        <v>22</v>
      </c>
      <c r="B282" s="25" t="s">
        <v>45</v>
      </c>
      <c r="C282" s="12" t="s">
        <v>279</v>
      </c>
      <c r="D282" s="31">
        <f>'Summary by Site'!$I$32</f>
        <v>1</v>
      </c>
    </row>
    <row r="283" spans="1:4" x14ac:dyDescent="0.25">
      <c r="A283" s="28" t="s">
        <v>22</v>
      </c>
      <c r="B283" s="25" t="s">
        <v>45</v>
      </c>
      <c r="C283" s="12" t="s">
        <v>280</v>
      </c>
      <c r="D283" s="31">
        <f>'Summary by Site'!$I$33</f>
        <v>2337</v>
      </c>
    </row>
    <row r="284" spans="1:4" x14ac:dyDescent="0.25">
      <c r="A284" s="28" t="s">
        <v>22</v>
      </c>
      <c r="B284" s="25" t="s">
        <v>45</v>
      </c>
      <c r="C284" s="12" t="s">
        <v>281</v>
      </c>
      <c r="D284" s="31">
        <f>'Summary by Site'!$I$34</f>
        <v>67</v>
      </c>
    </row>
    <row r="285" spans="1:4" x14ac:dyDescent="0.25">
      <c r="A285" s="28" t="s">
        <v>22</v>
      </c>
      <c r="B285" s="25" t="s">
        <v>45</v>
      </c>
      <c r="C285" s="12" t="s">
        <v>282</v>
      </c>
      <c r="D285" s="31">
        <f>'Summary by Site'!$I$35</f>
        <v>1855</v>
      </c>
    </row>
    <row r="286" spans="1:4" x14ac:dyDescent="0.25">
      <c r="A286" s="28" t="s">
        <v>22</v>
      </c>
      <c r="B286" s="25" t="s">
        <v>45</v>
      </c>
      <c r="C286" s="12" t="s">
        <v>283</v>
      </c>
      <c r="D286" s="31">
        <f>'Summary by Site'!$I$36</f>
        <v>38</v>
      </c>
    </row>
    <row r="287" spans="1:4" x14ac:dyDescent="0.25">
      <c r="A287" s="28" t="s">
        <v>22</v>
      </c>
      <c r="B287" s="25" t="s">
        <v>45</v>
      </c>
      <c r="C287" s="12" t="s">
        <v>284</v>
      </c>
      <c r="D287" s="31">
        <f>'Summary by Site'!$I$37</f>
        <v>27.753831035597436</v>
      </c>
    </row>
    <row r="288" spans="1:4" x14ac:dyDescent="0.25">
      <c r="A288" s="29" t="s">
        <v>22</v>
      </c>
      <c r="B288" s="33" t="s">
        <v>45</v>
      </c>
      <c r="C288" s="14" t="s">
        <v>285</v>
      </c>
      <c r="D288" s="32">
        <f>'Summary by Site'!$I$38</f>
        <v>0.21116761338048823</v>
      </c>
    </row>
    <row r="289" spans="1:4" x14ac:dyDescent="0.25">
      <c r="A289" s="29" t="s">
        <v>22</v>
      </c>
      <c r="B289" s="33" t="s">
        <v>45</v>
      </c>
      <c r="C289" s="14" t="s">
        <v>286</v>
      </c>
      <c r="D289" s="32">
        <f>'Summary by Site'!$I$39</f>
        <v>0.26494249489344102</v>
      </c>
    </row>
    <row r="290" spans="1:4" x14ac:dyDescent="0.25">
      <c r="A290" s="27" t="s">
        <v>22</v>
      </c>
      <c r="B290" s="24" t="s">
        <v>46</v>
      </c>
      <c r="C290" s="21" t="s">
        <v>272</v>
      </c>
      <c r="D290" s="30">
        <f>'Summary by Site'!$J$24</f>
        <v>446</v>
      </c>
    </row>
    <row r="291" spans="1:4" x14ac:dyDescent="0.25">
      <c r="A291" s="28" t="s">
        <v>22</v>
      </c>
      <c r="B291" s="25" t="s">
        <v>46</v>
      </c>
      <c r="C291" s="12" t="s">
        <v>0</v>
      </c>
      <c r="D291" s="31">
        <f>'Summary by Site'!$J$25</f>
        <v>445</v>
      </c>
    </row>
    <row r="292" spans="1:4" x14ac:dyDescent="0.25">
      <c r="A292" s="28" t="s">
        <v>22</v>
      </c>
      <c r="B292" s="25" t="s">
        <v>46</v>
      </c>
      <c r="C292" s="12" t="s">
        <v>273</v>
      </c>
      <c r="D292" s="31">
        <f>'Summary by Site'!$J$26</f>
        <v>0</v>
      </c>
    </row>
    <row r="293" spans="1:4" x14ac:dyDescent="0.25">
      <c r="A293" s="28" t="s">
        <v>22</v>
      </c>
      <c r="B293" s="25" t="s">
        <v>46</v>
      </c>
      <c r="C293" s="12" t="s">
        <v>274</v>
      </c>
      <c r="D293" s="31">
        <f>'Summary by Site'!$J$27</f>
        <v>0</v>
      </c>
    </row>
    <row r="294" spans="1:4" x14ac:dyDescent="0.25">
      <c r="A294" s="28" t="s">
        <v>22</v>
      </c>
      <c r="B294" s="25" t="s">
        <v>46</v>
      </c>
      <c r="C294" s="12" t="s">
        <v>275</v>
      </c>
      <c r="D294" s="31">
        <f>'Summary by Site'!$J$28</f>
        <v>1</v>
      </c>
    </row>
    <row r="295" spans="1:4" x14ac:dyDescent="0.25">
      <c r="A295" s="29" t="s">
        <v>22</v>
      </c>
      <c r="B295" s="33" t="s">
        <v>46</v>
      </c>
      <c r="C295" s="14" t="s">
        <v>276</v>
      </c>
      <c r="D295" s="32">
        <f>'Summary by Site'!$J$29</f>
        <v>0.99775784753363228</v>
      </c>
    </row>
    <row r="296" spans="1:4" x14ac:dyDescent="0.25">
      <c r="A296" s="28" t="s">
        <v>22</v>
      </c>
      <c r="B296" s="25" t="s">
        <v>46</v>
      </c>
      <c r="C296" s="12" t="s">
        <v>277</v>
      </c>
      <c r="D296" s="31">
        <f>'Summary by Site'!$J$30</f>
        <v>6029</v>
      </c>
    </row>
    <row r="297" spans="1:4" x14ac:dyDescent="0.25">
      <c r="A297" s="28" t="s">
        <v>22</v>
      </c>
      <c r="B297" s="25" t="s">
        <v>46</v>
      </c>
      <c r="C297" s="12" t="s">
        <v>278</v>
      </c>
      <c r="D297" s="31">
        <f>'Summary by Site'!$J$31</f>
        <v>1183</v>
      </c>
    </row>
    <row r="298" spans="1:4" x14ac:dyDescent="0.25">
      <c r="A298" s="28" t="s">
        <v>22</v>
      </c>
      <c r="B298" s="25" t="s">
        <v>46</v>
      </c>
      <c r="C298" s="12" t="s">
        <v>279</v>
      </c>
      <c r="D298" s="31">
        <f>'Summary by Site'!$J$32</f>
        <v>0</v>
      </c>
    </row>
    <row r="299" spans="1:4" x14ac:dyDescent="0.25">
      <c r="A299" s="28" t="s">
        <v>22</v>
      </c>
      <c r="B299" s="25" t="s">
        <v>46</v>
      </c>
      <c r="C299" s="12" t="s">
        <v>280</v>
      </c>
      <c r="D299" s="31">
        <f>'Summary by Site'!$J$33</f>
        <v>7</v>
      </c>
    </row>
    <row r="300" spans="1:4" x14ac:dyDescent="0.25">
      <c r="A300" s="28" t="s">
        <v>22</v>
      </c>
      <c r="B300" s="25" t="s">
        <v>46</v>
      </c>
      <c r="C300" s="12" t="s">
        <v>281</v>
      </c>
      <c r="D300" s="31">
        <f>'Summary by Site'!$J$34</f>
        <v>2733</v>
      </c>
    </row>
    <row r="301" spans="1:4" x14ac:dyDescent="0.25">
      <c r="A301" s="28" t="s">
        <v>22</v>
      </c>
      <c r="B301" s="25" t="s">
        <v>46</v>
      </c>
      <c r="C301" s="12" t="s">
        <v>282</v>
      </c>
      <c r="D301" s="31">
        <f>'Summary by Site'!$J$35</f>
        <v>52</v>
      </c>
    </row>
    <row r="302" spans="1:4" x14ac:dyDescent="0.25">
      <c r="A302" s="28" t="s">
        <v>22</v>
      </c>
      <c r="B302" s="25" t="s">
        <v>46</v>
      </c>
      <c r="C302" s="12" t="s">
        <v>283</v>
      </c>
      <c r="D302" s="31">
        <f>'Summary by Site'!$J$36</f>
        <v>2014</v>
      </c>
    </row>
    <row r="303" spans="1:4" x14ac:dyDescent="0.25">
      <c r="A303" s="28" t="s">
        <v>22</v>
      </c>
      <c r="B303" s="25" t="s">
        <v>46</v>
      </c>
      <c r="C303" s="12" t="s">
        <v>284</v>
      </c>
      <c r="D303" s="31">
        <f>'Summary by Site'!$J$37</f>
        <v>40</v>
      </c>
    </row>
    <row r="304" spans="1:4" x14ac:dyDescent="0.25">
      <c r="A304" s="29" t="s">
        <v>22</v>
      </c>
      <c r="B304" s="33" t="s">
        <v>46</v>
      </c>
      <c r="C304" s="14" t="s">
        <v>285</v>
      </c>
      <c r="D304" s="32">
        <f>'Summary by Site'!$J$38</f>
        <v>0.99021396583181287</v>
      </c>
    </row>
    <row r="305" spans="1:4" x14ac:dyDescent="0.25">
      <c r="A305" s="29" t="s">
        <v>22</v>
      </c>
      <c r="B305" s="33" t="s">
        <v>46</v>
      </c>
      <c r="C305" s="14" t="s">
        <v>286</v>
      </c>
      <c r="D305" s="32">
        <f>'Summary by Site'!$J$39</f>
        <v>0.99073359073359069</v>
      </c>
    </row>
    <row r="306" spans="1:4" x14ac:dyDescent="0.25">
      <c r="A306" s="27" t="s">
        <v>22</v>
      </c>
      <c r="B306" s="24" t="s">
        <v>47</v>
      </c>
      <c r="C306" s="21" t="s">
        <v>272</v>
      </c>
      <c r="D306" s="30">
        <f>'Summary by Site'!$K$24</f>
        <v>429</v>
      </c>
    </row>
    <row r="307" spans="1:4" x14ac:dyDescent="0.25">
      <c r="A307" s="28" t="s">
        <v>22</v>
      </c>
      <c r="B307" s="25" t="s">
        <v>47</v>
      </c>
      <c r="C307" s="12" t="s">
        <v>0</v>
      </c>
      <c r="D307" s="31">
        <f>'Summary by Site'!$K$25</f>
        <v>428</v>
      </c>
    </row>
    <row r="308" spans="1:4" x14ac:dyDescent="0.25">
      <c r="A308" s="28" t="s">
        <v>22</v>
      </c>
      <c r="B308" s="25" t="s">
        <v>47</v>
      </c>
      <c r="C308" s="12" t="s">
        <v>273</v>
      </c>
      <c r="D308" s="31">
        <f>'Summary by Site'!$K$26</f>
        <v>0</v>
      </c>
    </row>
    <row r="309" spans="1:4" x14ac:dyDescent="0.25">
      <c r="A309" s="28" t="s">
        <v>22</v>
      </c>
      <c r="B309" s="25" t="s">
        <v>47</v>
      </c>
      <c r="C309" s="12" t="s">
        <v>274</v>
      </c>
      <c r="D309" s="31">
        <f>'Summary by Site'!$K$27</f>
        <v>0</v>
      </c>
    </row>
    <row r="310" spans="1:4" x14ac:dyDescent="0.25">
      <c r="A310" s="28" t="s">
        <v>22</v>
      </c>
      <c r="B310" s="25" t="s">
        <v>47</v>
      </c>
      <c r="C310" s="12" t="s">
        <v>275</v>
      </c>
      <c r="D310" s="31">
        <f>'Summary by Site'!$K$28</f>
        <v>1</v>
      </c>
    </row>
    <row r="311" spans="1:4" x14ac:dyDescent="0.25">
      <c r="A311" s="29" t="s">
        <v>22</v>
      </c>
      <c r="B311" s="33" t="s">
        <v>47</v>
      </c>
      <c r="C311" s="14" t="s">
        <v>276</v>
      </c>
      <c r="D311" s="32">
        <f>'Summary by Site'!$K$29</f>
        <v>0.99766899766899764</v>
      </c>
    </row>
    <row r="312" spans="1:4" x14ac:dyDescent="0.25">
      <c r="A312" s="28" t="s">
        <v>22</v>
      </c>
      <c r="B312" s="25" t="s">
        <v>47</v>
      </c>
      <c r="C312" s="12" t="s">
        <v>277</v>
      </c>
      <c r="D312" s="31">
        <f>'Summary by Site'!$K$30</f>
        <v>5877</v>
      </c>
    </row>
    <row r="313" spans="1:4" x14ac:dyDescent="0.25">
      <c r="A313" s="28" t="s">
        <v>22</v>
      </c>
      <c r="B313" s="25" t="s">
        <v>47</v>
      </c>
      <c r="C313" s="12" t="s">
        <v>278</v>
      </c>
      <c r="D313" s="31">
        <f>'Summary by Site'!$K$31</f>
        <v>1074</v>
      </c>
    </row>
    <row r="314" spans="1:4" x14ac:dyDescent="0.25">
      <c r="A314" s="28" t="s">
        <v>22</v>
      </c>
      <c r="B314" s="25" t="s">
        <v>47</v>
      </c>
      <c r="C314" s="12" t="s">
        <v>279</v>
      </c>
      <c r="D314" s="31">
        <f>'Summary by Site'!$K$32</f>
        <v>0</v>
      </c>
    </row>
    <row r="315" spans="1:4" x14ac:dyDescent="0.25">
      <c r="A315" s="28" t="s">
        <v>22</v>
      </c>
      <c r="B315" s="25" t="s">
        <v>47</v>
      </c>
      <c r="C315" s="12" t="s">
        <v>280</v>
      </c>
      <c r="D315" s="31">
        <f>'Summary by Site'!$K$33</f>
        <v>5</v>
      </c>
    </row>
    <row r="316" spans="1:4" x14ac:dyDescent="0.25">
      <c r="A316" s="28" t="s">
        <v>22</v>
      </c>
      <c r="B316" s="25" t="s">
        <v>47</v>
      </c>
      <c r="C316" s="12" t="s">
        <v>281</v>
      </c>
      <c r="D316" s="31">
        <f>'Summary by Site'!$K$34</f>
        <v>2745</v>
      </c>
    </row>
    <row r="317" spans="1:4" x14ac:dyDescent="0.25">
      <c r="A317" s="28" t="s">
        <v>22</v>
      </c>
      <c r="B317" s="25" t="s">
        <v>47</v>
      </c>
      <c r="C317" s="12" t="s">
        <v>282</v>
      </c>
      <c r="D317" s="31">
        <f>'Summary by Site'!$K$35</f>
        <v>32</v>
      </c>
    </row>
    <row r="318" spans="1:4" x14ac:dyDescent="0.25">
      <c r="A318" s="28" t="s">
        <v>22</v>
      </c>
      <c r="B318" s="25" t="s">
        <v>47</v>
      </c>
      <c r="C318" s="12" t="s">
        <v>283</v>
      </c>
      <c r="D318" s="31">
        <f>'Summary by Site'!$K$36</f>
        <v>1992</v>
      </c>
    </row>
    <row r="319" spans="1:4" x14ac:dyDescent="0.25">
      <c r="A319" s="28" t="s">
        <v>22</v>
      </c>
      <c r="B319" s="25" t="s">
        <v>47</v>
      </c>
      <c r="C319" s="12" t="s">
        <v>284</v>
      </c>
      <c r="D319" s="31">
        <f>'Summary by Site'!$K$37</f>
        <v>29</v>
      </c>
    </row>
    <row r="320" spans="1:4" x14ac:dyDescent="0.25">
      <c r="A320" s="29" t="s">
        <v>22</v>
      </c>
      <c r="B320" s="33" t="s">
        <v>47</v>
      </c>
      <c r="C320" s="14" t="s">
        <v>285</v>
      </c>
      <c r="D320" s="32">
        <f>'Summary by Site'!$K$38</f>
        <v>0.9937042708865067</v>
      </c>
    </row>
    <row r="321" spans="1:4" x14ac:dyDescent="0.25">
      <c r="A321" s="29" t="s">
        <v>22</v>
      </c>
      <c r="B321" s="33" t="s">
        <v>47</v>
      </c>
      <c r="C321" s="14" t="s">
        <v>286</v>
      </c>
      <c r="D321" s="32">
        <f>'Summary by Site'!$K$39</f>
        <v>0.99397399302251821</v>
      </c>
    </row>
    <row r="322" spans="1:4" x14ac:dyDescent="0.25">
      <c r="A322" s="27" t="s">
        <v>22</v>
      </c>
      <c r="B322" s="24" t="s">
        <v>50</v>
      </c>
      <c r="C322" s="21" t="s">
        <v>272</v>
      </c>
      <c r="D322" s="30">
        <f>'Summary by Site'!$L$24</f>
        <v>379</v>
      </c>
    </row>
    <row r="323" spans="1:4" x14ac:dyDescent="0.25">
      <c r="A323" s="28" t="s">
        <v>22</v>
      </c>
      <c r="B323" s="25" t="s">
        <v>50</v>
      </c>
      <c r="C323" s="12" t="s">
        <v>0</v>
      </c>
      <c r="D323" s="31">
        <f>'Summary by Site'!$L$25</f>
        <v>377</v>
      </c>
    </row>
    <row r="324" spans="1:4" x14ac:dyDescent="0.25">
      <c r="A324" s="28" t="s">
        <v>22</v>
      </c>
      <c r="B324" s="25" t="s">
        <v>50</v>
      </c>
      <c r="C324" s="12" t="s">
        <v>273</v>
      </c>
      <c r="D324" s="31">
        <f>'Summary by Site'!$L$26</f>
        <v>0</v>
      </c>
    </row>
    <row r="325" spans="1:4" x14ac:dyDescent="0.25">
      <c r="A325" s="28" t="s">
        <v>22</v>
      </c>
      <c r="B325" s="25" t="s">
        <v>50</v>
      </c>
      <c r="C325" s="12" t="s">
        <v>274</v>
      </c>
      <c r="D325" s="31">
        <f>'Summary by Site'!$L$27</f>
        <v>0</v>
      </c>
    </row>
    <row r="326" spans="1:4" x14ac:dyDescent="0.25">
      <c r="A326" s="28" t="s">
        <v>22</v>
      </c>
      <c r="B326" s="25" t="s">
        <v>50</v>
      </c>
      <c r="C326" s="12" t="s">
        <v>275</v>
      </c>
      <c r="D326" s="31">
        <f>'Summary by Site'!$L$28</f>
        <v>2</v>
      </c>
    </row>
    <row r="327" spans="1:4" x14ac:dyDescent="0.25">
      <c r="A327" s="29" t="s">
        <v>22</v>
      </c>
      <c r="B327" s="33" t="s">
        <v>50</v>
      </c>
      <c r="C327" s="14" t="s">
        <v>276</v>
      </c>
      <c r="D327" s="32">
        <f>'Summary by Site'!$L$29</f>
        <v>0.99472295514511877</v>
      </c>
    </row>
    <row r="328" spans="1:4" x14ac:dyDescent="0.25">
      <c r="A328" s="28" t="s">
        <v>22</v>
      </c>
      <c r="B328" s="25" t="s">
        <v>50</v>
      </c>
      <c r="C328" s="12" t="s">
        <v>277</v>
      </c>
      <c r="D328" s="31">
        <f>'Summary by Site'!$L$30</f>
        <v>5524</v>
      </c>
    </row>
    <row r="329" spans="1:4" x14ac:dyDescent="0.25">
      <c r="A329" s="28" t="s">
        <v>22</v>
      </c>
      <c r="B329" s="25" t="s">
        <v>50</v>
      </c>
      <c r="C329" s="12" t="s">
        <v>278</v>
      </c>
      <c r="D329" s="31">
        <f>'Summary by Site'!$L$31</f>
        <v>1035</v>
      </c>
    </row>
    <row r="330" spans="1:4" x14ac:dyDescent="0.25">
      <c r="A330" s="28" t="s">
        <v>22</v>
      </c>
      <c r="B330" s="25" t="s">
        <v>50</v>
      </c>
      <c r="C330" s="12" t="s">
        <v>279</v>
      </c>
      <c r="D330" s="31">
        <f>'Summary by Site'!$L$32</f>
        <v>0</v>
      </c>
    </row>
    <row r="331" spans="1:4" x14ac:dyDescent="0.25">
      <c r="A331" s="28" t="s">
        <v>22</v>
      </c>
      <c r="B331" s="25" t="s">
        <v>50</v>
      </c>
      <c r="C331" s="12" t="s">
        <v>280</v>
      </c>
      <c r="D331" s="31">
        <f>'Summary by Site'!$L$33</f>
        <v>5</v>
      </c>
    </row>
    <row r="332" spans="1:4" x14ac:dyDescent="0.25">
      <c r="A332" s="28" t="s">
        <v>22</v>
      </c>
      <c r="B332" s="25" t="s">
        <v>50</v>
      </c>
      <c r="C332" s="12" t="s">
        <v>281</v>
      </c>
      <c r="D332" s="31">
        <f>'Summary by Site'!$L$34</f>
        <v>2454</v>
      </c>
    </row>
    <row r="333" spans="1:4" x14ac:dyDescent="0.25">
      <c r="A333" s="28" t="s">
        <v>22</v>
      </c>
      <c r="B333" s="25" t="s">
        <v>50</v>
      </c>
      <c r="C333" s="12" t="s">
        <v>282</v>
      </c>
      <c r="D333" s="31">
        <f>'Summary by Site'!$L$35</f>
        <v>46</v>
      </c>
    </row>
    <row r="334" spans="1:4" x14ac:dyDescent="0.25">
      <c r="A334" s="28" t="s">
        <v>22</v>
      </c>
      <c r="B334" s="25" t="s">
        <v>50</v>
      </c>
      <c r="C334" s="12" t="s">
        <v>283</v>
      </c>
      <c r="D334" s="31">
        <f>'Summary by Site'!$L$36</f>
        <v>1947</v>
      </c>
    </row>
    <row r="335" spans="1:4" x14ac:dyDescent="0.25">
      <c r="A335" s="28" t="s">
        <v>22</v>
      </c>
      <c r="B335" s="25" t="s">
        <v>50</v>
      </c>
      <c r="C335" s="12" t="s">
        <v>284</v>
      </c>
      <c r="D335" s="31">
        <f>'Summary by Site'!$L$37</f>
        <v>37</v>
      </c>
    </row>
    <row r="336" spans="1:4" x14ac:dyDescent="0.25">
      <c r="A336" s="29" t="s">
        <v>22</v>
      </c>
      <c r="B336" s="33" t="s">
        <v>50</v>
      </c>
      <c r="C336" s="14" t="s">
        <v>285</v>
      </c>
      <c r="D336" s="32">
        <f>'Summary by Site'!$L$38</f>
        <v>0.99076755973931929</v>
      </c>
    </row>
    <row r="337" spans="1:4" x14ac:dyDescent="0.25">
      <c r="A337" s="29" t="s">
        <v>22</v>
      </c>
      <c r="B337" s="33" t="s">
        <v>50</v>
      </c>
      <c r="C337" s="14" t="s">
        <v>286</v>
      </c>
      <c r="D337" s="32">
        <f>'Summary by Site'!$L$39</f>
        <v>0.99102151448416065</v>
      </c>
    </row>
    <row r="338" spans="1:4" x14ac:dyDescent="0.25">
      <c r="A338" s="27" t="s">
        <v>22</v>
      </c>
      <c r="B338" s="24" t="s">
        <v>51</v>
      </c>
      <c r="C338" s="21" t="s">
        <v>272</v>
      </c>
      <c r="D338" s="30">
        <f>'Summary by Site'!$M$24</f>
        <v>396</v>
      </c>
    </row>
    <row r="339" spans="1:4" x14ac:dyDescent="0.25">
      <c r="A339" s="28" t="s">
        <v>22</v>
      </c>
      <c r="B339" s="25" t="s">
        <v>51</v>
      </c>
      <c r="C339" s="12" t="s">
        <v>0</v>
      </c>
      <c r="D339" s="31">
        <f>'Summary by Site'!$M$25</f>
        <v>393</v>
      </c>
    </row>
    <row r="340" spans="1:4" x14ac:dyDescent="0.25">
      <c r="A340" s="28" t="s">
        <v>22</v>
      </c>
      <c r="B340" s="25" t="s">
        <v>51</v>
      </c>
      <c r="C340" s="12" t="s">
        <v>273</v>
      </c>
      <c r="D340" s="31">
        <f>'Summary by Site'!$M$26</f>
        <v>0</v>
      </c>
    </row>
    <row r="341" spans="1:4" x14ac:dyDescent="0.25">
      <c r="A341" s="28" t="s">
        <v>22</v>
      </c>
      <c r="B341" s="25" t="s">
        <v>51</v>
      </c>
      <c r="C341" s="12" t="s">
        <v>274</v>
      </c>
      <c r="D341" s="31">
        <f>'Summary by Site'!$M$27</f>
        <v>0</v>
      </c>
    </row>
    <row r="342" spans="1:4" x14ac:dyDescent="0.25">
      <c r="A342" s="28" t="s">
        <v>22</v>
      </c>
      <c r="B342" s="25" t="s">
        <v>51</v>
      </c>
      <c r="C342" s="12" t="s">
        <v>275</v>
      </c>
      <c r="D342" s="31">
        <f>'Summary by Site'!$M$28</f>
        <v>3</v>
      </c>
    </row>
    <row r="343" spans="1:4" x14ac:dyDescent="0.25">
      <c r="A343" s="29" t="s">
        <v>22</v>
      </c>
      <c r="B343" s="33" t="s">
        <v>51</v>
      </c>
      <c r="C343" s="14" t="s">
        <v>276</v>
      </c>
      <c r="D343" s="32">
        <f>'Summary by Site'!$M$29</f>
        <v>0.99242424242424243</v>
      </c>
    </row>
    <row r="344" spans="1:4" x14ac:dyDescent="0.25">
      <c r="A344" s="28" t="s">
        <v>22</v>
      </c>
      <c r="B344" s="25" t="s">
        <v>51</v>
      </c>
      <c r="C344" s="12" t="s">
        <v>277</v>
      </c>
      <c r="D344" s="31">
        <f>'Summary by Site'!$M$30</f>
        <v>5773</v>
      </c>
    </row>
    <row r="345" spans="1:4" x14ac:dyDescent="0.25">
      <c r="A345" s="28" t="s">
        <v>22</v>
      </c>
      <c r="B345" s="25" t="s">
        <v>51</v>
      </c>
      <c r="C345" s="12" t="s">
        <v>278</v>
      </c>
      <c r="D345" s="31">
        <f>'Summary by Site'!$M$31</f>
        <v>1007</v>
      </c>
    </row>
    <row r="346" spans="1:4" x14ac:dyDescent="0.25">
      <c r="A346" s="28" t="s">
        <v>22</v>
      </c>
      <c r="B346" s="25" t="s">
        <v>51</v>
      </c>
      <c r="C346" s="12" t="s">
        <v>279</v>
      </c>
      <c r="D346" s="31">
        <f>'Summary by Site'!$M$32</f>
        <v>0</v>
      </c>
    </row>
    <row r="347" spans="1:4" x14ac:dyDescent="0.25">
      <c r="A347" s="28" t="s">
        <v>22</v>
      </c>
      <c r="B347" s="25" t="s">
        <v>51</v>
      </c>
      <c r="C347" s="12" t="s">
        <v>280</v>
      </c>
      <c r="D347" s="31">
        <f>'Summary by Site'!$M$33</f>
        <v>7</v>
      </c>
    </row>
    <row r="348" spans="1:4" x14ac:dyDescent="0.25">
      <c r="A348" s="28" t="s">
        <v>22</v>
      </c>
      <c r="B348" s="25" t="s">
        <v>51</v>
      </c>
      <c r="C348" s="12" t="s">
        <v>281</v>
      </c>
      <c r="D348" s="31">
        <f>'Summary by Site'!$M$34</f>
        <v>2590</v>
      </c>
    </row>
    <row r="349" spans="1:4" x14ac:dyDescent="0.25">
      <c r="A349" s="28" t="s">
        <v>22</v>
      </c>
      <c r="B349" s="25" t="s">
        <v>51</v>
      </c>
      <c r="C349" s="12" t="s">
        <v>282</v>
      </c>
      <c r="D349" s="31">
        <f>'Summary by Site'!$M$35</f>
        <v>14</v>
      </c>
    </row>
    <row r="350" spans="1:4" x14ac:dyDescent="0.25">
      <c r="A350" s="28" t="s">
        <v>22</v>
      </c>
      <c r="B350" s="25" t="s">
        <v>51</v>
      </c>
      <c r="C350" s="12" t="s">
        <v>283</v>
      </c>
      <c r="D350" s="31">
        <f>'Summary by Site'!$M$36</f>
        <v>2126</v>
      </c>
    </row>
    <row r="351" spans="1:4" x14ac:dyDescent="0.25">
      <c r="A351" s="28" t="s">
        <v>22</v>
      </c>
      <c r="B351" s="25" t="s">
        <v>51</v>
      </c>
      <c r="C351" s="12" t="s">
        <v>284</v>
      </c>
      <c r="D351" s="31">
        <f>'Summary by Site'!$M$37</f>
        <v>29</v>
      </c>
    </row>
    <row r="352" spans="1:4" x14ac:dyDescent="0.25">
      <c r="A352" s="29" t="s">
        <v>22</v>
      </c>
      <c r="B352" s="33" t="s">
        <v>51</v>
      </c>
      <c r="C352" s="14" t="s">
        <v>285</v>
      </c>
      <c r="D352" s="32">
        <f>'Summary by Site'!$M$38</f>
        <v>0.99636237658063398</v>
      </c>
    </row>
    <row r="353" spans="1:4" x14ac:dyDescent="0.25">
      <c r="A353" s="29" t="s">
        <v>22</v>
      </c>
      <c r="B353" s="33" t="s">
        <v>51</v>
      </c>
      <c r="C353" s="14" t="s">
        <v>286</v>
      </c>
      <c r="D353" s="32">
        <f>'Summary by Site'!$M$39</f>
        <v>0.99610958015885886</v>
      </c>
    </row>
    <row r="354" spans="1:4" x14ac:dyDescent="0.25">
      <c r="A354" s="27" t="s">
        <v>22</v>
      </c>
      <c r="B354" s="24" t="s">
        <v>89</v>
      </c>
      <c r="C354" s="21" t="s">
        <v>272</v>
      </c>
      <c r="D354" s="30">
        <f>'Summary by Site'!$N$24</f>
        <v>401</v>
      </c>
    </row>
    <row r="355" spans="1:4" x14ac:dyDescent="0.25">
      <c r="A355" s="28" t="s">
        <v>22</v>
      </c>
      <c r="B355" s="25" t="s">
        <v>89</v>
      </c>
      <c r="C355" s="12" t="s">
        <v>0</v>
      </c>
      <c r="D355" s="31">
        <f>'Summary by Site'!$N$25</f>
        <v>399</v>
      </c>
    </row>
    <row r="356" spans="1:4" x14ac:dyDescent="0.25">
      <c r="A356" s="28" t="s">
        <v>22</v>
      </c>
      <c r="B356" s="25" t="s">
        <v>89</v>
      </c>
      <c r="C356" s="12" t="s">
        <v>273</v>
      </c>
      <c r="D356" s="31">
        <f>'Summary by Site'!$N$26</f>
        <v>1</v>
      </c>
    </row>
    <row r="357" spans="1:4" x14ac:dyDescent="0.25">
      <c r="A357" s="28" t="s">
        <v>22</v>
      </c>
      <c r="B357" s="25" t="s">
        <v>89</v>
      </c>
      <c r="C357" s="12" t="s">
        <v>274</v>
      </c>
      <c r="D357" s="31">
        <f>'Summary by Site'!$N$27</f>
        <v>0</v>
      </c>
    </row>
    <row r="358" spans="1:4" x14ac:dyDescent="0.25">
      <c r="A358" s="28" t="s">
        <v>22</v>
      </c>
      <c r="B358" s="25" t="s">
        <v>89</v>
      </c>
      <c r="C358" s="12" t="s">
        <v>275</v>
      </c>
      <c r="D358" s="31">
        <f>'Summary by Site'!$N$28</f>
        <v>1</v>
      </c>
    </row>
    <row r="359" spans="1:4" x14ac:dyDescent="0.25">
      <c r="A359" s="29" t="s">
        <v>22</v>
      </c>
      <c r="B359" s="33" t="s">
        <v>89</v>
      </c>
      <c r="C359" s="14" t="s">
        <v>276</v>
      </c>
      <c r="D359" s="32">
        <f>'Summary by Site'!$N$29</f>
        <v>0.99750623441396513</v>
      </c>
    </row>
    <row r="360" spans="1:4" x14ac:dyDescent="0.25">
      <c r="A360" s="28" t="s">
        <v>22</v>
      </c>
      <c r="B360" s="25" t="s">
        <v>89</v>
      </c>
      <c r="C360" s="12" t="s">
        <v>277</v>
      </c>
      <c r="D360" s="31">
        <f>'Summary by Site'!$N$30</f>
        <v>5605</v>
      </c>
    </row>
    <row r="361" spans="1:4" x14ac:dyDescent="0.25">
      <c r="A361" s="28" t="s">
        <v>22</v>
      </c>
      <c r="B361" s="25" t="s">
        <v>89</v>
      </c>
      <c r="C361" s="12" t="s">
        <v>278</v>
      </c>
      <c r="D361" s="31">
        <f>'Summary by Site'!$N$31</f>
        <v>998</v>
      </c>
    </row>
    <row r="362" spans="1:4" x14ac:dyDescent="0.25">
      <c r="A362" s="28" t="s">
        <v>22</v>
      </c>
      <c r="B362" s="25" t="s">
        <v>89</v>
      </c>
      <c r="C362" s="12" t="s">
        <v>279</v>
      </c>
      <c r="D362" s="31">
        <f>'Summary by Site'!$N$32</f>
        <v>0</v>
      </c>
    </row>
    <row r="363" spans="1:4" x14ac:dyDescent="0.25">
      <c r="A363" s="28" t="s">
        <v>22</v>
      </c>
      <c r="B363" s="25" t="s">
        <v>89</v>
      </c>
      <c r="C363" s="12" t="s">
        <v>280</v>
      </c>
      <c r="D363" s="31">
        <f>'Summary by Site'!$N$33</f>
        <v>15</v>
      </c>
    </row>
    <row r="364" spans="1:4" x14ac:dyDescent="0.25">
      <c r="A364" s="28" t="s">
        <v>22</v>
      </c>
      <c r="B364" s="25" t="s">
        <v>89</v>
      </c>
      <c r="C364" s="12" t="s">
        <v>281</v>
      </c>
      <c r="D364" s="31">
        <f>'Summary by Site'!$N$34</f>
        <v>2455</v>
      </c>
    </row>
    <row r="365" spans="1:4" x14ac:dyDescent="0.25">
      <c r="A365" s="28" t="s">
        <v>22</v>
      </c>
      <c r="B365" s="25" t="s">
        <v>89</v>
      </c>
      <c r="C365" s="12" t="s">
        <v>282</v>
      </c>
      <c r="D365" s="31">
        <f>'Summary by Site'!$N$35</f>
        <v>39</v>
      </c>
    </row>
    <row r="366" spans="1:4" x14ac:dyDescent="0.25">
      <c r="A366" s="28" t="s">
        <v>22</v>
      </c>
      <c r="B366" s="25" t="s">
        <v>89</v>
      </c>
      <c r="C366" s="12" t="s">
        <v>283</v>
      </c>
      <c r="D366" s="31">
        <f>'Summary by Site'!$N$36</f>
        <v>2074</v>
      </c>
    </row>
    <row r="367" spans="1:4" x14ac:dyDescent="0.25">
      <c r="A367" s="28" t="s">
        <v>22</v>
      </c>
      <c r="B367" s="25" t="s">
        <v>89</v>
      </c>
      <c r="C367" s="12" t="s">
        <v>284</v>
      </c>
      <c r="D367" s="31">
        <f>'Summary by Site'!$N$37</f>
        <v>24</v>
      </c>
    </row>
    <row r="368" spans="1:4" x14ac:dyDescent="0.25">
      <c r="A368" s="29" t="s">
        <v>22</v>
      </c>
      <c r="B368" s="33" t="s">
        <v>89</v>
      </c>
      <c r="C368" s="14" t="s">
        <v>285</v>
      </c>
      <c r="D368" s="32">
        <f>'Summary by Site'!$N$38</f>
        <v>0.99036574487065121</v>
      </c>
    </row>
    <row r="369" spans="1:4" x14ac:dyDescent="0.25">
      <c r="A369" s="29" t="s">
        <v>22</v>
      </c>
      <c r="B369" s="33" t="s">
        <v>89</v>
      </c>
      <c r="C369" s="14" t="s">
        <v>286</v>
      </c>
      <c r="D369" s="32">
        <f>'Summary by Site'!$N$39</f>
        <v>0.99084249084249088</v>
      </c>
    </row>
    <row r="370" spans="1:4" x14ac:dyDescent="0.25">
      <c r="A370" s="27" t="s">
        <v>22</v>
      </c>
      <c r="B370" s="24" t="s">
        <v>271</v>
      </c>
      <c r="C370" s="21" t="s">
        <v>272</v>
      </c>
      <c r="D370" s="30">
        <f>'Summary by Site'!$O$24</f>
        <v>225</v>
      </c>
    </row>
    <row r="371" spans="1:4" x14ac:dyDescent="0.25">
      <c r="A371" s="28" t="s">
        <v>22</v>
      </c>
      <c r="B371" s="25" t="s">
        <v>271</v>
      </c>
      <c r="C371" s="12" t="s">
        <v>0</v>
      </c>
      <c r="D371" s="31">
        <f>'Summary by Site'!$O$25</f>
        <v>225</v>
      </c>
    </row>
    <row r="372" spans="1:4" x14ac:dyDescent="0.25">
      <c r="A372" s="28" t="s">
        <v>22</v>
      </c>
      <c r="B372" s="25" t="s">
        <v>271</v>
      </c>
      <c r="C372" s="12" t="s">
        <v>273</v>
      </c>
      <c r="D372" s="31">
        <f>'Summary by Site'!$O$26</f>
        <v>0</v>
      </c>
    </row>
    <row r="373" spans="1:4" x14ac:dyDescent="0.25">
      <c r="A373" s="28" t="s">
        <v>22</v>
      </c>
      <c r="B373" s="25" t="s">
        <v>271</v>
      </c>
      <c r="C373" s="12" t="s">
        <v>274</v>
      </c>
      <c r="D373" s="31">
        <f>'Summary by Site'!$O$27</f>
        <v>0</v>
      </c>
    </row>
    <row r="374" spans="1:4" x14ac:dyDescent="0.25">
      <c r="A374" s="28" t="s">
        <v>22</v>
      </c>
      <c r="B374" s="25" t="s">
        <v>271</v>
      </c>
      <c r="C374" s="12" t="s">
        <v>275</v>
      </c>
      <c r="D374" s="31">
        <f>'Summary by Site'!$O$28</f>
        <v>0</v>
      </c>
    </row>
    <row r="375" spans="1:4" x14ac:dyDescent="0.25">
      <c r="A375" s="29" t="s">
        <v>22</v>
      </c>
      <c r="B375" s="33" t="s">
        <v>271</v>
      </c>
      <c r="C375" s="14" t="s">
        <v>276</v>
      </c>
      <c r="D375" s="32">
        <f>'Summary by Site'!$O$29</f>
        <v>1</v>
      </c>
    </row>
    <row r="376" spans="1:4" x14ac:dyDescent="0.25">
      <c r="A376" s="28" t="s">
        <v>22</v>
      </c>
      <c r="B376" s="25" t="s">
        <v>271</v>
      </c>
      <c r="C376" s="12" t="s">
        <v>277</v>
      </c>
      <c r="D376" s="31">
        <f>'Summary by Site'!$O$30</f>
        <v>3410</v>
      </c>
    </row>
    <row r="377" spans="1:4" x14ac:dyDescent="0.25">
      <c r="A377" s="28" t="s">
        <v>22</v>
      </c>
      <c r="B377" s="25" t="s">
        <v>271</v>
      </c>
      <c r="C377" s="12" t="s">
        <v>278</v>
      </c>
      <c r="D377" s="31">
        <f>'Summary by Site'!$O$31</f>
        <v>591</v>
      </c>
    </row>
    <row r="378" spans="1:4" x14ac:dyDescent="0.25">
      <c r="A378" s="28" t="s">
        <v>22</v>
      </c>
      <c r="B378" s="25" t="s">
        <v>271</v>
      </c>
      <c r="C378" s="12" t="s">
        <v>279</v>
      </c>
      <c r="D378" s="31">
        <f>'Summary by Site'!$O$32</f>
        <v>0</v>
      </c>
    </row>
    <row r="379" spans="1:4" x14ac:dyDescent="0.25">
      <c r="A379" s="28" t="s">
        <v>22</v>
      </c>
      <c r="B379" s="25" t="s">
        <v>271</v>
      </c>
      <c r="C379" s="12" t="s">
        <v>280</v>
      </c>
      <c r="D379" s="31">
        <f>'Summary by Site'!$O$33</f>
        <v>4</v>
      </c>
    </row>
    <row r="380" spans="1:4" x14ac:dyDescent="0.25">
      <c r="A380" s="28" t="s">
        <v>22</v>
      </c>
      <c r="B380" s="25" t="s">
        <v>271</v>
      </c>
      <c r="C380" s="12" t="s">
        <v>281</v>
      </c>
      <c r="D380" s="31">
        <f>'Summary by Site'!$O$34</f>
        <v>1580</v>
      </c>
    </row>
    <row r="381" spans="1:4" x14ac:dyDescent="0.25">
      <c r="A381" s="28" t="s">
        <v>22</v>
      </c>
      <c r="B381" s="25" t="s">
        <v>271</v>
      </c>
      <c r="C381" s="12" t="s">
        <v>282</v>
      </c>
      <c r="D381" s="31">
        <f>'Summary by Site'!$O$35</f>
        <v>23</v>
      </c>
    </row>
    <row r="382" spans="1:4" x14ac:dyDescent="0.25">
      <c r="A382" s="28" t="s">
        <v>22</v>
      </c>
      <c r="B382" s="25" t="s">
        <v>271</v>
      </c>
      <c r="C382" s="12" t="s">
        <v>283</v>
      </c>
      <c r="D382" s="31">
        <f>'Summary by Site'!$O$36</f>
        <v>1200</v>
      </c>
    </row>
    <row r="383" spans="1:4" x14ac:dyDescent="0.25">
      <c r="A383" s="28" t="s">
        <v>22</v>
      </c>
      <c r="B383" s="25" t="s">
        <v>271</v>
      </c>
      <c r="C383" s="12" t="s">
        <v>284</v>
      </c>
      <c r="D383" s="31">
        <f>'Summary by Site'!$O$37</f>
        <v>12</v>
      </c>
    </row>
    <row r="384" spans="1:4" x14ac:dyDescent="0.25">
      <c r="A384" s="29" t="s">
        <v>22</v>
      </c>
      <c r="B384" s="33" t="s">
        <v>271</v>
      </c>
      <c r="C384" s="14" t="s">
        <v>285</v>
      </c>
      <c r="D384" s="32">
        <f>'Summary by Site'!$O$38</f>
        <v>0.99208211143695013</v>
      </c>
    </row>
    <row r="385" spans="1:4" x14ac:dyDescent="0.25">
      <c r="A385" s="29" t="s">
        <v>22</v>
      </c>
      <c r="B385" s="33" t="s">
        <v>271</v>
      </c>
      <c r="C385" s="14" t="s">
        <v>286</v>
      </c>
      <c r="D385" s="32">
        <f>'Summary by Site'!$O$39</f>
        <v>0.99257221458046763</v>
      </c>
    </row>
    <row r="386" spans="1:4" x14ac:dyDescent="0.25">
      <c r="A386" s="27" t="s">
        <v>23</v>
      </c>
      <c r="B386" s="24" t="s">
        <v>19</v>
      </c>
      <c r="C386" s="21" t="s">
        <v>272</v>
      </c>
      <c r="D386" s="30">
        <f>'Summary by Site'!$D$42</f>
        <v>121</v>
      </c>
    </row>
    <row r="387" spans="1:4" x14ac:dyDescent="0.25">
      <c r="A387" s="28" t="s">
        <v>23</v>
      </c>
      <c r="B387" s="25" t="s">
        <v>19</v>
      </c>
      <c r="C387" s="12" t="s">
        <v>0</v>
      </c>
      <c r="D387" s="31">
        <f>'Summary by Site'!$D$43</f>
        <v>121</v>
      </c>
    </row>
    <row r="388" spans="1:4" x14ac:dyDescent="0.25">
      <c r="A388" s="28" t="s">
        <v>23</v>
      </c>
      <c r="B388" s="25" t="s">
        <v>19</v>
      </c>
      <c r="C388" s="12" t="s">
        <v>273</v>
      </c>
      <c r="D388" s="31">
        <f>'Summary by Site'!$D$44</f>
        <v>0</v>
      </c>
    </row>
    <row r="389" spans="1:4" x14ac:dyDescent="0.25">
      <c r="A389" s="28" t="s">
        <v>23</v>
      </c>
      <c r="B389" s="25" t="s">
        <v>19</v>
      </c>
      <c r="C389" s="12" t="s">
        <v>274</v>
      </c>
      <c r="D389" s="31">
        <f>'Summary by Site'!$D$45</f>
        <v>0</v>
      </c>
    </row>
    <row r="390" spans="1:4" x14ac:dyDescent="0.25">
      <c r="A390" s="28" t="s">
        <v>23</v>
      </c>
      <c r="B390" s="25" t="s">
        <v>19</v>
      </c>
      <c r="C390" s="12" t="s">
        <v>275</v>
      </c>
      <c r="D390" s="31">
        <f>'Summary by Site'!$D$46</f>
        <v>0</v>
      </c>
    </row>
    <row r="391" spans="1:4" x14ac:dyDescent="0.25">
      <c r="A391" s="29" t="s">
        <v>23</v>
      </c>
      <c r="B391" s="26" t="s">
        <v>19</v>
      </c>
      <c r="C391" s="14" t="s">
        <v>276</v>
      </c>
      <c r="D391" s="32">
        <f>'Summary by Site'!$D$47</f>
        <v>1</v>
      </c>
    </row>
    <row r="392" spans="1:4" x14ac:dyDescent="0.25">
      <c r="A392" s="28" t="s">
        <v>23</v>
      </c>
      <c r="B392" s="25" t="s">
        <v>19</v>
      </c>
      <c r="C392" s="12" t="s">
        <v>277</v>
      </c>
      <c r="D392" s="31">
        <f>'Summary by Site'!$D$48</f>
        <v>1624</v>
      </c>
    </row>
    <row r="393" spans="1:4" x14ac:dyDescent="0.25">
      <c r="A393" s="28" t="s">
        <v>23</v>
      </c>
      <c r="B393" s="25" t="s">
        <v>19</v>
      </c>
      <c r="C393" s="12" t="s">
        <v>278</v>
      </c>
      <c r="D393" s="31">
        <f>'Summary by Site'!$D$49</f>
        <v>426</v>
      </c>
    </row>
    <row r="394" spans="1:4" x14ac:dyDescent="0.25">
      <c r="A394" s="28" t="s">
        <v>23</v>
      </c>
      <c r="B394" s="25" t="s">
        <v>19</v>
      </c>
      <c r="C394" s="12" t="s">
        <v>279</v>
      </c>
      <c r="D394" s="31">
        <f>'Summary by Site'!$D$50</f>
        <v>236</v>
      </c>
    </row>
    <row r="395" spans="1:4" x14ac:dyDescent="0.25">
      <c r="A395" s="28" t="s">
        <v>23</v>
      </c>
      <c r="B395" s="25" t="s">
        <v>19</v>
      </c>
      <c r="C395" s="12" t="s">
        <v>280</v>
      </c>
      <c r="D395" s="31">
        <f>'Summary by Site'!$D$51</f>
        <v>0</v>
      </c>
    </row>
    <row r="396" spans="1:4" x14ac:dyDescent="0.25">
      <c r="A396" s="28" t="s">
        <v>23</v>
      </c>
      <c r="B396" s="25" t="s">
        <v>19</v>
      </c>
      <c r="C396" s="12" t="s">
        <v>281</v>
      </c>
      <c r="D396" s="31">
        <f>'Summary by Site'!$D$52</f>
        <v>948</v>
      </c>
    </row>
    <row r="397" spans="1:4" x14ac:dyDescent="0.25">
      <c r="A397" s="28" t="s">
        <v>23</v>
      </c>
      <c r="B397" s="25" t="s">
        <v>19</v>
      </c>
      <c r="C397" s="12" t="s">
        <v>282</v>
      </c>
      <c r="D397" s="31">
        <f>'Summary by Site'!$D$53</f>
        <v>14</v>
      </c>
    </row>
    <row r="398" spans="1:4" x14ac:dyDescent="0.25">
      <c r="A398" s="28" t="s">
        <v>23</v>
      </c>
      <c r="B398" s="25" t="s">
        <v>19</v>
      </c>
      <c r="C398" s="12" t="s">
        <v>283</v>
      </c>
      <c r="D398" s="31">
        <f>'Summary by Site'!$D$54</f>
        <v>0</v>
      </c>
    </row>
    <row r="399" spans="1:4" x14ac:dyDescent="0.25">
      <c r="A399" s="28" t="s">
        <v>23</v>
      </c>
      <c r="B399" s="25" t="s">
        <v>19</v>
      </c>
      <c r="C399" s="12" t="s">
        <v>284</v>
      </c>
      <c r="D399" s="31">
        <f>'Summary by Site'!$D$55</f>
        <v>0</v>
      </c>
    </row>
    <row r="400" spans="1:4" x14ac:dyDescent="0.25">
      <c r="A400" s="29" t="s">
        <v>23</v>
      </c>
      <c r="B400" s="26" t="s">
        <v>19</v>
      </c>
      <c r="C400" s="14" t="s">
        <v>285</v>
      </c>
      <c r="D400" s="32">
        <f>'Summary by Site'!$D$56</f>
        <v>0.99137931034482762</v>
      </c>
    </row>
    <row r="401" spans="1:4" x14ac:dyDescent="0.25">
      <c r="A401" s="29" t="s">
        <v>23</v>
      </c>
      <c r="B401" s="26" t="s">
        <v>19</v>
      </c>
      <c r="C401" s="14" t="s">
        <v>286</v>
      </c>
      <c r="D401" s="32">
        <f>'Summary by Site'!$D$57</f>
        <v>0.99197707736389684</v>
      </c>
    </row>
    <row r="402" spans="1:4" x14ac:dyDescent="0.25">
      <c r="A402" s="27" t="s">
        <v>23</v>
      </c>
      <c r="B402" s="24" t="s">
        <v>25</v>
      </c>
      <c r="C402" s="21" t="s">
        <v>272</v>
      </c>
      <c r="D402" s="30">
        <f>'Summary by Site'!$E$42</f>
        <v>157</v>
      </c>
    </row>
    <row r="403" spans="1:4" x14ac:dyDescent="0.25">
      <c r="A403" s="28" t="s">
        <v>23</v>
      </c>
      <c r="B403" s="25" t="s">
        <v>25</v>
      </c>
      <c r="C403" s="12" t="s">
        <v>0</v>
      </c>
      <c r="D403" s="31">
        <f>'Summary by Site'!$E$43</f>
        <v>157</v>
      </c>
    </row>
    <row r="404" spans="1:4" x14ac:dyDescent="0.25">
      <c r="A404" s="28" t="s">
        <v>23</v>
      </c>
      <c r="B404" s="25" t="s">
        <v>25</v>
      </c>
      <c r="C404" s="12" t="s">
        <v>273</v>
      </c>
      <c r="D404" s="31">
        <f>'Summary by Site'!$E$44</f>
        <v>0</v>
      </c>
    </row>
    <row r="405" spans="1:4" x14ac:dyDescent="0.25">
      <c r="A405" s="28" t="s">
        <v>23</v>
      </c>
      <c r="B405" s="25" t="s">
        <v>25</v>
      </c>
      <c r="C405" s="12" t="s">
        <v>274</v>
      </c>
      <c r="D405" s="31">
        <f>'Summary by Site'!$E$45</f>
        <v>0</v>
      </c>
    </row>
    <row r="406" spans="1:4" x14ac:dyDescent="0.25">
      <c r="A406" s="28" t="s">
        <v>23</v>
      </c>
      <c r="B406" s="25" t="s">
        <v>25</v>
      </c>
      <c r="C406" s="12" t="s">
        <v>275</v>
      </c>
      <c r="D406" s="31">
        <f>'Summary by Site'!$E$46</f>
        <v>0</v>
      </c>
    </row>
    <row r="407" spans="1:4" x14ac:dyDescent="0.25">
      <c r="A407" s="29" t="s">
        <v>23</v>
      </c>
      <c r="B407" s="33" t="s">
        <v>25</v>
      </c>
      <c r="C407" s="14" t="s">
        <v>276</v>
      </c>
      <c r="D407" s="32">
        <f>'Summary by Site'!$E$47</f>
        <v>1</v>
      </c>
    </row>
    <row r="408" spans="1:4" x14ac:dyDescent="0.25">
      <c r="A408" s="28" t="s">
        <v>23</v>
      </c>
      <c r="B408" s="25" t="s">
        <v>25</v>
      </c>
      <c r="C408" s="12" t="s">
        <v>277</v>
      </c>
      <c r="D408" s="31">
        <f>'Summary by Site'!$E$48</f>
        <v>2894</v>
      </c>
    </row>
    <row r="409" spans="1:4" x14ac:dyDescent="0.25">
      <c r="A409" s="28" t="s">
        <v>23</v>
      </c>
      <c r="B409" s="25" t="s">
        <v>25</v>
      </c>
      <c r="C409" s="12" t="s">
        <v>278</v>
      </c>
      <c r="D409" s="31">
        <f>'Summary by Site'!$E$49</f>
        <v>484</v>
      </c>
    </row>
    <row r="410" spans="1:4" x14ac:dyDescent="0.25">
      <c r="A410" s="28" t="s">
        <v>23</v>
      </c>
      <c r="B410" s="25" t="s">
        <v>25</v>
      </c>
      <c r="C410" s="12" t="s">
        <v>279</v>
      </c>
      <c r="D410" s="31">
        <f>'Summary by Site'!$E$50</f>
        <v>0</v>
      </c>
    </row>
    <row r="411" spans="1:4" x14ac:dyDescent="0.25">
      <c r="A411" s="28" t="s">
        <v>23</v>
      </c>
      <c r="B411" s="25" t="s">
        <v>25</v>
      </c>
      <c r="C411" s="12" t="s">
        <v>280</v>
      </c>
      <c r="D411" s="31">
        <f>'Summary by Site'!$E$51</f>
        <v>0</v>
      </c>
    </row>
    <row r="412" spans="1:4" x14ac:dyDescent="0.25">
      <c r="A412" s="28" t="s">
        <v>23</v>
      </c>
      <c r="B412" s="25" t="s">
        <v>25</v>
      </c>
      <c r="C412" s="12" t="s">
        <v>281</v>
      </c>
      <c r="D412" s="31">
        <f>'Summary by Site'!$E$52</f>
        <v>1152</v>
      </c>
    </row>
    <row r="413" spans="1:4" x14ac:dyDescent="0.25">
      <c r="A413" s="28" t="s">
        <v>23</v>
      </c>
      <c r="B413" s="25" t="s">
        <v>25</v>
      </c>
      <c r="C413" s="12" t="s">
        <v>282</v>
      </c>
      <c r="D413" s="31">
        <f>'Summary by Site'!$E$53</f>
        <v>9</v>
      </c>
    </row>
    <row r="414" spans="1:4" x14ac:dyDescent="0.25">
      <c r="A414" s="28" t="s">
        <v>23</v>
      </c>
      <c r="B414" s="25" t="s">
        <v>25</v>
      </c>
      <c r="C414" s="12" t="s">
        <v>283</v>
      </c>
      <c r="D414" s="31">
        <f>'Summary by Site'!$E$54</f>
        <v>1222</v>
      </c>
    </row>
    <row r="415" spans="1:4" x14ac:dyDescent="0.25">
      <c r="A415" s="28" t="s">
        <v>23</v>
      </c>
      <c r="B415" s="25" t="s">
        <v>25</v>
      </c>
      <c r="C415" s="12" t="s">
        <v>284</v>
      </c>
      <c r="D415" s="31">
        <f>'Summary by Site'!$E$55</f>
        <v>27</v>
      </c>
    </row>
    <row r="416" spans="1:4" x14ac:dyDescent="0.25">
      <c r="A416" s="29" t="s">
        <v>23</v>
      </c>
      <c r="B416" s="33" t="s">
        <v>25</v>
      </c>
      <c r="C416" s="14" t="s">
        <v>285</v>
      </c>
      <c r="D416" s="32">
        <f>'Summary by Site'!$E$56</f>
        <v>0.99689011748445056</v>
      </c>
    </row>
    <row r="417" spans="1:4" x14ac:dyDescent="0.25">
      <c r="A417" s="29" t="s">
        <v>23</v>
      </c>
      <c r="B417" s="33" t="s">
        <v>25</v>
      </c>
      <c r="C417" s="14" t="s">
        <v>286</v>
      </c>
      <c r="D417" s="32">
        <f>'Summary by Site'!$E$57</f>
        <v>0.99705014749262533</v>
      </c>
    </row>
    <row r="418" spans="1:4" x14ac:dyDescent="0.25">
      <c r="A418" s="27" t="s">
        <v>23</v>
      </c>
      <c r="B418" s="24" t="s">
        <v>26</v>
      </c>
      <c r="C418" s="21" t="s">
        <v>272</v>
      </c>
      <c r="D418" s="30">
        <f>'Summary by Site'!$F$42</f>
        <v>189</v>
      </c>
    </row>
    <row r="419" spans="1:4" x14ac:dyDescent="0.25">
      <c r="A419" s="28" t="s">
        <v>23</v>
      </c>
      <c r="B419" s="25" t="s">
        <v>26</v>
      </c>
      <c r="C419" s="12" t="s">
        <v>0</v>
      </c>
      <c r="D419" s="31">
        <f>'Summary by Site'!$F$43</f>
        <v>189</v>
      </c>
    </row>
    <row r="420" spans="1:4" x14ac:dyDescent="0.25">
      <c r="A420" s="28" t="s">
        <v>23</v>
      </c>
      <c r="B420" s="25" t="s">
        <v>26</v>
      </c>
      <c r="C420" s="12" t="s">
        <v>273</v>
      </c>
      <c r="D420" s="31">
        <f>'Summary by Site'!$F$44</f>
        <v>0</v>
      </c>
    </row>
    <row r="421" spans="1:4" x14ac:dyDescent="0.25">
      <c r="A421" s="28" t="s">
        <v>23</v>
      </c>
      <c r="B421" s="25" t="s">
        <v>26</v>
      </c>
      <c r="C421" s="12" t="s">
        <v>274</v>
      </c>
      <c r="D421" s="31">
        <f>'Summary by Site'!$F$45</f>
        <v>0</v>
      </c>
    </row>
    <row r="422" spans="1:4" x14ac:dyDescent="0.25">
      <c r="A422" s="28" t="s">
        <v>23</v>
      </c>
      <c r="B422" s="25" t="s">
        <v>26</v>
      </c>
      <c r="C422" s="12" t="s">
        <v>275</v>
      </c>
      <c r="D422" s="31">
        <f>'Summary by Site'!$F$46</f>
        <v>0</v>
      </c>
    </row>
    <row r="423" spans="1:4" x14ac:dyDescent="0.25">
      <c r="A423" s="29" t="s">
        <v>23</v>
      </c>
      <c r="B423" s="33" t="s">
        <v>26</v>
      </c>
      <c r="C423" s="14" t="s">
        <v>276</v>
      </c>
      <c r="D423" s="32">
        <f>'Summary by Site'!$F$47</f>
        <v>1</v>
      </c>
    </row>
    <row r="424" spans="1:4" x14ac:dyDescent="0.25">
      <c r="A424" s="28" t="s">
        <v>23</v>
      </c>
      <c r="B424" s="25" t="s">
        <v>26</v>
      </c>
      <c r="C424" s="12" t="s">
        <v>277</v>
      </c>
      <c r="D424" s="31">
        <f>'Summary by Site'!$F$48</f>
        <v>3197</v>
      </c>
    </row>
    <row r="425" spans="1:4" x14ac:dyDescent="0.25">
      <c r="A425" s="28" t="s">
        <v>23</v>
      </c>
      <c r="B425" s="25" t="s">
        <v>26</v>
      </c>
      <c r="C425" s="12" t="s">
        <v>278</v>
      </c>
      <c r="D425" s="31">
        <f>'Summary by Site'!$F$49</f>
        <v>516</v>
      </c>
    </row>
    <row r="426" spans="1:4" x14ac:dyDescent="0.25">
      <c r="A426" s="28" t="s">
        <v>23</v>
      </c>
      <c r="B426" s="25" t="s">
        <v>26</v>
      </c>
      <c r="C426" s="12" t="s">
        <v>279</v>
      </c>
      <c r="D426" s="31">
        <f>'Summary by Site'!$F$50</f>
        <v>0</v>
      </c>
    </row>
    <row r="427" spans="1:4" x14ac:dyDescent="0.25">
      <c r="A427" s="28" t="s">
        <v>23</v>
      </c>
      <c r="B427" s="25" t="s">
        <v>26</v>
      </c>
      <c r="C427" s="12" t="s">
        <v>280</v>
      </c>
      <c r="D427" s="31">
        <f>'Summary by Site'!$F$51</f>
        <v>0</v>
      </c>
    </row>
    <row r="428" spans="1:4" x14ac:dyDescent="0.25">
      <c r="A428" s="28" t="s">
        <v>23</v>
      </c>
      <c r="B428" s="25" t="s">
        <v>26</v>
      </c>
      <c r="C428" s="12" t="s">
        <v>281</v>
      </c>
      <c r="D428" s="31">
        <f>'Summary by Site'!$F$52</f>
        <v>1157</v>
      </c>
    </row>
    <row r="429" spans="1:4" x14ac:dyDescent="0.25">
      <c r="A429" s="28" t="s">
        <v>23</v>
      </c>
      <c r="B429" s="25" t="s">
        <v>26</v>
      </c>
      <c r="C429" s="12" t="s">
        <v>282</v>
      </c>
      <c r="D429" s="31">
        <f>'Summary by Site'!$F$53</f>
        <v>13</v>
      </c>
    </row>
    <row r="430" spans="1:4" x14ac:dyDescent="0.25">
      <c r="A430" s="28" t="s">
        <v>23</v>
      </c>
      <c r="B430" s="25" t="s">
        <v>26</v>
      </c>
      <c r="C430" s="12" t="s">
        <v>283</v>
      </c>
      <c r="D430" s="31">
        <f>'Summary by Site'!$F$54</f>
        <v>1485</v>
      </c>
    </row>
    <row r="431" spans="1:4" x14ac:dyDescent="0.25">
      <c r="A431" s="28" t="s">
        <v>23</v>
      </c>
      <c r="B431" s="25" t="s">
        <v>26</v>
      </c>
      <c r="C431" s="12" t="s">
        <v>284</v>
      </c>
      <c r="D431" s="31">
        <f>'Summary by Site'!$F$55</f>
        <v>26</v>
      </c>
    </row>
    <row r="432" spans="1:4" x14ac:dyDescent="0.25">
      <c r="A432" s="29" t="s">
        <v>23</v>
      </c>
      <c r="B432" s="33" t="s">
        <v>26</v>
      </c>
      <c r="C432" s="14" t="s">
        <v>285</v>
      </c>
      <c r="D432" s="32">
        <f>'Summary by Site'!$F$56</f>
        <v>0.99593368783234282</v>
      </c>
    </row>
    <row r="433" spans="1:4" x14ac:dyDescent="0.25">
      <c r="A433" s="29" t="s">
        <v>23</v>
      </c>
      <c r="B433" s="33" t="s">
        <v>26</v>
      </c>
      <c r="C433" s="14" t="s">
        <v>286</v>
      </c>
      <c r="D433" s="32">
        <f>'Summary by Site'!$F$57</f>
        <v>0.99616066154754868</v>
      </c>
    </row>
    <row r="434" spans="1:4" x14ac:dyDescent="0.25">
      <c r="A434" s="27" t="s">
        <v>23</v>
      </c>
      <c r="B434" s="24" t="s">
        <v>38</v>
      </c>
      <c r="C434" s="21" t="s">
        <v>272</v>
      </c>
      <c r="D434" s="30">
        <f>'Summary by Site'!$G$42</f>
        <v>159</v>
      </c>
    </row>
    <row r="435" spans="1:4" x14ac:dyDescent="0.25">
      <c r="A435" s="28" t="s">
        <v>23</v>
      </c>
      <c r="B435" s="25" t="s">
        <v>38</v>
      </c>
      <c r="C435" s="12" t="s">
        <v>0</v>
      </c>
      <c r="D435" s="31">
        <f>'Summary by Site'!$G$43</f>
        <v>159</v>
      </c>
    </row>
    <row r="436" spans="1:4" x14ac:dyDescent="0.25">
      <c r="A436" s="28" t="s">
        <v>23</v>
      </c>
      <c r="B436" s="25" t="s">
        <v>38</v>
      </c>
      <c r="C436" s="12" t="s">
        <v>273</v>
      </c>
      <c r="D436" s="31">
        <f>'Summary by Site'!$G$44</f>
        <v>0</v>
      </c>
    </row>
    <row r="437" spans="1:4" x14ac:dyDescent="0.25">
      <c r="A437" s="28" t="s">
        <v>23</v>
      </c>
      <c r="B437" s="25" t="s">
        <v>38</v>
      </c>
      <c r="C437" s="12" t="s">
        <v>274</v>
      </c>
      <c r="D437" s="31">
        <f>'Summary by Site'!$G$45</f>
        <v>0</v>
      </c>
    </row>
    <row r="438" spans="1:4" x14ac:dyDescent="0.25">
      <c r="A438" s="28" t="s">
        <v>23</v>
      </c>
      <c r="B438" s="25" t="s">
        <v>38</v>
      </c>
      <c r="C438" s="12" t="s">
        <v>275</v>
      </c>
      <c r="D438" s="31">
        <f>'Summary by Site'!$G$46</f>
        <v>0</v>
      </c>
    </row>
    <row r="439" spans="1:4" x14ac:dyDescent="0.25">
      <c r="A439" s="29" t="s">
        <v>23</v>
      </c>
      <c r="B439" s="33" t="s">
        <v>38</v>
      </c>
      <c r="C439" s="14" t="s">
        <v>276</v>
      </c>
      <c r="D439" s="32">
        <f>'Summary by Site'!$G$47</f>
        <v>1</v>
      </c>
    </row>
    <row r="440" spans="1:4" x14ac:dyDescent="0.25">
      <c r="A440" s="28" t="s">
        <v>23</v>
      </c>
      <c r="B440" s="25" t="s">
        <v>38</v>
      </c>
      <c r="C440" s="12" t="s">
        <v>277</v>
      </c>
      <c r="D440" s="31">
        <f>'Summary by Site'!$G$48</f>
        <v>2826</v>
      </c>
    </row>
    <row r="441" spans="1:4" x14ac:dyDescent="0.25">
      <c r="A441" s="28" t="s">
        <v>23</v>
      </c>
      <c r="B441" s="25" t="s">
        <v>38</v>
      </c>
      <c r="C441" s="12" t="s">
        <v>278</v>
      </c>
      <c r="D441" s="31">
        <f>'Summary by Site'!$G$49</f>
        <v>661</v>
      </c>
    </row>
    <row r="442" spans="1:4" x14ac:dyDescent="0.25">
      <c r="A442" s="28" t="s">
        <v>23</v>
      </c>
      <c r="B442" s="25" t="s">
        <v>38</v>
      </c>
      <c r="C442" s="12" t="s">
        <v>279</v>
      </c>
      <c r="D442" s="31">
        <f>'Summary by Site'!$G$50</f>
        <v>0</v>
      </c>
    </row>
    <row r="443" spans="1:4" x14ac:dyDescent="0.25">
      <c r="A443" s="28" t="s">
        <v>23</v>
      </c>
      <c r="B443" s="25" t="s">
        <v>38</v>
      </c>
      <c r="C443" s="12" t="s">
        <v>280</v>
      </c>
      <c r="D443" s="31">
        <f>'Summary by Site'!$G$51</f>
        <v>1</v>
      </c>
    </row>
    <row r="444" spans="1:4" x14ac:dyDescent="0.25">
      <c r="A444" s="28" t="s">
        <v>23</v>
      </c>
      <c r="B444" s="25" t="s">
        <v>38</v>
      </c>
      <c r="C444" s="12" t="s">
        <v>281</v>
      </c>
      <c r="D444" s="31">
        <f>'Summary by Site'!$G$52</f>
        <v>994</v>
      </c>
    </row>
    <row r="445" spans="1:4" x14ac:dyDescent="0.25">
      <c r="A445" s="28" t="s">
        <v>23</v>
      </c>
      <c r="B445" s="25" t="s">
        <v>38</v>
      </c>
      <c r="C445" s="12" t="s">
        <v>282</v>
      </c>
      <c r="D445" s="31">
        <f>'Summary by Site'!$G$53</f>
        <v>14</v>
      </c>
    </row>
    <row r="446" spans="1:4" x14ac:dyDescent="0.25">
      <c r="A446" s="28" t="s">
        <v>23</v>
      </c>
      <c r="B446" s="25" t="s">
        <v>38</v>
      </c>
      <c r="C446" s="12" t="s">
        <v>283</v>
      </c>
      <c r="D446" s="31">
        <f>'Summary by Site'!$G$54</f>
        <v>1136</v>
      </c>
    </row>
    <row r="447" spans="1:4" x14ac:dyDescent="0.25">
      <c r="A447" s="28" t="s">
        <v>23</v>
      </c>
      <c r="B447" s="25" t="s">
        <v>38</v>
      </c>
      <c r="C447" s="12" t="s">
        <v>284</v>
      </c>
      <c r="D447" s="31">
        <f>'Summary by Site'!$G$55</f>
        <v>20</v>
      </c>
    </row>
    <row r="448" spans="1:4" x14ac:dyDescent="0.25">
      <c r="A448" s="29" t="s">
        <v>23</v>
      </c>
      <c r="B448" s="33" t="s">
        <v>38</v>
      </c>
      <c r="C448" s="14" t="s">
        <v>285</v>
      </c>
      <c r="D448" s="32">
        <f>'Summary by Site'!$G$56</f>
        <v>0.99469214437367304</v>
      </c>
    </row>
    <row r="449" spans="1:4" x14ac:dyDescent="0.25">
      <c r="A449" s="29" t="s">
        <v>23</v>
      </c>
      <c r="B449" s="33" t="s">
        <v>38</v>
      </c>
      <c r="C449" s="14" t="s">
        <v>286</v>
      </c>
      <c r="D449" s="32">
        <f>'Summary by Site'!$G$57</f>
        <v>0.99497487437185927</v>
      </c>
    </row>
    <row r="450" spans="1:4" x14ac:dyDescent="0.25">
      <c r="A450" s="27" t="s">
        <v>23</v>
      </c>
      <c r="B450" s="24" t="s">
        <v>44</v>
      </c>
      <c r="C450" s="21" t="s">
        <v>272</v>
      </c>
      <c r="D450" s="30">
        <f>'Summary by Site'!$H$42</f>
        <v>156</v>
      </c>
    </row>
    <row r="451" spans="1:4" x14ac:dyDescent="0.25">
      <c r="A451" s="28" t="s">
        <v>23</v>
      </c>
      <c r="B451" s="25" t="s">
        <v>44</v>
      </c>
      <c r="C451" s="12" t="s">
        <v>0</v>
      </c>
      <c r="D451" s="31">
        <f>'Summary by Site'!$H$43</f>
        <v>156</v>
      </c>
    </row>
    <row r="452" spans="1:4" x14ac:dyDescent="0.25">
      <c r="A452" s="28" t="s">
        <v>23</v>
      </c>
      <c r="B452" s="25" t="s">
        <v>44</v>
      </c>
      <c r="C452" s="12" t="s">
        <v>273</v>
      </c>
      <c r="D452" s="31">
        <f>'Summary by Site'!$H$44</f>
        <v>0</v>
      </c>
    </row>
    <row r="453" spans="1:4" x14ac:dyDescent="0.25">
      <c r="A453" s="28" t="s">
        <v>23</v>
      </c>
      <c r="B453" s="25" t="s">
        <v>44</v>
      </c>
      <c r="C453" s="12" t="s">
        <v>274</v>
      </c>
      <c r="D453" s="31">
        <f>'Summary by Site'!$H$45</f>
        <v>0</v>
      </c>
    </row>
    <row r="454" spans="1:4" x14ac:dyDescent="0.25">
      <c r="A454" s="28" t="s">
        <v>23</v>
      </c>
      <c r="B454" s="25" t="s">
        <v>44</v>
      </c>
      <c r="C454" s="12" t="s">
        <v>275</v>
      </c>
      <c r="D454" s="31">
        <f>'Summary by Site'!$H$46</f>
        <v>0</v>
      </c>
    </row>
    <row r="455" spans="1:4" x14ac:dyDescent="0.25">
      <c r="A455" s="29" t="s">
        <v>23</v>
      </c>
      <c r="B455" s="33" t="s">
        <v>44</v>
      </c>
      <c r="C455" s="14" t="s">
        <v>276</v>
      </c>
      <c r="D455" s="32">
        <f>'Summary by Site'!$H$47</f>
        <v>1</v>
      </c>
    </row>
    <row r="456" spans="1:4" x14ac:dyDescent="0.25">
      <c r="A456" s="28" t="s">
        <v>23</v>
      </c>
      <c r="B456" s="25" t="s">
        <v>44</v>
      </c>
      <c r="C456" s="12" t="s">
        <v>277</v>
      </c>
      <c r="D456" s="31">
        <f>'Summary by Site'!$H$48</f>
        <v>2712</v>
      </c>
    </row>
    <row r="457" spans="1:4" x14ac:dyDescent="0.25">
      <c r="A457" s="28" t="s">
        <v>23</v>
      </c>
      <c r="B457" s="25" t="s">
        <v>44</v>
      </c>
      <c r="C457" s="12" t="s">
        <v>278</v>
      </c>
      <c r="D457" s="31">
        <f>'Summary by Site'!$H$49</f>
        <v>487</v>
      </c>
    </row>
    <row r="458" spans="1:4" x14ac:dyDescent="0.25">
      <c r="A458" s="28" t="s">
        <v>23</v>
      </c>
      <c r="B458" s="25" t="s">
        <v>44</v>
      </c>
      <c r="C458" s="12" t="s">
        <v>279</v>
      </c>
      <c r="D458" s="31">
        <f>'Summary by Site'!$H$50</f>
        <v>0</v>
      </c>
    </row>
    <row r="459" spans="1:4" x14ac:dyDescent="0.25">
      <c r="A459" s="28" t="s">
        <v>23</v>
      </c>
      <c r="B459" s="25" t="s">
        <v>44</v>
      </c>
      <c r="C459" s="12" t="s">
        <v>280</v>
      </c>
      <c r="D459" s="31">
        <f>'Summary by Site'!$H$51</f>
        <v>4</v>
      </c>
    </row>
    <row r="460" spans="1:4" x14ac:dyDescent="0.25">
      <c r="A460" s="28" t="s">
        <v>23</v>
      </c>
      <c r="B460" s="25" t="s">
        <v>44</v>
      </c>
      <c r="C460" s="12" t="s">
        <v>281</v>
      </c>
      <c r="D460" s="31">
        <f>'Summary by Site'!$H$52</f>
        <v>1066</v>
      </c>
    </row>
    <row r="461" spans="1:4" x14ac:dyDescent="0.25">
      <c r="A461" s="28" t="s">
        <v>23</v>
      </c>
      <c r="B461" s="25" t="s">
        <v>44</v>
      </c>
      <c r="C461" s="12" t="s">
        <v>282</v>
      </c>
      <c r="D461" s="31">
        <f>'Summary by Site'!$H$53</f>
        <v>14</v>
      </c>
    </row>
    <row r="462" spans="1:4" x14ac:dyDescent="0.25">
      <c r="A462" s="28" t="s">
        <v>23</v>
      </c>
      <c r="B462" s="25" t="s">
        <v>44</v>
      </c>
      <c r="C462" s="12" t="s">
        <v>283</v>
      </c>
      <c r="D462" s="31">
        <f>'Summary by Site'!$H$54</f>
        <v>1135</v>
      </c>
    </row>
    <row r="463" spans="1:4" x14ac:dyDescent="0.25">
      <c r="A463" s="28" t="s">
        <v>23</v>
      </c>
      <c r="B463" s="25" t="s">
        <v>44</v>
      </c>
      <c r="C463" s="12" t="s">
        <v>284</v>
      </c>
      <c r="D463" s="31">
        <f>'Summary by Site'!$H$55</f>
        <v>6</v>
      </c>
    </row>
    <row r="464" spans="1:4" x14ac:dyDescent="0.25">
      <c r="A464" s="29" t="s">
        <v>23</v>
      </c>
      <c r="B464" s="33" t="s">
        <v>44</v>
      </c>
      <c r="C464" s="14" t="s">
        <v>285</v>
      </c>
      <c r="D464" s="32">
        <f>'Summary by Site'!$H$56</f>
        <v>0.99336283185840712</v>
      </c>
    </row>
    <row r="465" spans="1:4" x14ac:dyDescent="0.25">
      <c r="A465" s="29" t="s">
        <v>23</v>
      </c>
      <c r="B465" s="33" t="s">
        <v>44</v>
      </c>
      <c r="C465" s="14" t="s">
        <v>286</v>
      </c>
      <c r="D465" s="32">
        <f>'Summary by Site'!$H$57</f>
        <v>0.99372384937238489</v>
      </c>
    </row>
    <row r="466" spans="1:4" x14ac:dyDescent="0.25">
      <c r="A466" s="27" t="s">
        <v>23</v>
      </c>
      <c r="B466" s="24" t="s">
        <v>45</v>
      </c>
      <c r="C466" s="21" t="s">
        <v>272</v>
      </c>
      <c r="D466" s="30">
        <f>'Summary by Site'!$I$42</f>
        <v>131</v>
      </c>
    </row>
    <row r="467" spans="1:4" x14ac:dyDescent="0.25">
      <c r="A467" s="28" t="s">
        <v>23</v>
      </c>
      <c r="B467" s="25" t="s">
        <v>45</v>
      </c>
      <c r="C467" s="12" t="s">
        <v>0</v>
      </c>
      <c r="D467" s="31">
        <f>'Summary by Site'!$I$43</f>
        <v>131</v>
      </c>
    </row>
    <row r="468" spans="1:4" x14ac:dyDescent="0.25">
      <c r="A468" s="28" t="s">
        <v>23</v>
      </c>
      <c r="B468" s="25" t="s">
        <v>45</v>
      </c>
      <c r="C468" s="12" t="s">
        <v>273</v>
      </c>
      <c r="D468" s="31">
        <f>'Summary by Site'!$I$44</f>
        <v>0</v>
      </c>
    </row>
    <row r="469" spans="1:4" x14ac:dyDescent="0.25">
      <c r="A469" s="28" t="s">
        <v>23</v>
      </c>
      <c r="B469" s="25" t="s">
        <v>45</v>
      </c>
      <c r="C469" s="12" t="s">
        <v>274</v>
      </c>
      <c r="D469" s="31">
        <f>'Summary by Site'!$I$45</f>
        <v>0</v>
      </c>
    </row>
    <row r="470" spans="1:4" x14ac:dyDescent="0.25">
      <c r="A470" s="28" t="s">
        <v>23</v>
      </c>
      <c r="B470" s="25" t="s">
        <v>45</v>
      </c>
      <c r="C470" s="12" t="s">
        <v>275</v>
      </c>
      <c r="D470" s="31">
        <f>'Summary by Site'!$I$46</f>
        <v>1</v>
      </c>
    </row>
    <row r="471" spans="1:4" x14ac:dyDescent="0.25">
      <c r="A471" s="29" t="s">
        <v>23</v>
      </c>
      <c r="B471" s="33" t="s">
        <v>45</v>
      </c>
      <c r="C471" s="14" t="s">
        <v>276</v>
      </c>
      <c r="D471" s="32">
        <f>'Summary by Site'!$I$47</f>
        <v>1</v>
      </c>
    </row>
    <row r="472" spans="1:4" x14ac:dyDescent="0.25">
      <c r="A472" s="28" t="s">
        <v>23</v>
      </c>
      <c r="B472" s="25" t="s">
        <v>45</v>
      </c>
      <c r="C472" s="12" t="s">
        <v>277</v>
      </c>
      <c r="D472" s="31">
        <f>'Summary by Site'!$I$48</f>
        <v>2371</v>
      </c>
    </row>
    <row r="473" spans="1:4" x14ac:dyDescent="0.25">
      <c r="A473" s="28" t="s">
        <v>23</v>
      </c>
      <c r="B473" s="25" t="s">
        <v>45</v>
      </c>
      <c r="C473" s="12" t="s">
        <v>278</v>
      </c>
      <c r="D473" s="31">
        <f>'Summary by Site'!$I$49</f>
        <v>398</v>
      </c>
    </row>
    <row r="474" spans="1:4" x14ac:dyDescent="0.25">
      <c r="A474" s="28" t="s">
        <v>23</v>
      </c>
      <c r="B474" s="25" t="s">
        <v>45</v>
      </c>
      <c r="C474" s="12" t="s">
        <v>279</v>
      </c>
      <c r="D474" s="31">
        <f>'Summary by Site'!$I$50</f>
        <v>0</v>
      </c>
    </row>
    <row r="475" spans="1:4" x14ac:dyDescent="0.25">
      <c r="A475" s="28" t="s">
        <v>23</v>
      </c>
      <c r="B475" s="25" t="s">
        <v>45</v>
      </c>
      <c r="C475" s="12" t="s">
        <v>280</v>
      </c>
      <c r="D475" s="31">
        <f>'Summary by Site'!$I$51</f>
        <v>0</v>
      </c>
    </row>
    <row r="476" spans="1:4" x14ac:dyDescent="0.25">
      <c r="A476" s="28" t="s">
        <v>23</v>
      </c>
      <c r="B476" s="25" t="s">
        <v>45</v>
      </c>
      <c r="C476" s="12" t="s">
        <v>281</v>
      </c>
      <c r="D476" s="31">
        <f>'Summary by Site'!$I$52</f>
        <v>972</v>
      </c>
    </row>
    <row r="477" spans="1:4" x14ac:dyDescent="0.25">
      <c r="A477" s="28" t="s">
        <v>23</v>
      </c>
      <c r="B477" s="25" t="s">
        <v>45</v>
      </c>
      <c r="C477" s="12" t="s">
        <v>282</v>
      </c>
      <c r="D477" s="31">
        <f>'Summary by Site'!$I$53</f>
        <v>24</v>
      </c>
    </row>
    <row r="478" spans="1:4" x14ac:dyDescent="0.25">
      <c r="A478" s="28" t="s">
        <v>23</v>
      </c>
      <c r="B478" s="25" t="s">
        <v>45</v>
      </c>
      <c r="C478" s="12" t="s">
        <v>283</v>
      </c>
      <c r="D478" s="31">
        <f>'Summary by Site'!$I$54</f>
        <v>971</v>
      </c>
    </row>
    <row r="479" spans="1:4" x14ac:dyDescent="0.25">
      <c r="A479" s="28" t="s">
        <v>23</v>
      </c>
      <c r="B479" s="25" t="s">
        <v>45</v>
      </c>
      <c r="C479" s="12" t="s">
        <v>284</v>
      </c>
      <c r="D479" s="31">
        <f>'Summary by Site'!$I$55</f>
        <v>6</v>
      </c>
    </row>
    <row r="480" spans="1:4" x14ac:dyDescent="0.25">
      <c r="A480" s="29" t="s">
        <v>23</v>
      </c>
      <c r="B480" s="33" t="s">
        <v>45</v>
      </c>
      <c r="C480" s="14" t="s">
        <v>285</v>
      </c>
      <c r="D480" s="32">
        <f>'Summary by Site'!$I$56</f>
        <v>0.98987768873892867</v>
      </c>
    </row>
    <row r="481" spans="1:4" x14ac:dyDescent="0.25">
      <c r="A481" s="29" t="s">
        <v>23</v>
      </c>
      <c r="B481" s="33" t="s">
        <v>45</v>
      </c>
      <c r="C481" s="14" t="s">
        <v>286</v>
      </c>
      <c r="D481" s="32">
        <f>'Summary by Site'!$I$57</f>
        <v>0.99040767386091122</v>
      </c>
    </row>
    <row r="482" spans="1:4" x14ac:dyDescent="0.25">
      <c r="A482" s="27" t="s">
        <v>23</v>
      </c>
      <c r="B482" s="24" t="s">
        <v>46</v>
      </c>
      <c r="C482" s="21" t="s">
        <v>272</v>
      </c>
      <c r="D482" s="30">
        <f>'Summary by Site'!$J$42</f>
        <v>169</v>
      </c>
    </row>
    <row r="483" spans="1:4" x14ac:dyDescent="0.25">
      <c r="A483" s="28" t="s">
        <v>23</v>
      </c>
      <c r="B483" s="25" t="s">
        <v>46</v>
      </c>
      <c r="C483" s="12" t="s">
        <v>0</v>
      </c>
      <c r="D483" s="31">
        <f>'Summary by Site'!$J$43</f>
        <v>168</v>
      </c>
    </row>
    <row r="484" spans="1:4" x14ac:dyDescent="0.25">
      <c r="A484" s="28" t="s">
        <v>23</v>
      </c>
      <c r="B484" s="25" t="s">
        <v>46</v>
      </c>
      <c r="C484" s="12" t="s">
        <v>273</v>
      </c>
      <c r="D484" s="31">
        <f>'Summary by Site'!$J$44</f>
        <v>0</v>
      </c>
    </row>
    <row r="485" spans="1:4" x14ac:dyDescent="0.25">
      <c r="A485" s="28" t="s">
        <v>23</v>
      </c>
      <c r="B485" s="25" t="s">
        <v>46</v>
      </c>
      <c r="C485" s="12" t="s">
        <v>274</v>
      </c>
      <c r="D485" s="31">
        <f>'Summary by Site'!$J$45</f>
        <v>0</v>
      </c>
    </row>
    <row r="486" spans="1:4" x14ac:dyDescent="0.25">
      <c r="A486" s="28" t="s">
        <v>23</v>
      </c>
      <c r="B486" s="25" t="s">
        <v>46</v>
      </c>
      <c r="C486" s="12" t="s">
        <v>275</v>
      </c>
      <c r="D486" s="31">
        <f>'Summary by Site'!$J$46</f>
        <v>1</v>
      </c>
    </row>
    <row r="487" spans="1:4" x14ac:dyDescent="0.25">
      <c r="A487" s="29" t="s">
        <v>23</v>
      </c>
      <c r="B487" s="33" t="s">
        <v>46</v>
      </c>
      <c r="C487" s="14" t="s">
        <v>276</v>
      </c>
      <c r="D487" s="32">
        <f>'Summary by Site'!$J$47</f>
        <v>0.99408284023668636</v>
      </c>
    </row>
    <row r="488" spans="1:4" x14ac:dyDescent="0.25">
      <c r="A488" s="28" t="s">
        <v>23</v>
      </c>
      <c r="B488" s="25" t="s">
        <v>46</v>
      </c>
      <c r="C488" s="12" t="s">
        <v>277</v>
      </c>
      <c r="D488" s="31">
        <f>'Summary by Site'!$J$48</f>
        <v>2531</v>
      </c>
    </row>
    <row r="489" spans="1:4" x14ac:dyDescent="0.25">
      <c r="A489" s="28" t="s">
        <v>23</v>
      </c>
      <c r="B489" s="25" t="s">
        <v>46</v>
      </c>
      <c r="C489" s="12" t="s">
        <v>278</v>
      </c>
      <c r="D489" s="31">
        <f>'Summary by Site'!$J$49</f>
        <v>427</v>
      </c>
    </row>
    <row r="490" spans="1:4" x14ac:dyDescent="0.25">
      <c r="A490" s="28" t="s">
        <v>23</v>
      </c>
      <c r="B490" s="25" t="s">
        <v>46</v>
      </c>
      <c r="C490" s="12" t="s">
        <v>279</v>
      </c>
      <c r="D490" s="31">
        <f>'Summary by Site'!$J$50</f>
        <v>0</v>
      </c>
    </row>
    <row r="491" spans="1:4" x14ac:dyDescent="0.25">
      <c r="A491" s="28" t="s">
        <v>23</v>
      </c>
      <c r="B491" s="25" t="s">
        <v>46</v>
      </c>
      <c r="C491" s="12" t="s">
        <v>280</v>
      </c>
      <c r="D491" s="31">
        <f>'Summary by Site'!$J$51</f>
        <v>3</v>
      </c>
    </row>
    <row r="492" spans="1:4" x14ac:dyDescent="0.25">
      <c r="A492" s="28" t="s">
        <v>23</v>
      </c>
      <c r="B492" s="25" t="s">
        <v>46</v>
      </c>
      <c r="C492" s="12" t="s">
        <v>281</v>
      </c>
      <c r="D492" s="31">
        <f>'Summary by Site'!$J$52</f>
        <v>972</v>
      </c>
    </row>
    <row r="493" spans="1:4" x14ac:dyDescent="0.25">
      <c r="A493" s="28" t="s">
        <v>23</v>
      </c>
      <c r="B493" s="25" t="s">
        <v>46</v>
      </c>
      <c r="C493" s="12" t="s">
        <v>282</v>
      </c>
      <c r="D493" s="31">
        <f>'Summary by Site'!$J$53</f>
        <v>15</v>
      </c>
    </row>
    <row r="494" spans="1:4" x14ac:dyDescent="0.25">
      <c r="A494" s="28" t="s">
        <v>23</v>
      </c>
      <c r="B494" s="25" t="s">
        <v>46</v>
      </c>
      <c r="C494" s="12" t="s">
        <v>283</v>
      </c>
      <c r="D494" s="31">
        <f>'Summary by Site'!$J$54</f>
        <v>1104</v>
      </c>
    </row>
    <row r="495" spans="1:4" x14ac:dyDescent="0.25">
      <c r="A495" s="28" t="s">
        <v>23</v>
      </c>
      <c r="B495" s="25" t="s">
        <v>46</v>
      </c>
      <c r="C495" s="12" t="s">
        <v>284</v>
      </c>
      <c r="D495" s="31">
        <f>'Summary by Site'!$J$55</f>
        <v>10</v>
      </c>
    </row>
    <row r="496" spans="1:4" x14ac:dyDescent="0.25">
      <c r="A496" s="29" t="s">
        <v>23</v>
      </c>
      <c r="B496" s="33" t="s">
        <v>46</v>
      </c>
      <c r="C496" s="14" t="s">
        <v>285</v>
      </c>
      <c r="D496" s="32">
        <f>'Summary by Site'!$J$56</f>
        <v>0.99288818648755428</v>
      </c>
    </row>
    <row r="497" spans="1:4" x14ac:dyDescent="0.25">
      <c r="A497" s="29" t="s">
        <v>23</v>
      </c>
      <c r="B497" s="33" t="s">
        <v>46</v>
      </c>
      <c r="C497" s="14" t="s">
        <v>286</v>
      </c>
      <c r="D497" s="32">
        <f>'Summary by Site'!$J$57</f>
        <v>0.99296296296296294</v>
      </c>
    </row>
    <row r="498" spans="1:4" x14ac:dyDescent="0.25">
      <c r="A498" s="27" t="s">
        <v>23</v>
      </c>
      <c r="B498" s="24" t="s">
        <v>47</v>
      </c>
      <c r="C498" s="21" t="s">
        <v>272</v>
      </c>
      <c r="D498" s="30">
        <f>'Summary by Site'!$K$42</f>
        <v>161</v>
      </c>
    </row>
    <row r="499" spans="1:4" x14ac:dyDescent="0.25">
      <c r="A499" s="28" t="s">
        <v>23</v>
      </c>
      <c r="B499" s="25" t="s">
        <v>47</v>
      </c>
      <c r="C499" s="12" t="s">
        <v>0</v>
      </c>
      <c r="D499" s="31">
        <f>'Summary by Site'!$K$43</f>
        <v>160</v>
      </c>
    </row>
    <row r="500" spans="1:4" x14ac:dyDescent="0.25">
      <c r="A500" s="28" t="s">
        <v>23</v>
      </c>
      <c r="B500" s="25" t="s">
        <v>47</v>
      </c>
      <c r="C500" s="12" t="s">
        <v>273</v>
      </c>
      <c r="D500" s="31">
        <f>'Summary by Site'!$K$44</f>
        <v>1</v>
      </c>
    </row>
    <row r="501" spans="1:4" x14ac:dyDescent="0.25">
      <c r="A501" s="28" t="s">
        <v>23</v>
      </c>
      <c r="B501" s="25" t="s">
        <v>47</v>
      </c>
      <c r="C501" s="12" t="s">
        <v>274</v>
      </c>
      <c r="D501" s="31">
        <f>'Summary by Site'!$K$45</f>
        <v>0</v>
      </c>
    </row>
    <row r="502" spans="1:4" x14ac:dyDescent="0.25">
      <c r="A502" s="28" t="s">
        <v>23</v>
      </c>
      <c r="B502" s="25" t="s">
        <v>47</v>
      </c>
      <c r="C502" s="12" t="s">
        <v>275</v>
      </c>
      <c r="D502" s="31">
        <f>'Summary by Site'!$K$46</f>
        <v>0</v>
      </c>
    </row>
    <row r="503" spans="1:4" x14ac:dyDescent="0.25">
      <c r="A503" s="29" t="s">
        <v>23</v>
      </c>
      <c r="B503" s="33" t="s">
        <v>47</v>
      </c>
      <c r="C503" s="14" t="s">
        <v>276</v>
      </c>
      <c r="D503" s="32">
        <f>'Summary by Site'!$K$47</f>
        <v>1</v>
      </c>
    </row>
    <row r="504" spans="1:4" x14ac:dyDescent="0.25">
      <c r="A504" s="28" t="s">
        <v>23</v>
      </c>
      <c r="B504" s="25" t="s">
        <v>47</v>
      </c>
      <c r="C504" s="12" t="s">
        <v>277</v>
      </c>
      <c r="D504" s="31">
        <f>'Summary by Site'!$K$48</f>
        <v>2430</v>
      </c>
    </row>
    <row r="505" spans="1:4" x14ac:dyDescent="0.25">
      <c r="A505" s="28" t="s">
        <v>23</v>
      </c>
      <c r="B505" s="25" t="s">
        <v>47</v>
      </c>
      <c r="C505" s="12" t="s">
        <v>278</v>
      </c>
      <c r="D505" s="31">
        <f>'Summary by Site'!$K$49</f>
        <v>448</v>
      </c>
    </row>
    <row r="506" spans="1:4" x14ac:dyDescent="0.25">
      <c r="A506" s="28" t="s">
        <v>23</v>
      </c>
      <c r="B506" s="25" t="s">
        <v>47</v>
      </c>
      <c r="C506" s="12" t="s">
        <v>279</v>
      </c>
      <c r="D506" s="31">
        <f>'Summary by Site'!$K$50</f>
        <v>0</v>
      </c>
    </row>
    <row r="507" spans="1:4" x14ac:dyDescent="0.25">
      <c r="A507" s="28" t="s">
        <v>23</v>
      </c>
      <c r="B507" s="25" t="s">
        <v>47</v>
      </c>
      <c r="C507" s="12" t="s">
        <v>280</v>
      </c>
      <c r="D507" s="31">
        <f>'Summary by Site'!$K$51</f>
        <v>4</v>
      </c>
    </row>
    <row r="508" spans="1:4" x14ac:dyDescent="0.25">
      <c r="A508" s="28" t="s">
        <v>23</v>
      </c>
      <c r="B508" s="25" t="s">
        <v>47</v>
      </c>
      <c r="C508" s="12" t="s">
        <v>281</v>
      </c>
      <c r="D508" s="31">
        <f>'Summary by Site'!$K$52</f>
        <v>968</v>
      </c>
    </row>
    <row r="509" spans="1:4" x14ac:dyDescent="0.25">
      <c r="A509" s="28" t="s">
        <v>23</v>
      </c>
      <c r="B509" s="25" t="s">
        <v>47</v>
      </c>
      <c r="C509" s="12" t="s">
        <v>282</v>
      </c>
      <c r="D509" s="31">
        <f>'Summary by Site'!$K$53</f>
        <v>11</v>
      </c>
    </row>
    <row r="510" spans="1:4" x14ac:dyDescent="0.25">
      <c r="A510" s="28" t="s">
        <v>23</v>
      </c>
      <c r="B510" s="25" t="s">
        <v>47</v>
      </c>
      <c r="C510" s="12" t="s">
        <v>283</v>
      </c>
      <c r="D510" s="31">
        <f>'Summary by Site'!$K$54</f>
        <v>995</v>
      </c>
    </row>
    <row r="511" spans="1:4" x14ac:dyDescent="0.25">
      <c r="A511" s="28" t="s">
        <v>23</v>
      </c>
      <c r="B511" s="25" t="s">
        <v>47</v>
      </c>
      <c r="C511" s="12" t="s">
        <v>284</v>
      </c>
      <c r="D511" s="31">
        <f>'Summary by Site'!$K$55</f>
        <v>4</v>
      </c>
    </row>
    <row r="512" spans="1:4" x14ac:dyDescent="0.25">
      <c r="A512" s="29" t="s">
        <v>23</v>
      </c>
      <c r="B512" s="33" t="s">
        <v>47</v>
      </c>
      <c r="C512" s="14" t="s">
        <v>285</v>
      </c>
      <c r="D512" s="32">
        <f>'Summary by Site'!$K$56</f>
        <v>0.99382716049382713</v>
      </c>
    </row>
    <row r="513" spans="1:4" x14ac:dyDescent="0.25">
      <c r="A513" s="29" t="s">
        <v>23</v>
      </c>
      <c r="B513" s="33" t="s">
        <v>47</v>
      </c>
      <c r="C513" s="14" t="s">
        <v>286</v>
      </c>
      <c r="D513" s="32">
        <f>'Summary by Site'!$K$57</f>
        <v>0.99421072944808953</v>
      </c>
    </row>
    <row r="514" spans="1:4" x14ac:dyDescent="0.25">
      <c r="A514" s="27" t="s">
        <v>23</v>
      </c>
      <c r="B514" s="24" t="s">
        <v>50</v>
      </c>
      <c r="C514" s="21" t="s">
        <v>272</v>
      </c>
      <c r="D514" s="30">
        <f>'Summary by Site'!$L$42</f>
        <v>120</v>
      </c>
    </row>
    <row r="515" spans="1:4" x14ac:dyDescent="0.25">
      <c r="A515" s="28" t="s">
        <v>23</v>
      </c>
      <c r="B515" s="25" t="s">
        <v>50</v>
      </c>
      <c r="C515" s="12" t="s">
        <v>0</v>
      </c>
      <c r="D515" s="31">
        <f>'Summary by Site'!$L$43</f>
        <v>120</v>
      </c>
    </row>
    <row r="516" spans="1:4" x14ac:dyDescent="0.25">
      <c r="A516" s="28" t="s">
        <v>23</v>
      </c>
      <c r="B516" s="25" t="s">
        <v>50</v>
      </c>
      <c r="C516" s="12" t="s">
        <v>273</v>
      </c>
      <c r="D516" s="31">
        <f>'Summary by Site'!$L$44</f>
        <v>0</v>
      </c>
    </row>
    <row r="517" spans="1:4" x14ac:dyDescent="0.25">
      <c r="A517" s="28" t="s">
        <v>23</v>
      </c>
      <c r="B517" s="25" t="s">
        <v>50</v>
      </c>
      <c r="C517" s="12" t="s">
        <v>274</v>
      </c>
      <c r="D517" s="31">
        <f>'Summary by Site'!$L$45</f>
        <v>0</v>
      </c>
    </row>
    <row r="518" spans="1:4" x14ac:dyDescent="0.25">
      <c r="A518" s="28" t="s">
        <v>23</v>
      </c>
      <c r="B518" s="25" t="s">
        <v>50</v>
      </c>
      <c r="C518" s="12" t="s">
        <v>275</v>
      </c>
      <c r="D518" s="31">
        <f>'Summary by Site'!$L$46</f>
        <v>0</v>
      </c>
    </row>
    <row r="519" spans="1:4" x14ac:dyDescent="0.25">
      <c r="A519" s="29" t="s">
        <v>23</v>
      </c>
      <c r="B519" s="33" t="s">
        <v>50</v>
      </c>
      <c r="C519" s="14" t="s">
        <v>276</v>
      </c>
      <c r="D519" s="32">
        <f>'Summary by Site'!$L$47</f>
        <v>1</v>
      </c>
    </row>
    <row r="520" spans="1:4" x14ac:dyDescent="0.25">
      <c r="A520" s="28" t="s">
        <v>23</v>
      </c>
      <c r="B520" s="25" t="s">
        <v>50</v>
      </c>
      <c r="C520" s="12" t="s">
        <v>277</v>
      </c>
      <c r="D520" s="31">
        <f>'Summary by Site'!$L$48</f>
        <v>2500</v>
      </c>
    </row>
    <row r="521" spans="1:4" x14ac:dyDescent="0.25">
      <c r="A521" s="28" t="s">
        <v>23</v>
      </c>
      <c r="B521" s="25" t="s">
        <v>50</v>
      </c>
      <c r="C521" s="12" t="s">
        <v>278</v>
      </c>
      <c r="D521" s="31">
        <f>'Summary by Site'!$L$49</f>
        <v>442</v>
      </c>
    </row>
    <row r="522" spans="1:4" x14ac:dyDescent="0.25">
      <c r="A522" s="28" t="s">
        <v>23</v>
      </c>
      <c r="B522" s="25" t="s">
        <v>50</v>
      </c>
      <c r="C522" s="12" t="s">
        <v>279</v>
      </c>
      <c r="D522" s="31">
        <f>'Summary by Site'!$L$50</f>
        <v>0</v>
      </c>
    </row>
    <row r="523" spans="1:4" x14ac:dyDescent="0.25">
      <c r="A523" s="28" t="s">
        <v>23</v>
      </c>
      <c r="B523" s="25" t="s">
        <v>50</v>
      </c>
      <c r="C523" s="12" t="s">
        <v>280</v>
      </c>
      <c r="D523" s="31">
        <f>'Summary by Site'!$L$51</f>
        <v>1</v>
      </c>
    </row>
    <row r="524" spans="1:4" x14ac:dyDescent="0.25">
      <c r="A524" s="28" t="s">
        <v>23</v>
      </c>
      <c r="B524" s="25" t="s">
        <v>50</v>
      </c>
      <c r="C524" s="12" t="s">
        <v>281</v>
      </c>
      <c r="D524" s="31">
        <f>'Summary by Site'!$L$52</f>
        <v>1020</v>
      </c>
    </row>
    <row r="525" spans="1:4" x14ac:dyDescent="0.25">
      <c r="A525" s="28" t="s">
        <v>23</v>
      </c>
      <c r="B525" s="25" t="s">
        <v>50</v>
      </c>
      <c r="C525" s="12" t="s">
        <v>282</v>
      </c>
      <c r="D525" s="31">
        <f>'Summary by Site'!$L$53</f>
        <v>6</v>
      </c>
    </row>
    <row r="526" spans="1:4" x14ac:dyDescent="0.25">
      <c r="A526" s="28" t="s">
        <v>23</v>
      </c>
      <c r="B526" s="25" t="s">
        <v>50</v>
      </c>
      <c r="C526" s="12" t="s">
        <v>283</v>
      </c>
      <c r="D526" s="31">
        <f>'Summary by Site'!$L$54</f>
        <v>1022</v>
      </c>
    </row>
    <row r="527" spans="1:4" x14ac:dyDescent="0.25">
      <c r="A527" s="28" t="s">
        <v>23</v>
      </c>
      <c r="B527" s="25" t="s">
        <v>50</v>
      </c>
      <c r="C527" s="12" t="s">
        <v>284</v>
      </c>
      <c r="D527" s="31">
        <f>'Summary by Site'!$L$55</f>
        <v>9</v>
      </c>
    </row>
    <row r="528" spans="1:4" x14ac:dyDescent="0.25">
      <c r="A528" s="29" t="s">
        <v>23</v>
      </c>
      <c r="B528" s="33" t="s">
        <v>50</v>
      </c>
      <c r="C528" s="14" t="s">
        <v>285</v>
      </c>
      <c r="D528" s="32">
        <f>'Summary by Site'!$L$56</f>
        <v>0.99719999999999998</v>
      </c>
    </row>
    <row r="529" spans="1:4" x14ac:dyDescent="0.25">
      <c r="A529" s="29" t="s">
        <v>23</v>
      </c>
      <c r="B529" s="33" t="s">
        <v>50</v>
      </c>
      <c r="C529" s="14" t="s">
        <v>286</v>
      </c>
      <c r="D529" s="32">
        <f>'Summary by Site'!$L$57</f>
        <v>0.99732824427480915</v>
      </c>
    </row>
    <row r="530" spans="1:4" x14ac:dyDescent="0.25">
      <c r="A530" s="27" t="s">
        <v>23</v>
      </c>
      <c r="B530" s="24" t="s">
        <v>51</v>
      </c>
      <c r="C530" s="21" t="s">
        <v>272</v>
      </c>
      <c r="D530" s="30">
        <f>'Summary by Site'!$M$42</f>
        <v>134</v>
      </c>
    </row>
    <row r="531" spans="1:4" x14ac:dyDescent="0.25">
      <c r="A531" s="28" t="s">
        <v>23</v>
      </c>
      <c r="B531" s="25" t="s">
        <v>51</v>
      </c>
      <c r="C531" s="12" t="s">
        <v>0</v>
      </c>
      <c r="D531" s="31">
        <f>'Summary by Site'!$M$43</f>
        <v>133</v>
      </c>
    </row>
    <row r="532" spans="1:4" x14ac:dyDescent="0.25">
      <c r="A532" s="28" t="s">
        <v>23</v>
      </c>
      <c r="B532" s="25" t="s">
        <v>51</v>
      </c>
      <c r="C532" s="12" t="s">
        <v>273</v>
      </c>
      <c r="D532" s="31">
        <f>'Summary by Site'!$M$44</f>
        <v>0</v>
      </c>
    </row>
    <row r="533" spans="1:4" x14ac:dyDescent="0.25">
      <c r="A533" s="28" t="s">
        <v>23</v>
      </c>
      <c r="B533" s="25" t="s">
        <v>51</v>
      </c>
      <c r="C533" s="12" t="s">
        <v>274</v>
      </c>
      <c r="D533" s="31">
        <f>'Summary by Site'!$M$45</f>
        <v>0</v>
      </c>
    </row>
    <row r="534" spans="1:4" x14ac:dyDescent="0.25">
      <c r="A534" s="28" t="s">
        <v>23</v>
      </c>
      <c r="B534" s="25" t="s">
        <v>51</v>
      </c>
      <c r="C534" s="12" t="s">
        <v>275</v>
      </c>
      <c r="D534" s="31">
        <f>'Summary by Site'!$M$46</f>
        <v>1</v>
      </c>
    </row>
    <row r="535" spans="1:4" x14ac:dyDescent="0.25">
      <c r="A535" s="29" t="s">
        <v>23</v>
      </c>
      <c r="B535" s="33" t="s">
        <v>51</v>
      </c>
      <c r="C535" s="14" t="s">
        <v>276</v>
      </c>
      <c r="D535" s="32">
        <f>'Summary by Site'!$M$47</f>
        <v>0.9925373134328358</v>
      </c>
    </row>
    <row r="536" spans="1:4" x14ac:dyDescent="0.25">
      <c r="A536" s="28" t="s">
        <v>23</v>
      </c>
      <c r="B536" s="25" t="s">
        <v>51</v>
      </c>
      <c r="C536" s="12" t="s">
        <v>277</v>
      </c>
      <c r="D536" s="31">
        <f>'Summary by Site'!$M$48</f>
        <v>2412</v>
      </c>
    </row>
    <row r="537" spans="1:4" x14ac:dyDescent="0.25">
      <c r="A537" s="28" t="s">
        <v>23</v>
      </c>
      <c r="B537" s="25" t="s">
        <v>51</v>
      </c>
      <c r="C537" s="12" t="s">
        <v>278</v>
      </c>
      <c r="D537" s="31">
        <f>'Summary by Site'!$M$49</f>
        <v>383</v>
      </c>
    </row>
    <row r="538" spans="1:4" x14ac:dyDescent="0.25">
      <c r="A538" s="28" t="s">
        <v>23</v>
      </c>
      <c r="B538" s="25" t="s">
        <v>51</v>
      </c>
      <c r="C538" s="12" t="s">
        <v>279</v>
      </c>
      <c r="D538" s="31">
        <f>'Summary by Site'!$M$50</f>
        <v>0</v>
      </c>
    </row>
    <row r="539" spans="1:4" x14ac:dyDescent="0.25">
      <c r="A539" s="28" t="s">
        <v>23</v>
      </c>
      <c r="B539" s="25" t="s">
        <v>51</v>
      </c>
      <c r="C539" s="12" t="s">
        <v>280</v>
      </c>
      <c r="D539" s="31">
        <f>'Summary by Site'!$M$51</f>
        <v>1</v>
      </c>
    </row>
    <row r="540" spans="1:4" x14ac:dyDescent="0.25">
      <c r="A540" s="28" t="s">
        <v>23</v>
      </c>
      <c r="B540" s="25" t="s">
        <v>51</v>
      </c>
      <c r="C540" s="12" t="s">
        <v>281</v>
      </c>
      <c r="D540" s="31">
        <f>'Summary by Site'!$M$52</f>
        <v>997</v>
      </c>
    </row>
    <row r="541" spans="1:4" x14ac:dyDescent="0.25">
      <c r="A541" s="28" t="s">
        <v>23</v>
      </c>
      <c r="B541" s="25" t="s">
        <v>51</v>
      </c>
      <c r="C541" s="12" t="s">
        <v>282</v>
      </c>
      <c r="D541" s="31">
        <f>'Summary by Site'!$M$53</f>
        <v>2</v>
      </c>
    </row>
    <row r="542" spans="1:4" x14ac:dyDescent="0.25">
      <c r="A542" s="28" t="s">
        <v>23</v>
      </c>
      <c r="B542" s="25" t="s">
        <v>51</v>
      </c>
      <c r="C542" s="12" t="s">
        <v>283</v>
      </c>
      <c r="D542" s="31">
        <f>'Summary by Site'!$M$54</f>
        <v>1021</v>
      </c>
    </row>
    <row r="543" spans="1:4" x14ac:dyDescent="0.25">
      <c r="A543" s="28" t="s">
        <v>23</v>
      </c>
      <c r="B543" s="25" t="s">
        <v>51</v>
      </c>
      <c r="C543" s="12" t="s">
        <v>284</v>
      </c>
      <c r="D543" s="31">
        <f>'Summary by Site'!$M$55</f>
        <v>8</v>
      </c>
    </row>
    <row r="544" spans="1:4" x14ac:dyDescent="0.25">
      <c r="A544" s="29" t="s">
        <v>23</v>
      </c>
      <c r="B544" s="33" t="s">
        <v>51</v>
      </c>
      <c r="C544" s="14" t="s">
        <v>285</v>
      </c>
      <c r="D544" s="32">
        <f>'Summary by Site'!$M$56</f>
        <v>0.99875621890547261</v>
      </c>
    </row>
    <row r="545" spans="1:4" x14ac:dyDescent="0.25">
      <c r="A545" s="29" t="s">
        <v>23</v>
      </c>
      <c r="B545" s="33" t="s">
        <v>51</v>
      </c>
      <c r="C545" s="14" t="s">
        <v>286</v>
      </c>
      <c r="D545" s="32">
        <f>'Summary by Site'!$M$57</f>
        <v>0.99842890809112328</v>
      </c>
    </row>
    <row r="546" spans="1:4" x14ac:dyDescent="0.25">
      <c r="A546" s="27" t="s">
        <v>23</v>
      </c>
      <c r="B546" s="24" t="s">
        <v>89</v>
      </c>
      <c r="C546" s="21" t="s">
        <v>272</v>
      </c>
      <c r="D546" s="30">
        <f>'Summary by Site'!$N$42</f>
        <v>161</v>
      </c>
    </row>
    <row r="547" spans="1:4" x14ac:dyDescent="0.25">
      <c r="A547" s="28" t="s">
        <v>23</v>
      </c>
      <c r="B547" s="25" t="s">
        <v>89</v>
      </c>
      <c r="C547" s="12" t="s">
        <v>0</v>
      </c>
      <c r="D547" s="31">
        <f>'Summary by Site'!$N$43</f>
        <v>161</v>
      </c>
    </row>
    <row r="548" spans="1:4" x14ac:dyDescent="0.25">
      <c r="A548" s="28" t="s">
        <v>23</v>
      </c>
      <c r="B548" s="25" t="s">
        <v>89</v>
      </c>
      <c r="C548" s="12" t="s">
        <v>273</v>
      </c>
      <c r="D548" s="31">
        <f>'Summary by Site'!$N$44</f>
        <v>0</v>
      </c>
    </row>
    <row r="549" spans="1:4" x14ac:dyDescent="0.25">
      <c r="A549" s="28" t="s">
        <v>23</v>
      </c>
      <c r="B549" s="25" t="s">
        <v>89</v>
      </c>
      <c r="C549" s="12" t="s">
        <v>274</v>
      </c>
      <c r="D549" s="31">
        <f>'Summary by Site'!$N$45</f>
        <v>0</v>
      </c>
    </row>
    <row r="550" spans="1:4" x14ac:dyDescent="0.25">
      <c r="A550" s="28" t="s">
        <v>23</v>
      </c>
      <c r="B550" s="25" t="s">
        <v>89</v>
      </c>
      <c r="C550" s="12" t="s">
        <v>275</v>
      </c>
      <c r="D550" s="31">
        <f>'Summary by Site'!$N$46</f>
        <v>0</v>
      </c>
    </row>
    <row r="551" spans="1:4" x14ac:dyDescent="0.25">
      <c r="A551" s="29" t="s">
        <v>23</v>
      </c>
      <c r="B551" s="33" t="s">
        <v>89</v>
      </c>
      <c r="C551" s="14" t="s">
        <v>276</v>
      </c>
      <c r="D551" s="32">
        <f>'Summary by Site'!$N$47</f>
        <v>1</v>
      </c>
    </row>
    <row r="552" spans="1:4" x14ac:dyDescent="0.25">
      <c r="A552" s="28" t="s">
        <v>23</v>
      </c>
      <c r="B552" s="25" t="s">
        <v>89</v>
      </c>
      <c r="C552" s="12" t="s">
        <v>277</v>
      </c>
      <c r="D552" s="31">
        <f>'Summary by Site'!$N$48</f>
        <v>2674</v>
      </c>
    </row>
    <row r="553" spans="1:4" x14ac:dyDescent="0.25">
      <c r="A553" s="28" t="s">
        <v>23</v>
      </c>
      <c r="B553" s="25" t="s">
        <v>89</v>
      </c>
      <c r="C553" s="12" t="s">
        <v>278</v>
      </c>
      <c r="D553" s="31">
        <f>'Summary by Site'!$N$49</f>
        <v>509</v>
      </c>
    </row>
    <row r="554" spans="1:4" x14ac:dyDescent="0.25">
      <c r="A554" s="28" t="s">
        <v>23</v>
      </c>
      <c r="B554" s="25" t="s">
        <v>89</v>
      </c>
      <c r="C554" s="12" t="s">
        <v>279</v>
      </c>
      <c r="D554" s="31">
        <f>'Summary by Site'!$N$50</f>
        <v>0</v>
      </c>
    </row>
    <row r="555" spans="1:4" x14ac:dyDescent="0.25">
      <c r="A555" s="28" t="s">
        <v>23</v>
      </c>
      <c r="B555" s="25" t="s">
        <v>89</v>
      </c>
      <c r="C555" s="12" t="s">
        <v>280</v>
      </c>
      <c r="D555" s="31">
        <f>'Summary by Site'!$N$51</f>
        <v>4</v>
      </c>
    </row>
    <row r="556" spans="1:4" x14ac:dyDescent="0.25">
      <c r="A556" s="28" t="s">
        <v>23</v>
      </c>
      <c r="B556" s="25" t="s">
        <v>89</v>
      </c>
      <c r="C556" s="12" t="s">
        <v>281</v>
      </c>
      <c r="D556" s="31">
        <f>'Summary by Site'!$N$52</f>
        <v>1046</v>
      </c>
    </row>
    <row r="557" spans="1:4" x14ac:dyDescent="0.25">
      <c r="A557" s="28" t="s">
        <v>23</v>
      </c>
      <c r="B557" s="25" t="s">
        <v>89</v>
      </c>
      <c r="C557" s="12" t="s">
        <v>282</v>
      </c>
      <c r="D557" s="31">
        <f>'Summary by Site'!$N$53</f>
        <v>8</v>
      </c>
    </row>
    <row r="558" spans="1:4" x14ac:dyDescent="0.25">
      <c r="A558" s="28" t="s">
        <v>23</v>
      </c>
      <c r="B558" s="25" t="s">
        <v>89</v>
      </c>
      <c r="C558" s="12" t="s">
        <v>283</v>
      </c>
      <c r="D558" s="31">
        <f>'Summary by Site'!$N$54</f>
        <v>1103</v>
      </c>
    </row>
    <row r="559" spans="1:4" x14ac:dyDescent="0.25">
      <c r="A559" s="28" t="s">
        <v>23</v>
      </c>
      <c r="B559" s="25" t="s">
        <v>89</v>
      </c>
      <c r="C559" s="12" t="s">
        <v>284</v>
      </c>
      <c r="D559" s="31">
        <f>'Summary by Site'!$N$55</f>
        <v>4</v>
      </c>
    </row>
    <row r="560" spans="1:4" x14ac:dyDescent="0.25">
      <c r="A560" s="29" t="s">
        <v>23</v>
      </c>
      <c r="B560" s="33" t="s">
        <v>89</v>
      </c>
      <c r="C560" s="14" t="s">
        <v>285</v>
      </c>
      <c r="D560" s="32">
        <f>'Summary by Site'!$N$56</f>
        <v>0.99551234106207931</v>
      </c>
    </row>
    <row r="561" spans="1:4" x14ac:dyDescent="0.25">
      <c r="A561" s="29" t="s">
        <v>23</v>
      </c>
      <c r="B561" s="33" t="s">
        <v>89</v>
      </c>
      <c r="C561" s="14" t="s">
        <v>286</v>
      </c>
      <c r="D561" s="32">
        <f>'Summary by Site'!$N$57</f>
        <v>0.99576719576719575</v>
      </c>
    </row>
    <row r="562" spans="1:4" x14ac:dyDescent="0.25">
      <c r="A562" s="27" t="s">
        <v>23</v>
      </c>
      <c r="B562" s="24" t="s">
        <v>271</v>
      </c>
      <c r="C562" s="21" t="s">
        <v>272</v>
      </c>
      <c r="D562" s="30">
        <f>'Summary by Site'!$O$42</f>
        <v>46</v>
      </c>
    </row>
    <row r="563" spans="1:4" x14ac:dyDescent="0.25">
      <c r="A563" s="28" t="s">
        <v>23</v>
      </c>
      <c r="B563" s="25" t="s">
        <v>271</v>
      </c>
      <c r="C563" s="12" t="s">
        <v>0</v>
      </c>
      <c r="D563" s="31">
        <f>'Summary by Site'!$O$43</f>
        <v>46</v>
      </c>
    </row>
    <row r="564" spans="1:4" x14ac:dyDescent="0.25">
      <c r="A564" s="28" t="s">
        <v>23</v>
      </c>
      <c r="B564" s="25" t="s">
        <v>271</v>
      </c>
      <c r="C564" s="12" t="s">
        <v>273</v>
      </c>
      <c r="D564" s="31">
        <f>'Summary by Site'!$O$44</f>
        <v>0</v>
      </c>
    </row>
    <row r="565" spans="1:4" x14ac:dyDescent="0.25">
      <c r="A565" s="28" t="s">
        <v>23</v>
      </c>
      <c r="B565" s="25" t="s">
        <v>271</v>
      </c>
      <c r="C565" s="12" t="s">
        <v>274</v>
      </c>
      <c r="D565" s="31">
        <f>'Summary by Site'!$O$45</f>
        <v>0</v>
      </c>
    </row>
    <row r="566" spans="1:4" x14ac:dyDescent="0.25">
      <c r="A566" s="28" t="s">
        <v>23</v>
      </c>
      <c r="B566" s="25" t="s">
        <v>271</v>
      </c>
      <c r="C566" s="12" t="s">
        <v>275</v>
      </c>
      <c r="D566" s="31">
        <f>'Summary by Site'!$O$46</f>
        <v>0</v>
      </c>
    </row>
    <row r="567" spans="1:4" x14ac:dyDescent="0.25">
      <c r="A567" s="29" t="s">
        <v>23</v>
      </c>
      <c r="B567" s="33" t="s">
        <v>271</v>
      </c>
      <c r="C567" s="14" t="s">
        <v>276</v>
      </c>
      <c r="D567" s="32">
        <f>'Summary by Site'!$O$47</f>
        <v>1</v>
      </c>
    </row>
    <row r="568" spans="1:4" x14ac:dyDescent="0.25">
      <c r="A568" s="28" t="s">
        <v>23</v>
      </c>
      <c r="B568" s="25" t="s">
        <v>271</v>
      </c>
      <c r="C568" s="12" t="s">
        <v>277</v>
      </c>
      <c r="D568" s="31">
        <f>'Summary by Site'!$O$48</f>
        <v>1609</v>
      </c>
    </row>
    <row r="569" spans="1:4" x14ac:dyDescent="0.25">
      <c r="A569" s="28" t="s">
        <v>23</v>
      </c>
      <c r="B569" s="25" t="s">
        <v>271</v>
      </c>
      <c r="C569" s="12" t="s">
        <v>278</v>
      </c>
      <c r="D569" s="31">
        <f>'Summary by Site'!$O$49</f>
        <v>208</v>
      </c>
    </row>
    <row r="570" spans="1:4" x14ac:dyDescent="0.25">
      <c r="A570" s="28" t="s">
        <v>23</v>
      </c>
      <c r="B570" s="25" t="s">
        <v>271</v>
      </c>
      <c r="C570" s="12" t="s">
        <v>279</v>
      </c>
      <c r="D570" s="31">
        <f>'Summary by Site'!$O$50</f>
        <v>0</v>
      </c>
    </row>
    <row r="571" spans="1:4" x14ac:dyDescent="0.25">
      <c r="A571" s="28" t="s">
        <v>23</v>
      </c>
      <c r="B571" s="25" t="s">
        <v>271</v>
      </c>
      <c r="C571" s="12" t="s">
        <v>280</v>
      </c>
      <c r="D571" s="31">
        <f>'Summary by Site'!$O$51</f>
        <v>208</v>
      </c>
    </row>
    <row r="572" spans="1:4" x14ac:dyDescent="0.25">
      <c r="A572" s="28" t="s">
        <v>23</v>
      </c>
      <c r="B572" s="25" t="s">
        <v>271</v>
      </c>
      <c r="C572" s="12" t="s">
        <v>281</v>
      </c>
      <c r="D572" s="31">
        <f>'Summary by Site'!$O$52</f>
        <v>2</v>
      </c>
    </row>
    <row r="573" spans="1:4" x14ac:dyDescent="0.25">
      <c r="A573" s="28" t="s">
        <v>23</v>
      </c>
      <c r="B573" s="25" t="s">
        <v>271</v>
      </c>
      <c r="C573" s="12" t="s">
        <v>282</v>
      </c>
      <c r="D573" s="31">
        <f>'Summary by Site'!$O$53</f>
        <v>686</v>
      </c>
    </row>
    <row r="574" spans="1:4" x14ac:dyDescent="0.25">
      <c r="A574" s="28" t="s">
        <v>23</v>
      </c>
      <c r="B574" s="25" t="s">
        <v>271</v>
      </c>
      <c r="C574" s="12" t="s">
        <v>283</v>
      </c>
      <c r="D574" s="31">
        <f>'Summary by Site'!$O$54</f>
        <v>3</v>
      </c>
    </row>
    <row r="575" spans="1:4" x14ac:dyDescent="0.25">
      <c r="A575" s="28" t="s">
        <v>23</v>
      </c>
      <c r="B575" s="25" t="s">
        <v>271</v>
      </c>
      <c r="C575" s="12" t="s">
        <v>284</v>
      </c>
      <c r="D575" s="31">
        <f>'Summary by Site'!$O$55</f>
        <v>709</v>
      </c>
    </row>
    <row r="576" spans="1:4" x14ac:dyDescent="0.25">
      <c r="A576" s="29" t="s">
        <v>23</v>
      </c>
      <c r="B576" s="33" t="s">
        <v>271</v>
      </c>
      <c r="C576" s="14" t="s">
        <v>285</v>
      </c>
      <c r="D576" s="32">
        <f>'Summary by Site'!$O$56</f>
        <v>0.57302672467371041</v>
      </c>
    </row>
    <row r="577" spans="1:4" x14ac:dyDescent="0.25">
      <c r="A577" s="29" t="s">
        <v>23</v>
      </c>
      <c r="B577" s="33" t="s">
        <v>271</v>
      </c>
      <c r="C577" s="14" t="s">
        <v>286</v>
      </c>
      <c r="D577" s="32">
        <f>'Summary by Site'!$O$57</f>
        <v>0.58489425981873111</v>
      </c>
    </row>
    <row r="578" spans="1:4" x14ac:dyDescent="0.25">
      <c r="A578" s="27" t="s">
        <v>24</v>
      </c>
      <c r="B578" s="24" t="s">
        <v>19</v>
      </c>
      <c r="C578" s="21" t="s">
        <v>272</v>
      </c>
      <c r="D578" s="30">
        <f>'Summary by Site'!$D$60</f>
        <v>215</v>
      </c>
    </row>
    <row r="579" spans="1:4" x14ac:dyDescent="0.25">
      <c r="A579" s="28" t="s">
        <v>24</v>
      </c>
      <c r="B579" s="25" t="s">
        <v>19</v>
      </c>
      <c r="C579" s="12" t="s">
        <v>0</v>
      </c>
      <c r="D579" s="31">
        <f>'Summary by Site'!$D$61</f>
        <v>214</v>
      </c>
    </row>
    <row r="580" spans="1:4" x14ac:dyDescent="0.25">
      <c r="A580" s="28" t="s">
        <v>24</v>
      </c>
      <c r="B580" s="25" t="s">
        <v>19</v>
      </c>
      <c r="C580" s="12" t="s">
        <v>273</v>
      </c>
      <c r="D580" s="31">
        <f>'Summary by Site'!$D$62</f>
        <v>0</v>
      </c>
    </row>
    <row r="581" spans="1:4" x14ac:dyDescent="0.25">
      <c r="A581" s="28" t="s">
        <v>24</v>
      </c>
      <c r="B581" s="25" t="s">
        <v>19</v>
      </c>
      <c r="C581" s="12" t="s">
        <v>274</v>
      </c>
      <c r="D581" s="31">
        <f>'Summary by Site'!$D$63</f>
        <v>0</v>
      </c>
    </row>
    <row r="582" spans="1:4" x14ac:dyDescent="0.25">
      <c r="A582" s="28" t="s">
        <v>24</v>
      </c>
      <c r="B582" s="25" t="s">
        <v>19</v>
      </c>
      <c r="C582" s="12" t="s">
        <v>275</v>
      </c>
      <c r="D582" s="31">
        <f>'Summary by Site'!$D$64</f>
        <v>1</v>
      </c>
    </row>
    <row r="583" spans="1:4" x14ac:dyDescent="0.25">
      <c r="A583" s="29" t="s">
        <v>24</v>
      </c>
      <c r="B583" s="26" t="s">
        <v>19</v>
      </c>
      <c r="C583" s="14" t="s">
        <v>276</v>
      </c>
      <c r="D583" s="32">
        <f>'Summary by Site'!$D$65</f>
        <v>0.99534883720930234</v>
      </c>
    </row>
    <row r="584" spans="1:4" x14ac:dyDescent="0.25">
      <c r="A584" s="28" t="s">
        <v>24</v>
      </c>
      <c r="B584" s="25" t="s">
        <v>19</v>
      </c>
      <c r="C584" s="12" t="s">
        <v>277</v>
      </c>
      <c r="D584" s="31">
        <f>'Summary by Site'!$D$66</f>
        <v>3479</v>
      </c>
    </row>
    <row r="585" spans="1:4" x14ac:dyDescent="0.25">
      <c r="A585" s="28" t="s">
        <v>24</v>
      </c>
      <c r="B585" s="25" t="s">
        <v>19</v>
      </c>
      <c r="C585" s="12" t="s">
        <v>278</v>
      </c>
      <c r="D585" s="31">
        <f>'Summary by Site'!$D$67</f>
        <v>878</v>
      </c>
    </row>
    <row r="586" spans="1:4" x14ac:dyDescent="0.25">
      <c r="A586" s="28" t="s">
        <v>24</v>
      </c>
      <c r="B586" s="25" t="s">
        <v>19</v>
      </c>
      <c r="C586" s="12" t="s">
        <v>279</v>
      </c>
      <c r="D586" s="31">
        <f>'Summary by Site'!$D$68</f>
        <v>488</v>
      </c>
    </row>
    <row r="587" spans="1:4" x14ac:dyDescent="0.25">
      <c r="A587" s="28" t="s">
        <v>24</v>
      </c>
      <c r="B587" s="25" t="s">
        <v>19</v>
      </c>
      <c r="C587" s="12" t="s">
        <v>280</v>
      </c>
      <c r="D587" s="31">
        <f>'Summary by Site'!$D$69</f>
        <v>2</v>
      </c>
    </row>
    <row r="588" spans="1:4" x14ac:dyDescent="0.25">
      <c r="A588" s="28" t="s">
        <v>24</v>
      </c>
      <c r="B588" s="25" t="s">
        <v>19</v>
      </c>
      <c r="C588" s="12" t="s">
        <v>281</v>
      </c>
      <c r="D588" s="31">
        <f>'Summary by Site'!$D$70</f>
        <v>2099</v>
      </c>
    </row>
    <row r="589" spans="1:4" x14ac:dyDescent="0.25">
      <c r="A589" s="28" t="s">
        <v>24</v>
      </c>
      <c r="B589" s="25" t="s">
        <v>19</v>
      </c>
      <c r="C589" s="12" t="s">
        <v>282</v>
      </c>
      <c r="D589" s="31">
        <f>'Summary by Site'!$D$71</f>
        <v>12</v>
      </c>
    </row>
    <row r="590" spans="1:4" x14ac:dyDescent="0.25">
      <c r="A590" s="28" t="s">
        <v>24</v>
      </c>
      <c r="B590" s="25" t="s">
        <v>19</v>
      </c>
      <c r="C590" s="12" t="s">
        <v>283</v>
      </c>
      <c r="D590" s="31">
        <f>'Summary by Site'!$D$72</f>
        <v>0</v>
      </c>
    </row>
    <row r="591" spans="1:4" x14ac:dyDescent="0.25">
      <c r="A591" s="28" t="s">
        <v>24</v>
      </c>
      <c r="B591" s="25" t="s">
        <v>19</v>
      </c>
      <c r="C591" s="12" t="s">
        <v>284</v>
      </c>
      <c r="D591" s="31">
        <f>'Summary by Site'!$D$73</f>
        <v>0</v>
      </c>
    </row>
    <row r="592" spans="1:4" x14ac:dyDescent="0.25">
      <c r="A592" s="29" t="s">
        <v>24</v>
      </c>
      <c r="B592" s="26" t="s">
        <v>19</v>
      </c>
      <c r="C592" s="14" t="s">
        <v>285</v>
      </c>
      <c r="D592" s="32">
        <f>'Summary by Site'!$D$74</f>
        <v>0.99597585513078468</v>
      </c>
    </row>
    <row r="593" spans="1:4" x14ac:dyDescent="0.25">
      <c r="A593" s="29" t="s">
        <v>24</v>
      </c>
      <c r="B593" s="26" t="s">
        <v>19</v>
      </c>
      <c r="C593" s="14" t="s">
        <v>286</v>
      </c>
      <c r="D593" s="32">
        <f>'Summary by Site'!$D$75</f>
        <v>0.99593936112615056</v>
      </c>
    </row>
    <row r="594" spans="1:4" x14ac:dyDescent="0.25">
      <c r="A594" s="27" t="s">
        <v>24</v>
      </c>
      <c r="B594" s="24" t="s">
        <v>25</v>
      </c>
      <c r="C594" s="21" t="s">
        <v>272</v>
      </c>
      <c r="D594" s="30">
        <f>'Summary by Site'!$E$60</f>
        <v>262</v>
      </c>
    </row>
    <row r="595" spans="1:4" x14ac:dyDescent="0.25">
      <c r="A595" s="28" t="s">
        <v>24</v>
      </c>
      <c r="B595" s="25" t="s">
        <v>25</v>
      </c>
      <c r="C595" s="12" t="s">
        <v>0</v>
      </c>
      <c r="D595" s="31">
        <f>'Summary by Site'!$E$61</f>
        <v>261</v>
      </c>
    </row>
    <row r="596" spans="1:4" x14ac:dyDescent="0.25">
      <c r="A596" s="28" t="s">
        <v>24</v>
      </c>
      <c r="B596" s="25" t="s">
        <v>25</v>
      </c>
      <c r="C596" s="12" t="s">
        <v>273</v>
      </c>
      <c r="D596" s="31">
        <f>'Summary by Site'!$E$62</f>
        <v>0</v>
      </c>
    </row>
    <row r="597" spans="1:4" x14ac:dyDescent="0.25">
      <c r="A597" s="28" t="s">
        <v>24</v>
      </c>
      <c r="B597" s="25" t="s">
        <v>25</v>
      </c>
      <c r="C597" s="12" t="s">
        <v>274</v>
      </c>
      <c r="D597" s="31">
        <f>'Summary by Site'!$E$63</f>
        <v>1</v>
      </c>
    </row>
    <row r="598" spans="1:4" x14ac:dyDescent="0.25">
      <c r="A598" s="28" t="s">
        <v>24</v>
      </c>
      <c r="B598" s="25" t="s">
        <v>25</v>
      </c>
      <c r="C598" s="12" t="s">
        <v>275</v>
      </c>
      <c r="D598" s="31">
        <f>'Summary by Site'!$E$64</f>
        <v>0</v>
      </c>
    </row>
    <row r="599" spans="1:4" x14ac:dyDescent="0.25">
      <c r="A599" s="29" t="s">
        <v>24</v>
      </c>
      <c r="B599" s="33" t="s">
        <v>25</v>
      </c>
      <c r="C599" s="14" t="s">
        <v>276</v>
      </c>
      <c r="D599" s="32">
        <f>'Summary by Site'!$E$65</f>
        <v>1</v>
      </c>
    </row>
    <row r="600" spans="1:4" x14ac:dyDescent="0.25">
      <c r="A600" s="28" t="s">
        <v>24</v>
      </c>
      <c r="B600" s="25" t="s">
        <v>25</v>
      </c>
      <c r="C600" s="12" t="s">
        <v>277</v>
      </c>
      <c r="D600" s="31">
        <f>'Summary by Site'!$E$66</f>
        <v>4716</v>
      </c>
    </row>
    <row r="601" spans="1:4" x14ac:dyDescent="0.25">
      <c r="A601" s="28" t="s">
        <v>24</v>
      </c>
      <c r="B601" s="25" t="s">
        <v>25</v>
      </c>
      <c r="C601" s="12" t="s">
        <v>278</v>
      </c>
      <c r="D601" s="31">
        <f>'Summary by Site'!$E$67</f>
        <v>887</v>
      </c>
    </row>
    <row r="602" spans="1:4" x14ac:dyDescent="0.25">
      <c r="A602" s="28" t="s">
        <v>24</v>
      </c>
      <c r="B602" s="25" t="s">
        <v>25</v>
      </c>
      <c r="C602" s="12" t="s">
        <v>279</v>
      </c>
      <c r="D602" s="31">
        <f>'Summary by Site'!$E$68</f>
        <v>0</v>
      </c>
    </row>
    <row r="603" spans="1:4" x14ac:dyDescent="0.25">
      <c r="A603" s="28" t="s">
        <v>24</v>
      </c>
      <c r="B603" s="25" t="s">
        <v>25</v>
      </c>
      <c r="C603" s="12" t="s">
        <v>280</v>
      </c>
      <c r="D603" s="31">
        <f>'Summary by Site'!$E$69</f>
        <v>15</v>
      </c>
    </row>
    <row r="604" spans="1:4" x14ac:dyDescent="0.25">
      <c r="A604" s="28" t="s">
        <v>24</v>
      </c>
      <c r="B604" s="25" t="s">
        <v>25</v>
      </c>
      <c r="C604" s="12" t="s">
        <v>281</v>
      </c>
      <c r="D604" s="31">
        <f>'Summary by Site'!$E$70</f>
        <v>2005</v>
      </c>
    </row>
    <row r="605" spans="1:4" x14ac:dyDescent="0.25">
      <c r="A605" s="28" t="s">
        <v>24</v>
      </c>
      <c r="B605" s="25" t="s">
        <v>25</v>
      </c>
      <c r="C605" s="12" t="s">
        <v>282</v>
      </c>
      <c r="D605" s="31">
        <f>'Summary by Site'!$E$71</f>
        <v>17</v>
      </c>
    </row>
    <row r="606" spans="1:4" x14ac:dyDescent="0.25">
      <c r="A606" s="28" t="s">
        <v>24</v>
      </c>
      <c r="B606" s="25" t="s">
        <v>25</v>
      </c>
      <c r="C606" s="12" t="s">
        <v>283</v>
      </c>
      <c r="D606" s="31">
        <f>'Summary by Site'!$E$72</f>
        <v>1765</v>
      </c>
    </row>
    <row r="607" spans="1:4" x14ac:dyDescent="0.25">
      <c r="A607" s="28" t="s">
        <v>24</v>
      </c>
      <c r="B607" s="25" t="s">
        <v>25</v>
      </c>
      <c r="C607" s="12" t="s">
        <v>284</v>
      </c>
      <c r="D607" s="31">
        <f>'Summary by Site'!$E$73</f>
        <v>27</v>
      </c>
    </row>
    <row r="608" spans="1:4" x14ac:dyDescent="0.25">
      <c r="A608" s="29" t="s">
        <v>24</v>
      </c>
      <c r="B608" s="33" t="s">
        <v>25</v>
      </c>
      <c r="C608" s="14" t="s">
        <v>285</v>
      </c>
      <c r="D608" s="32">
        <f>'Summary by Site'!$E$74</f>
        <v>0.99321458863443601</v>
      </c>
    </row>
    <row r="609" spans="1:4" x14ac:dyDescent="0.25">
      <c r="A609" s="29" t="s">
        <v>24</v>
      </c>
      <c r="B609" s="33" t="s">
        <v>25</v>
      </c>
      <c r="C609" s="14" t="s">
        <v>286</v>
      </c>
      <c r="D609" s="32">
        <f>'Summary by Site'!$E$75</f>
        <v>0.99357171554841306</v>
      </c>
    </row>
    <row r="610" spans="1:4" x14ac:dyDescent="0.25">
      <c r="A610" s="27" t="s">
        <v>24</v>
      </c>
      <c r="B610" s="24" t="s">
        <v>26</v>
      </c>
      <c r="C610" s="21" t="s">
        <v>272</v>
      </c>
      <c r="D610" s="30">
        <f>'Summary by Site'!$F$60</f>
        <v>230</v>
      </c>
    </row>
    <row r="611" spans="1:4" x14ac:dyDescent="0.25">
      <c r="A611" s="28" t="s">
        <v>24</v>
      </c>
      <c r="B611" s="25" t="s">
        <v>26</v>
      </c>
      <c r="C611" s="12" t="s">
        <v>0</v>
      </c>
      <c r="D611" s="31">
        <f>'Summary by Site'!$F$61</f>
        <v>230</v>
      </c>
    </row>
    <row r="612" spans="1:4" x14ac:dyDescent="0.25">
      <c r="A612" s="28" t="s">
        <v>24</v>
      </c>
      <c r="B612" s="25" t="s">
        <v>26</v>
      </c>
      <c r="C612" s="12" t="s">
        <v>273</v>
      </c>
      <c r="D612" s="31">
        <f>'Summary by Site'!$F$62</f>
        <v>0</v>
      </c>
    </row>
    <row r="613" spans="1:4" x14ac:dyDescent="0.25">
      <c r="A613" s="28" t="s">
        <v>24</v>
      </c>
      <c r="B613" s="25" t="s">
        <v>26</v>
      </c>
      <c r="C613" s="12" t="s">
        <v>274</v>
      </c>
      <c r="D613" s="31">
        <f>'Summary by Site'!$F$63</f>
        <v>0</v>
      </c>
    </row>
    <row r="614" spans="1:4" x14ac:dyDescent="0.25">
      <c r="A614" s="28" t="s">
        <v>24</v>
      </c>
      <c r="B614" s="25" t="s">
        <v>26</v>
      </c>
      <c r="C614" s="12" t="s">
        <v>275</v>
      </c>
      <c r="D614" s="31">
        <f>'Summary by Site'!$F$64</f>
        <v>0</v>
      </c>
    </row>
    <row r="615" spans="1:4" x14ac:dyDescent="0.25">
      <c r="A615" s="29" t="s">
        <v>24</v>
      </c>
      <c r="B615" s="33" t="s">
        <v>26</v>
      </c>
      <c r="C615" s="14" t="s">
        <v>276</v>
      </c>
      <c r="D615" s="32">
        <f>'Summary by Site'!$F$65</f>
        <v>1</v>
      </c>
    </row>
    <row r="616" spans="1:4" x14ac:dyDescent="0.25">
      <c r="A616" s="28" t="s">
        <v>24</v>
      </c>
      <c r="B616" s="25" t="s">
        <v>26</v>
      </c>
      <c r="C616" s="12" t="s">
        <v>277</v>
      </c>
      <c r="D616" s="31">
        <f>'Summary by Site'!$F$66</f>
        <v>5018</v>
      </c>
    </row>
    <row r="617" spans="1:4" x14ac:dyDescent="0.25">
      <c r="A617" s="28" t="s">
        <v>24</v>
      </c>
      <c r="B617" s="25" t="s">
        <v>26</v>
      </c>
      <c r="C617" s="12" t="s">
        <v>278</v>
      </c>
      <c r="D617" s="31">
        <f>'Summary by Site'!$F$67</f>
        <v>950</v>
      </c>
    </row>
    <row r="618" spans="1:4" x14ac:dyDescent="0.25">
      <c r="A618" s="28" t="s">
        <v>24</v>
      </c>
      <c r="B618" s="25" t="s">
        <v>26</v>
      </c>
      <c r="C618" s="12" t="s">
        <v>279</v>
      </c>
      <c r="D618" s="31">
        <f>'Summary by Site'!$F$68</f>
        <v>0</v>
      </c>
    </row>
    <row r="619" spans="1:4" x14ac:dyDescent="0.25">
      <c r="A619" s="28" t="s">
        <v>24</v>
      </c>
      <c r="B619" s="25" t="s">
        <v>26</v>
      </c>
      <c r="C619" s="12" t="s">
        <v>280</v>
      </c>
      <c r="D619" s="31">
        <f>'Summary by Site'!$F$69</f>
        <v>4</v>
      </c>
    </row>
    <row r="620" spans="1:4" x14ac:dyDescent="0.25">
      <c r="A620" s="28" t="s">
        <v>24</v>
      </c>
      <c r="B620" s="25" t="s">
        <v>26</v>
      </c>
      <c r="C620" s="12" t="s">
        <v>281</v>
      </c>
      <c r="D620" s="31">
        <f>'Summary by Site'!$F$70</f>
        <v>2034</v>
      </c>
    </row>
    <row r="621" spans="1:4" x14ac:dyDescent="0.25">
      <c r="A621" s="28" t="s">
        <v>24</v>
      </c>
      <c r="B621" s="25" t="s">
        <v>26</v>
      </c>
      <c r="C621" s="12" t="s">
        <v>282</v>
      </c>
      <c r="D621" s="31">
        <f>'Summary by Site'!$F$71</f>
        <v>16</v>
      </c>
    </row>
    <row r="622" spans="1:4" x14ac:dyDescent="0.25">
      <c r="A622" s="28" t="s">
        <v>24</v>
      </c>
      <c r="B622" s="25" t="s">
        <v>26</v>
      </c>
      <c r="C622" s="12" t="s">
        <v>283</v>
      </c>
      <c r="D622" s="31">
        <f>'Summary by Site'!$F$72</f>
        <v>1983</v>
      </c>
    </row>
    <row r="623" spans="1:4" x14ac:dyDescent="0.25">
      <c r="A623" s="28" t="s">
        <v>24</v>
      </c>
      <c r="B623" s="25" t="s">
        <v>26</v>
      </c>
      <c r="C623" s="12" t="s">
        <v>284</v>
      </c>
      <c r="D623" s="31">
        <f>'Summary by Site'!$F$73</f>
        <v>31</v>
      </c>
    </row>
    <row r="624" spans="1:4" x14ac:dyDescent="0.25">
      <c r="A624" s="29" t="s">
        <v>24</v>
      </c>
      <c r="B624" s="33" t="s">
        <v>26</v>
      </c>
      <c r="C624" s="14" t="s">
        <v>285</v>
      </c>
      <c r="D624" s="32">
        <f>'Summary by Site'!$F$74</f>
        <v>0.99601434834595459</v>
      </c>
    </row>
    <row r="625" spans="1:4" x14ac:dyDescent="0.25">
      <c r="A625" s="29" t="s">
        <v>24</v>
      </c>
      <c r="B625" s="33" t="s">
        <v>26</v>
      </c>
      <c r="C625" s="14" t="s">
        <v>286</v>
      </c>
      <c r="D625" s="32">
        <f>'Summary by Site'!$F$75</f>
        <v>0.99618902439024393</v>
      </c>
    </row>
    <row r="626" spans="1:4" x14ac:dyDescent="0.25">
      <c r="A626" s="27" t="s">
        <v>24</v>
      </c>
      <c r="B626" s="24" t="s">
        <v>38</v>
      </c>
      <c r="C626" s="21" t="s">
        <v>272</v>
      </c>
      <c r="D626" s="30">
        <f>'Summary by Site'!$G$60</f>
        <v>216</v>
      </c>
    </row>
    <row r="627" spans="1:4" x14ac:dyDescent="0.25">
      <c r="A627" s="28" t="s">
        <v>24</v>
      </c>
      <c r="B627" s="25" t="s">
        <v>38</v>
      </c>
      <c r="C627" s="12" t="s">
        <v>0</v>
      </c>
      <c r="D627" s="31">
        <f>'Summary by Site'!$G$61</f>
        <v>216</v>
      </c>
    </row>
    <row r="628" spans="1:4" x14ac:dyDescent="0.25">
      <c r="A628" s="28" t="s">
        <v>24</v>
      </c>
      <c r="B628" s="25" t="s">
        <v>38</v>
      </c>
      <c r="C628" s="12" t="s">
        <v>273</v>
      </c>
      <c r="D628" s="31">
        <f>'Summary by Site'!$G$62</f>
        <v>0</v>
      </c>
    </row>
    <row r="629" spans="1:4" x14ac:dyDescent="0.25">
      <c r="A629" s="28" t="s">
        <v>24</v>
      </c>
      <c r="B629" s="25" t="s">
        <v>38</v>
      </c>
      <c r="C629" s="12" t="s">
        <v>274</v>
      </c>
      <c r="D629" s="31">
        <f>'Summary by Site'!$G$63</f>
        <v>0</v>
      </c>
    </row>
    <row r="630" spans="1:4" x14ac:dyDescent="0.25">
      <c r="A630" s="28" t="s">
        <v>24</v>
      </c>
      <c r="B630" s="25" t="s">
        <v>38</v>
      </c>
      <c r="C630" s="12" t="s">
        <v>275</v>
      </c>
      <c r="D630" s="31">
        <f>'Summary by Site'!$G$64</f>
        <v>0</v>
      </c>
    </row>
    <row r="631" spans="1:4" x14ac:dyDescent="0.25">
      <c r="A631" s="29" t="s">
        <v>24</v>
      </c>
      <c r="B631" s="33" t="s">
        <v>38</v>
      </c>
      <c r="C631" s="14" t="s">
        <v>276</v>
      </c>
      <c r="D631" s="32">
        <f>'Summary by Site'!$G$65</f>
        <v>1</v>
      </c>
    </row>
    <row r="632" spans="1:4" x14ac:dyDescent="0.25">
      <c r="A632" s="28" t="s">
        <v>24</v>
      </c>
      <c r="B632" s="25" t="s">
        <v>38</v>
      </c>
      <c r="C632" s="12" t="s">
        <v>277</v>
      </c>
      <c r="D632" s="31">
        <f>'Summary by Site'!$G$66</f>
        <v>4768</v>
      </c>
    </row>
    <row r="633" spans="1:4" x14ac:dyDescent="0.25">
      <c r="A633" s="28" t="s">
        <v>24</v>
      </c>
      <c r="B633" s="25" t="s">
        <v>38</v>
      </c>
      <c r="C633" s="12" t="s">
        <v>278</v>
      </c>
      <c r="D633" s="31">
        <f>'Summary by Site'!$G$67</f>
        <v>1037</v>
      </c>
    </row>
    <row r="634" spans="1:4" x14ac:dyDescent="0.25">
      <c r="A634" s="28" t="s">
        <v>24</v>
      </c>
      <c r="B634" s="25" t="s">
        <v>38</v>
      </c>
      <c r="C634" s="12" t="s">
        <v>279</v>
      </c>
      <c r="D634" s="31">
        <f>'Summary by Site'!$G$68</f>
        <v>0</v>
      </c>
    </row>
    <row r="635" spans="1:4" x14ac:dyDescent="0.25">
      <c r="A635" s="28" t="s">
        <v>24</v>
      </c>
      <c r="B635" s="25" t="s">
        <v>38</v>
      </c>
      <c r="C635" s="12" t="s">
        <v>280</v>
      </c>
      <c r="D635" s="31">
        <f>'Summary by Site'!$G$69</f>
        <v>3</v>
      </c>
    </row>
    <row r="636" spans="1:4" x14ac:dyDescent="0.25">
      <c r="A636" s="28" t="s">
        <v>24</v>
      </c>
      <c r="B636" s="25" t="s">
        <v>38</v>
      </c>
      <c r="C636" s="12" t="s">
        <v>281</v>
      </c>
      <c r="D636" s="31">
        <f>'Summary by Site'!$G$70</f>
        <v>1907</v>
      </c>
    </row>
    <row r="637" spans="1:4" x14ac:dyDescent="0.25">
      <c r="A637" s="28" t="s">
        <v>24</v>
      </c>
      <c r="B637" s="25" t="s">
        <v>38</v>
      </c>
      <c r="C637" s="12" t="s">
        <v>282</v>
      </c>
      <c r="D637" s="31">
        <f>'Summary by Site'!$G$71</f>
        <v>19</v>
      </c>
    </row>
    <row r="638" spans="1:4" x14ac:dyDescent="0.25">
      <c r="A638" s="28" t="s">
        <v>24</v>
      </c>
      <c r="B638" s="25" t="s">
        <v>38</v>
      </c>
      <c r="C638" s="12" t="s">
        <v>283</v>
      </c>
      <c r="D638" s="31">
        <f>'Summary by Site'!$G$72</f>
        <v>1781</v>
      </c>
    </row>
    <row r="639" spans="1:4" x14ac:dyDescent="0.25">
      <c r="A639" s="28" t="s">
        <v>24</v>
      </c>
      <c r="B639" s="25" t="s">
        <v>38</v>
      </c>
      <c r="C639" s="12" t="s">
        <v>284</v>
      </c>
      <c r="D639" s="31">
        <f>'Summary by Site'!$G$73</f>
        <v>21</v>
      </c>
    </row>
    <row r="640" spans="1:4" x14ac:dyDescent="0.25">
      <c r="A640" s="29" t="s">
        <v>24</v>
      </c>
      <c r="B640" s="33" t="s">
        <v>38</v>
      </c>
      <c r="C640" s="14" t="s">
        <v>285</v>
      </c>
      <c r="D640" s="32">
        <f>'Summary by Site'!$G$74</f>
        <v>0.99538590604026844</v>
      </c>
    </row>
    <row r="641" spans="1:4" x14ac:dyDescent="0.25">
      <c r="A641" s="29" t="s">
        <v>24</v>
      </c>
      <c r="B641" s="33" t="s">
        <v>38</v>
      </c>
      <c r="C641" s="14" t="s">
        <v>286</v>
      </c>
      <c r="D641" s="32">
        <f>'Summary by Site'!$G$75</f>
        <v>0.99558587479935789</v>
      </c>
    </row>
    <row r="642" spans="1:4" x14ac:dyDescent="0.25">
      <c r="A642" s="27" t="s">
        <v>24</v>
      </c>
      <c r="B642" s="24" t="s">
        <v>44</v>
      </c>
      <c r="C642" s="21" t="s">
        <v>272</v>
      </c>
      <c r="D642" s="30">
        <f>'Summary by Site'!$H$60</f>
        <v>269</v>
      </c>
    </row>
    <row r="643" spans="1:4" x14ac:dyDescent="0.25">
      <c r="A643" s="28" t="s">
        <v>24</v>
      </c>
      <c r="B643" s="25" t="s">
        <v>44</v>
      </c>
      <c r="C643" s="12" t="s">
        <v>0</v>
      </c>
      <c r="D643" s="31">
        <f>'Summary by Site'!$H$61</f>
        <v>269</v>
      </c>
    </row>
    <row r="644" spans="1:4" x14ac:dyDescent="0.25">
      <c r="A644" s="28" t="s">
        <v>24</v>
      </c>
      <c r="B644" s="25" t="s">
        <v>44</v>
      </c>
      <c r="C644" s="12" t="s">
        <v>273</v>
      </c>
      <c r="D644" s="31">
        <f>'Summary by Site'!$H$62</f>
        <v>0</v>
      </c>
    </row>
    <row r="645" spans="1:4" x14ac:dyDescent="0.25">
      <c r="A645" s="28" t="s">
        <v>24</v>
      </c>
      <c r="B645" s="25" t="s">
        <v>44</v>
      </c>
      <c r="C645" s="12" t="s">
        <v>274</v>
      </c>
      <c r="D645" s="31">
        <f>'Summary by Site'!$H$63</f>
        <v>0</v>
      </c>
    </row>
    <row r="646" spans="1:4" x14ac:dyDescent="0.25">
      <c r="A646" s="28" t="s">
        <v>24</v>
      </c>
      <c r="B646" s="25" t="s">
        <v>44</v>
      </c>
      <c r="C646" s="12" t="s">
        <v>275</v>
      </c>
      <c r="D646" s="31">
        <f>'Summary by Site'!$H$64</f>
        <v>0</v>
      </c>
    </row>
    <row r="647" spans="1:4" x14ac:dyDescent="0.25">
      <c r="A647" s="29" t="s">
        <v>24</v>
      </c>
      <c r="B647" s="33" t="s">
        <v>44</v>
      </c>
      <c r="C647" s="14" t="s">
        <v>276</v>
      </c>
      <c r="D647" s="32">
        <f>'Summary by Site'!$H$65</f>
        <v>1</v>
      </c>
    </row>
    <row r="648" spans="1:4" x14ac:dyDescent="0.25">
      <c r="A648" s="28" t="s">
        <v>24</v>
      </c>
      <c r="B648" s="25" t="s">
        <v>44</v>
      </c>
      <c r="C648" s="12" t="s">
        <v>277</v>
      </c>
      <c r="D648" s="31">
        <f>'Summary by Site'!$H$66</f>
        <v>4814</v>
      </c>
    </row>
    <row r="649" spans="1:4" x14ac:dyDescent="0.25">
      <c r="A649" s="28" t="s">
        <v>24</v>
      </c>
      <c r="B649" s="25" t="s">
        <v>44</v>
      </c>
      <c r="C649" s="12" t="s">
        <v>278</v>
      </c>
      <c r="D649" s="31">
        <f>'Summary by Site'!$H$67</f>
        <v>964</v>
      </c>
    </row>
    <row r="650" spans="1:4" x14ac:dyDescent="0.25">
      <c r="A650" s="28" t="s">
        <v>24</v>
      </c>
      <c r="B650" s="25" t="s">
        <v>44</v>
      </c>
      <c r="C650" s="12" t="s">
        <v>279</v>
      </c>
      <c r="D650" s="31">
        <f>'Summary by Site'!$H$68</f>
        <v>0</v>
      </c>
    </row>
    <row r="651" spans="1:4" x14ac:dyDescent="0.25">
      <c r="A651" s="28" t="s">
        <v>24</v>
      </c>
      <c r="B651" s="25" t="s">
        <v>44</v>
      </c>
      <c r="C651" s="12" t="s">
        <v>280</v>
      </c>
      <c r="D651" s="31">
        <f>'Summary by Site'!$H$69</f>
        <v>17</v>
      </c>
    </row>
    <row r="652" spans="1:4" x14ac:dyDescent="0.25">
      <c r="A652" s="28" t="s">
        <v>24</v>
      </c>
      <c r="B652" s="25" t="s">
        <v>44</v>
      </c>
      <c r="C652" s="12" t="s">
        <v>281</v>
      </c>
      <c r="D652" s="31">
        <f>'Summary by Site'!$H$70</f>
        <v>2071</v>
      </c>
    </row>
    <row r="653" spans="1:4" x14ac:dyDescent="0.25">
      <c r="A653" s="28" t="s">
        <v>24</v>
      </c>
      <c r="B653" s="25" t="s">
        <v>44</v>
      </c>
      <c r="C653" s="12" t="s">
        <v>282</v>
      </c>
      <c r="D653" s="31">
        <f>'Summary by Site'!$H$71</f>
        <v>23</v>
      </c>
    </row>
    <row r="654" spans="1:4" x14ac:dyDescent="0.25">
      <c r="A654" s="28" t="s">
        <v>24</v>
      </c>
      <c r="B654" s="25" t="s">
        <v>44</v>
      </c>
      <c r="C654" s="12" t="s">
        <v>283</v>
      </c>
      <c r="D654" s="31">
        <f>'Summary by Site'!$H$72</f>
        <v>1719</v>
      </c>
    </row>
    <row r="655" spans="1:4" x14ac:dyDescent="0.25">
      <c r="A655" s="28" t="s">
        <v>24</v>
      </c>
      <c r="B655" s="25" t="s">
        <v>44</v>
      </c>
      <c r="C655" s="12" t="s">
        <v>284</v>
      </c>
      <c r="D655" s="31">
        <f>'Summary by Site'!$H$73</f>
        <v>20</v>
      </c>
    </row>
    <row r="656" spans="1:4" x14ac:dyDescent="0.25">
      <c r="A656" s="29" t="s">
        <v>24</v>
      </c>
      <c r="B656" s="33" t="s">
        <v>44</v>
      </c>
      <c r="C656" s="14" t="s">
        <v>285</v>
      </c>
      <c r="D656" s="32">
        <f>'Summary by Site'!$H$74</f>
        <v>0.9916909015371832</v>
      </c>
    </row>
    <row r="657" spans="1:4" x14ac:dyDescent="0.25">
      <c r="A657" s="29" t="s">
        <v>24</v>
      </c>
      <c r="B657" s="33" t="s">
        <v>44</v>
      </c>
      <c r="C657" s="14" t="s">
        <v>286</v>
      </c>
      <c r="D657" s="32">
        <f>'Summary by Site'!$H$75</f>
        <v>0.99213063151682079</v>
      </c>
    </row>
    <row r="658" spans="1:4" x14ac:dyDescent="0.25">
      <c r="A658" s="27" t="s">
        <v>24</v>
      </c>
      <c r="B658" s="24" t="s">
        <v>45</v>
      </c>
      <c r="C658" s="21" t="s">
        <v>272</v>
      </c>
      <c r="D658" s="30">
        <f>'Summary by Site'!$I$60</f>
        <v>223</v>
      </c>
    </row>
    <row r="659" spans="1:4" x14ac:dyDescent="0.25">
      <c r="A659" s="28" t="s">
        <v>24</v>
      </c>
      <c r="B659" s="25" t="s">
        <v>45</v>
      </c>
      <c r="C659" s="12" t="s">
        <v>0</v>
      </c>
      <c r="D659" s="31">
        <f>'Summary by Site'!$I$61</f>
        <v>222</v>
      </c>
    </row>
    <row r="660" spans="1:4" x14ac:dyDescent="0.25">
      <c r="A660" s="28" t="s">
        <v>24</v>
      </c>
      <c r="B660" s="25" t="s">
        <v>45</v>
      </c>
      <c r="C660" s="12" t="s">
        <v>273</v>
      </c>
      <c r="D660" s="31">
        <f>'Summary by Site'!$I$62</f>
        <v>0</v>
      </c>
    </row>
    <row r="661" spans="1:4" x14ac:dyDescent="0.25">
      <c r="A661" s="28" t="s">
        <v>24</v>
      </c>
      <c r="B661" s="25" t="s">
        <v>45</v>
      </c>
      <c r="C661" s="12" t="s">
        <v>274</v>
      </c>
      <c r="D661" s="31">
        <f>'Summary by Site'!$I$63</f>
        <v>0</v>
      </c>
    </row>
    <row r="662" spans="1:4" x14ac:dyDescent="0.25">
      <c r="A662" s="28" t="s">
        <v>24</v>
      </c>
      <c r="B662" s="25" t="s">
        <v>45</v>
      </c>
      <c r="C662" s="12" t="s">
        <v>275</v>
      </c>
      <c r="D662" s="31">
        <f>'Summary by Site'!$I$64</f>
        <v>1</v>
      </c>
    </row>
    <row r="663" spans="1:4" x14ac:dyDescent="0.25">
      <c r="A663" s="29" t="s">
        <v>24</v>
      </c>
      <c r="B663" s="33" t="s">
        <v>45</v>
      </c>
      <c r="C663" s="14" t="s">
        <v>276</v>
      </c>
      <c r="D663" s="32">
        <f>'Summary by Site'!$I$65</f>
        <v>0.99551569506726456</v>
      </c>
    </row>
    <row r="664" spans="1:4" x14ac:dyDescent="0.25">
      <c r="A664" s="28" t="s">
        <v>24</v>
      </c>
      <c r="B664" s="25" t="s">
        <v>45</v>
      </c>
      <c r="C664" s="12" t="s">
        <v>277</v>
      </c>
      <c r="D664" s="31">
        <f>'Summary by Site'!$I$66</f>
        <v>4365</v>
      </c>
    </row>
    <row r="665" spans="1:4" x14ac:dyDescent="0.25">
      <c r="A665" s="28" t="s">
        <v>24</v>
      </c>
      <c r="B665" s="25" t="s">
        <v>45</v>
      </c>
      <c r="C665" s="12" t="s">
        <v>278</v>
      </c>
      <c r="D665" s="31">
        <f>'Summary by Site'!$I$67</f>
        <v>789</v>
      </c>
    </row>
    <row r="666" spans="1:4" x14ac:dyDescent="0.25">
      <c r="A666" s="28" t="s">
        <v>24</v>
      </c>
      <c r="B666" s="25" t="s">
        <v>45</v>
      </c>
      <c r="C666" s="12" t="s">
        <v>279</v>
      </c>
      <c r="D666" s="31">
        <f>'Summary by Site'!$I$68</f>
        <v>0</v>
      </c>
    </row>
    <row r="667" spans="1:4" x14ac:dyDescent="0.25">
      <c r="A667" s="28" t="s">
        <v>24</v>
      </c>
      <c r="B667" s="25" t="s">
        <v>45</v>
      </c>
      <c r="C667" s="12" t="s">
        <v>280</v>
      </c>
      <c r="D667" s="31">
        <f>'Summary by Site'!$I$69</f>
        <v>10</v>
      </c>
    </row>
    <row r="668" spans="1:4" x14ac:dyDescent="0.25">
      <c r="A668" s="28" t="s">
        <v>24</v>
      </c>
      <c r="B668" s="25" t="s">
        <v>45</v>
      </c>
      <c r="C668" s="12" t="s">
        <v>281</v>
      </c>
      <c r="D668" s="31">
        <f>'Summary by Site'!$I$70</f>
        <v>1886</v>
      </c>
    </row>
    <row r="669" spans="1:4" x14ac:dyDescent="0.25">
      <c r="A669" s="28" t="s">
        <v>24</v>
      </c>
      <c r="B669" s="25" t="s">
        <v>45</v>
      </c>
      <c r="C669" s="12" t="s">
        <v>282</v>
      </c>
      <c r="D669" s="31">
        <f>'Summary by Site'!$I$71</f>
        <v>11</v>
      </c>
    </row>
    <row r="670" spans="1:4" x14ac:dyDescent="0.25">
      <c r="A670" s="28" t="s">
        <v>24</v>
      </c>
      <c r="B670" s="25" t="s">
        <v>45</v>
      </c>
      <c r="C670" s="12" t="s">
        <v>283</v>
      </c>
      <c r="D670" s="31">
        <f>'Summary by Site'!$I$72</f>
        <v>1655</v>
      </c>
    </row>
    <row r="671" spans="1:4" x14ac:dyDescent="0.25">
      <c r="A671" s="28" t="s">
        <v>24</v>
      </c>
      <c r="B671" s="25" t="s">
        <v>45</v>
      </c>
      <c r="C671" s="12" t="s">
        <v>284</v>
      </c>
      <c r="D671" s="31">
        <f>'Summary by Site'!$I$73</f>
        <v>14</v>
      </c>
    </row>
    <row r="672" spans="1:4" x14ac:dyDescent="0.25">
      <c r="A672" s="29" t="s">
        <v>24</v>
      </c>
      <c r="B672" s="33" t="s">
        <v>45</v>
      </c>
      <c r="C672" s="14" t="s">
        <v>285</v>
      </c>
      <c r="D672" s="32">
        <f>'Summary by Site'!$I$74</f>
        <v>0.99518900343642613</v>
      </c>
    </row>
    <row r="673" spans="1:4" x14ac:dyDescent="0.25">
      <c r="A673" s="29" t="s">
        <v>24</v>
      </c>
      <c r="B673" s="33" t="s">
        <v>45</v>
      </c>
      <c r="C673" s="14" t="s">
        <v>286</v>
      </c>
      <c r="D673" s="32">
        <f>'Summary by Site'!$I$75</f>
        <v>0.99520488230165649</v>
      </c>
    </row>
    <row r="674" spans="1:4" x14ac:dyDescent="0.25">
      <c r="A674" s="27" t="s">
        <v>24</v>
      </c>
      <c r="B674" s="24" t="s">
        <v>46</v>
      </c>
      <c r="C674" s="21" t="s">
        <v>272</v>
      </c>
      <c r="D674" s="30">
        <f>'Summary by Site'!$J$60</f>
        <v>237</v>
      </c>
    </row>
    <row r="675" spans="1:4" x14ac:dyDescent="0.25">
      <c r="A675" s="28" t="s">
        <v>24</v>
      </c>
      <c r="B675" s="25" t="s">
        <v>46</v>
      </c>
      <c r="C675" s="12" t="s">
        <v>0</v>
      </c>
      <c r="D675" s="31">
        <f>'Summary by Site'!$J$61</f>
        <v>237</v>
      </c>
    </row>
    <row r="676" spans="1:4" x14ac:dyDescent="0.25">
      <c r="A676" s="28" t="s">
        <v>24</v>
      </c>
      <c r="B676" s="25" t="s">
        <v>46</v>
      </c>
      <c r="C676" s="12" t="s">
        <v>273</v>
      </c>
      <c r="D676" s="31">
        <f>'Summary by Site'!$J$62</f>
        <v>0</v>
      </c>
    </row>
    <row r="677" spans="1:4" x14ac:dyDescent="0.25">
      <c r="A677" s="28" t="s">
        <v>24</v>
      </c>
      <c r="B677" s="25" t="s">
        <v>46</v>
      </c>
      <c r="C677" s="12" t="s">
        <v>274</v>
      </c>
      <c r="D677" s="31">
        <f>'Summary by Site'!$J$63</f>
        <v>0</v>
      </c>
    </row>
    <row r="678" spans="1:4" x14ac:dyDescent="0.25">
      <c r="A678" s="28" t="s">
        <v>24</v>
      </c>
      <c r="B678" s="25" t="s">
        <v>46</v>
      </c>
      <c r="C678" s="12" t="s">
        <v>275</v>
      </c>
      <c r="D678" s="31">
        <f>'Summary by Site'!$J$64</f>
        <v>0</v>
      </c>
    </row>
    <row r="679" spans="1:4" x14ac:dyDescent="0.25">
      <c r="A679" s="29" t="s">
        <v>24</v>
      </c>
      <c r="B679" s="33" t="s">
        <v>46</v>
      </c>
      <c r="C679" s="14" t="s">
        <v>276</v>
      </c>
      <c r="D679" s="32">
        <f>'Summary by Site'!$J$65</f>
        <v>1</v>
      </c>
    </row>
    <row r="680" spans="1:4" x14ac:dyDescent="0.25">
      <c r="A680" s="28" t="s">
        <v>24</v>
      </c>
      <c r="B680" s="25" t="s">
        <v>46</v>
      </c>
      <c r="C680" s="12" t="s">
        <v>277</v>
      </c>
      <c r="D680" s="31">
        <f>'Summary by Site'!$J$66</f>
        <v>4805</v>
      </c>
    </row>
    <row r="681" spans="1:4" x14ac:dyDescent="0.25">
      <c r="A681" s="28" t="s">
        <v>24</v>
      </c>
      <c r="B681" s="25" t="s">
        <v>46</v>
      </c>
      <c r="C681" s="12" t="s">
        <v>278</v>
      </c>
      <c r="D681" s="31">
        <f>'Summary by Site'!$J$67</f>
        <v>860</v>
      </c>
    </row>
    <row r="682" spans="1:4" x14ac:dyDescent="0.25">
      <c r="A682" s="28" t="s">
        <v>24</v>
      </c>
      <c r="B682" s="25" t="s">
        <v>46</v>
      </c>
      <c r="C682" s="12" t="s">
        <v>279</v>
      </c>
      <c r="D682" s="31">
        <f>'Summary by Site'!$J$68</f>
        <v>0</v>
      </c>
    </row>
    <row r="683" spans="1:4" x14ac:dyDescent="0.25">
      <c r="A683" s="28" t="s">
        <v>24</v>
      </c>
      <c r="B683" s="25" t="s">
        <v>46</v>
      </c>
      <c r="C683" s="12" t="s">
        <v>280</v>
      </c>
      <c r="D683" s="31">
        <f>'Summary by Site'!$J$69</f>
        <v>12</v>
      </c>
    </row>
    <row r="684" spans="1:4" x14ac:dyDescent="0.25">
      <c r="A684" s="28" t="s">
        <v>24</v>
      </c>
      <c r="B684" s="25" t="s">
        <v>46</v>
      </c>
      <c r="C684" s="12" t="s">
        <v>281</v>
      </c>
      <c r="D684" s="31">
        <f>'Summary by Site'!$J$70</f>
        <v>2118</v>
      </c>
    </row>
    <row r="685" spans="1:4" x14ac:dyDescent="0.25">
      <c r="A685" s="28" t="s">
        <v>24</v>
      </c>
      <c r="B685" s="25" t="s">
        <v>46</v>
      </c>
      <c r="C685" s="12" t="s">
        <v>282</v>
      </c>
      <c r="D685" s="31">
        <f>'Summary by Site'!$J$71</f>
        <v>12</v>
      </c>
    </row>
    <row r="686" spans="1:4" x14ac:dyDescent="0.25">
      <c r="A686" s="28" t="s">
        <v>24</v>
      </c>
      <c r="B686" s="25" t="s">
        <v>46</v>
      </c>
      <c r="C686" s="12" t="s">
        <v>283</v>
      </c>
      <c r="D686" s="31">
        <f>'Summary by Site'!$J$72</f>
        <v>1793</v>
      </c>
    </row>
    <row r="687" spans="1:4" x14ac:dyDescent="0.25">
      <c r="A687" s="28" t="s">
        <v>24</v>
      </c>
      <c r="B687" s="25" t="s">
        <v>46</v>
      </c>
      <c r="C687" s="12" t="s">
        <v>284</v>
      </c>
      <c r="D687" s="31">
        <f>'Summary by Site'!$J$73</f>
        <v>10</v>
      </c>
    </row>
    <row r="688" spans="1:4" x14ac:dyDescent="0.25">
      <c r="A688" s="29" t="s">
        <v>24</v>
      </c>
      <c r="B688" s="33" t="s">
        <v>46</v>
      </c>
      <c r="C688" s="14" t="s">
        <v>285</v>
      </c>
      <c r="D688" s="32">
        <f>'Summary by Site'!$J$74</f>
        <v>0.99500520291363159</v>
      </c>
    </row>
    <row r="689" spans="1:4" x14ac:dyDescent="0.25">
      <c r="A689" s="29" t="s">
        <v>24</v>
      </c>
      <c r="B689" s="33" t="s">
        <v>46</v>
      </c>
      <c r="C689" s="14" t="s">
        <v>286</v>
      </c>
      <c r="D689" s="32">
        <f>'Summary by Site'!$J$75</f>
        <v>0.99523998413328041</v>
      </c>
    </row>
    <row r="690" spans="1:4" x14ac:dyDescent="0.25">
      <c r="A690" s="27" t="s">
        <v>24</v>
      </c>
      <c r="B690" s="24" t="s">
        <v>47</v>
      </c>
      <c r="C690" s="21" t="s">
        <v>272</v>
      </c>
      <c r="D690" s="30">
        <f>'Summary by Site'!$K$60</f>
        <v>274</v>
      </c>
    </row>
    <row r="691" spans="1:4" x14ac:dyDescent="0.25">
      <c r="A691" s="28" t="s">
        <v>24</v>
      </c>
      <c r="B691" s="25" t="s">
        <v>47</v>
      </c>
      <c r="C691" s="12" t="s">
        <v>0</v>
      </c>
      <c r="D691" s="31">
        <f>'Summary by Site'!$K$61</f>
        <v>274</v>
      </c>
    </row>
    <row r="692" spans="1:4" x14ac:dyDescent="0.25">
      <c r="A692" s="28" t="s">
        <v>24</v>
      </c>
      <c r="B692" s="25" t="s">
        <v>47</v>
      </c>
      <c r="C692" s="12" t="s">
        <v>273</v>
      </c>
      <c r="D692" s="31">
        <f>'Summary by Site'!$K$62</f>
        <v>0</v>
      </c>
    </row>
    <row r="693" spans="1:4" x14ac:dyDescent="0.25">
      <c r="A693" s="28" t="s">
        <v>24</v>
      </c>
      <c r="B693" s="25" t="s">
        <v>47</v>
      </c>
      <c r="C693" s="12" t="s">
        <v>274</v>
      </c>
      <c r="D693" s="31">
        <f>'Summary by Site'!$K$63</f>
        <v>0</v>
      </c>
    </row>
    <row r="694" spans="1:4" x14ac:dyDescent="0.25">
      <c r="A694" s="28" t="s">
        <v>24</v>
      </c>
      <c r="B694" s="25" t="s">
        <v>47</v>
      </c>
      <c r="C694" s="12" t="s">
        <v>275</v>
      </c>
      <c r="D694" s="31">
        <f>'Summary by Site'!$K$64</f>
        <v>0</v>
      </c>
    </row>
    <row r="695" spans="1:4" x14ac:dyDescent="0.25">
      <c r="A695" s="29" t="s">
        <v>24</v>
      </c>
      <c r="B695" s="33" t="s">
        <v>47</v>
      </c>
      <c r="C695" s="14" t="s">
        <v>276</v>
      </c>
      <c r="D695" s="32">
        <f>'Summary by Site'!$K$65</f>
        <v>1</v>
      </c>
    </row>
    <row r="696" spans="1:4" x14ac:dyDescent="0.25">
      <c r="A696" s="28" t="s">
        <v>24</v>
      </c>
      <c r="B696" s="25" t="s">
        <v>47</v>
      </c>
      <c r="C696" s="12" t="s">
        <v>277</v>
      </c>
      <c r="D696" s="31">
        <f>'Summary by Site'!$K$66</f>
        <v>4834</v>
      </c>
    </row>
    <row r="697" spans="1:4" x14ac:dyDescent="0.25">
      <c r="A697" s="28" t="s">
        <v>24</v>
      </c>
      <c r="B697" s="25" t="s">
        <v>47</v>
      </c>
      <c r="C697" s="12" t="s">
        <v>278</v>
      </c>
      <c r="D697" s="31">
        <f>'Summary by Site'!$K$67</f>
        <v>837</v>
      </c>
    </row>
    <row r="698" spans="1:4" x14ac:dyDescent="0.25">
      <c r="A698" s="28" t="s">
        <v>24</v>
      </c>
      <c r="B698" s="25" t="s">
        <v>47</v>
      </c>
      <c r="C698" s="12" t="s">
        <v>279</v>
      </c>
      <c r="D698" s="31">
        <f>'Summary by Site'!$K$68</f>
        <v>0</v>
      </c>
    </row>
    <row r="699" spans="1:4" x14ac:dyDescent="0.25">
      <c r="A699" s="28" t="s">
        <v>24</v>
      </c>
      <c r="B699" s="25" t="s">
        <v>47</v>
      </c>
      <c r="C699" s="12" t="s">
        <v>280</v>
      </c>
      <c r="D699" s="31">
        <f>'Summary by Site'!$K$69</f>
        <v>9</v>
      </c>
    </row>
    <row r="700" spans="1:4" x14ac:dyDescent="0.25">
      <c r="A700" s="28" t="s">
        <v>24</v>
      </c>
      <c r="B700" s="25" t="s">
        <v>47</v>
      </c>
      <c r="C700" s="12" t="s">
        <v>281</v>
      </c>
      <c r="D700" s="31">
        <f>'Summary by Site'!$K$70</f>
        <v>2186</v>
      </c>
    </row>
    <row r="701" spans="1:4" x14ac:dyDescent="0.25">
      <c r="A701" s="28" t="s">
        <v>24</v>
      </c>
      <c r="B701" s="25" t="s">
        <v>47</v>
      </c>
      <c r="C701" s="12" t="s">
        <v>282</v>
      </c>
      <c r="D701" s="31">
        <f>'Summary by Site'!$K$71</f>
        <v>13</v>
      </c>
    </row>
    <row r="702" spans="1:4" x14ac:dyDescent="0.25">
      <c r="A702" s="28" t="s">
        <v>24</v>
      </c>
      <c r="B702" s="25" t="s">
        <v>47</v>
      </c>
      <c r="C702" s="12" t="s">
        <v>283</v>
      </c>
      <c r="D702" s="31">
        <f>'Summary by Site'!$K$72</f>
        <v>1782</v>
      </c>
    </row>
    <row r="703" spans="1:4" x14ac:dyDescent="0.25">
      <c r="A703" s="28" t="s">
        <v>24</v>
      </c>
      <c r="B703" s="25" t="s">
        <v>47</v>
      </c>
      <c r="C703" s="12" t="s">
        <v>284</v>
      </c>
      <c r="D703" s="31">
        <f>'Summary by Site'!$K$73</f>
        <v>7</v>
      </c>
    </row>
    <row r="704" spans="1:4" x14ac:dyDescent="0.25">
      <c r="A704" s="29" t="s">
        <v>24</v>
      </c>
      <c r="B704" s="33" t="s">
        <v>47</v>
      </c>
      <c r="C704" s="14" t="s">
        <v>285</v>
      </c>
      <c r="D704" s="32">
        <f>'Summary by Site'!$K$74</f>
        <v>0.99544890359950355</v>
      </c>
    </row>
    <row r="705" spans="1:4" x14ac:dyDescent="0.25">
      <c r="A705" s="29" t="s">
        <v>24</v>
      </c>
      <c r="B705" s="33" t="s">
        <v>47</v>
      </c>
      <c r="C705" s="14" t="s">
        <v>286</v>
      </c>
      <c r="D705" s="32">
        <f>'Summary by Site'!$K$75</f>
        <v>0.99569303054032887</v>
      </c>
    </row>
    <row r="706" spans="1:4" x14ac:dyDescent="0.25">
      <c r="A706" s="27" t="s">
        <v>24</v>
      </c>
      <c r="B706" s="24" t="s">
        <v>50</v>
      </c>
      <c r="C706" s="21" t="s">
        <v>272</v>
      </c>
      <c r="D706" s="30">
        <f>'Summary by Site'!$L$60</f>
        <v>235</v>
      </c>
    </row>
    <row r="707" spans="1:4" x14ac:dyDescent="0.25">
      <c r="A707" s="28" t="s">
        <v>24</v>
      </c>
      <c r="B707" s="25" t="s">
        <v>50</v>
      </c>
      <c r="C707" s="12" t="s">
        <v>0</v>
      </c>
      <c r="D707" s="31">
        <f>'Summary by Site'!$L$61</f>
        <v>234</v>
      </c>
    </row>
    <row r="708" spans="1:4" x14ac:dyDescent="0.25">
      <c r="A708" s="28" t="s">
        <v>24</v>
      </c>
      <c r="B708" s="25" t="s">
        <v>50</v>
      </c>
      <c r="C708" s="12" t="s">
        <v>273</v>
      </c>
      <c r="D708" s="31">
        <f>'Summary by Site'!$L$62</f>
        <v>0</v>
      </c>
    </row>
    <row r="709" spans="1:4" x14ac:dyDescent="0.25">
      <c r="A709" s="28" t="s">
        <v>24</v>
      </c>
      <c r="B709" s="25" t="s">
        <v>50</v>
      </c>
      <c r="C709" s="12" t="s">
        <v>274</v>
      </c>
      <c r="D709" s="31">
        <f>'Summary by Site'!$L$63</f>
        <v>0</v>
      </c>
    </row>
    <row r="710" spans="1:4" x14ac:dyDescent="0.25">
      <c r="A710" s="28" t="s">
        <v>24</v>
      </c>
      <c r="B710" s="25" t="s">
        <v>50</v>
      </c>
      <c r="C710" s="12" t="s">
        <v>275</v>
      </c>
      <c r="D710" s="31">
        <f>'Summary by Site'!$L$64</f>
        <v>1</v>
      </c>
    </row>
    <row r="711" spans="1:4" x14ac:dyDescent="0.25">
      <c r="A711" s="29" t="s">
        <v>24</v>
      </c>
      <c r="B711" s="33" t="s">
        <v>50</v>
      </c>
      <c r="C711" s="14" t="s">
        <v>276</v>
      </c>
      <c r="D711" s="32">
        <f>'Summary by Site'!$L$65</f>
        <v>0.99574468085106382</v>
      </c>
    </row>
    <row r="712" spans="1:4" x14ac:dyDescent="0.25">
      <c r="A712" s="28" t="s">
        <v>24</v>
      </c>
      <c r="B712" s="25" t="s">
        <v>50</v>
      </c>
      <c r="C712" s="12" t="s">
        <v>277</v>
      </c>
      <c r="D712" s="31">
        <f>'Summary by Site'!$L$66</f>
        <v>4500</v>
      </c>
    </row>
    <row r="713" spans="1:4" x14ac:dyDescent="0.25">
      <c r="A713" s="28" t="s">
        <v>24</v>
      </c>
      <c r="B713" s="25" t="s">
        <v>50</v>
      </c>
      <c r="C713" s="12" t="s">
        <v>278</v>
      </c>
      <c r="D713" s="31">
        <f>'Summary by Site'!$L$67</f>
        <v>808</v>
      </c>
    </row>
    <row r="714" spans="1:4" x14ac:dyDescent="0.25">
      <c r="A714" s="28" t="s">
        <v>24</v>
      </c>
      <c r="B714" s="25" t="s">
        <v>50</v>
      </c>
      <c r="C714" s="12" t="s">
        <v>279</v>
      </c>
      <c r="D714" s="31">
        <f>'Summary by Site'!$L$68</f>
        <v>0</v>
      </c>
    </row>
    <row r="715" spans="1:4" x14ac:dyDescent="0.25">
      <c r="A715" s="28" t="s">
        <v>24</v>
      </c>
      <c r="B715" s="25" t="s">
        <v>50</v>
      </c>
      <c r="C715" s="12" t="s">
        <v>280</v>
      </c>
      <c r="D715" s="31">
        <f>'Summary by Site'!$L$69</f>
        <v>6</v>
      </c>
    </row>
    <row r="716" spans="1:4" x14ac:dyDescent="0.25">
      <c r="A716" s="28" t="s">
        <v>24</v>
      </c>
      <c r="B716" s="25" t="s">
        <v>50</v>
      </c>
      <c r="C716" s="12" t="s">
        <v>281</v>
      </c>
      <c r="D716" s="31">
        <f>'Summary by Site'!$L$70</f>
        <v>2020</v>
      </c>
    </row>
    <row r="717" spans="1:4" x14ac:dyDescent="0.25">
      <c r="A717" s="28" t="s">
        <v>24</v>
      </c>
      <c r="B717" s="25" t="s">
        <v>50</v>
      </c>
      <c r="C717" s="12" t="s">
        <v>282</v>
      </c>
      <c r="D717" s="31">
        <f>'Summary by Site'!$L$71</f>
        <v>15</v>
      </c>
    </row>
    <row r="718" spans="1:4" x14ac:dyDescent="0.25">
      <c r="A718" s="28" t="s">
        <v>24</v>
      </c>
      <c r="B718" s="25" t="s">
        <v>50</v>
      </c>
      <c r="C718" s="12" t="s">
        <v>283</v>
      </c>
      <c r="D718" s="31">
        <f>'Summary by Site'!$L$72</f>
        <v>1634</v>
      </c>
    </row>
    <row r="719" spans="1:4" x14ac:dyDescent="0.25">
      <c r="A719" s="28" t="s">
        <v>24</v>
      </c>
      <c r="B719" s="25" t="s">
        <v>50</v>
      </c>
      <c r="C719" s="12" t="s">
        <v>284</v>
      </c>
      <c r="D719" s="31">
        <f>'Summary by Site'!$L$73</f>
        <v>17</v>
      </c>
    </row>
    <row r="720" spans="1:4" x14ac:dyDescent="0.25">
      <c r="A720" s="29" t="s">
        <v>24</v>
      </c>
      <c r="B720" s="33" t="s">
        <v>50</v>
      </c>
      <c r="C720" s="14" t="s">
        <v>285</v>
      </c>
      <c r="D720" s="32">
        <f>'Summary by Site'!$L$74</f>
        <v>0.99533333333333329</v>
      </c>
    </row>
    <row r="721" spans="1:4" x14ac:dyDescent="0.25">
      <c r="A721" s="29" t="s">
        <v>24</v>
      </c>
      <c r="B721" s="33" t="s">
        <v>50</v>
      </c>
      <c r="C721" s="14" t="s">
        <v>286</v>
      </c>
      <c r="D721" s="32">
        <f>'Summary by Site'!$L$75</f>
        <v>0.99535374868004223</v>
      </c>
    </row>
    <row r="722" spans="1:4" x14ac:dyDescent="0.25">
      <c r="A722" s="27" t="s">
        <v>24</v>
      </c>
      <c r="B722" s="24" t="s">
        <v>51</v>
      </c>
      <c r="C722" s="21" t="s">
        <v>272</v>
      </c>
      <c r="D722" s="30">
        <f>'Summary by Site'!$M$60</f>
        <v>279</v>
      </c>
    </row>
    <row r="723" spans="1:4" x14ac:dyDescent="0.25">
      <c r="A723" s="28" t="s">
        <v>24</v>
      </c>
      <c r="B723" s="25" t="s">
        <v>51</v>
      </c>
      <c r="C723" s="12" t="s">
        <v>0</v>
      </c>
      <c r="D723" s="31">
        <f>'Summary by Site'!$M$61</f>
        <v>277</v>
      </c>
    </row>
    <row r="724" spans="1:4" x14ac:dyDescent="0.25">
      <c r="A724" s="28" t="s">
        <v>24</v>
      </c>
      <c r="B724" s="25" t="s">
        <v>51</v>
      </c>
      <c r="C724" s="12" t="s">
        <v>273</v>
      </c>
      <c r="D724" s="31">
        <f>'Summary by Site'!$M$62</f>
        <v>0</v>
      </c>
    </row>
    <row r="725" spans="1:4" x14ac:dyDescent="0.25">
      <c r="A725" s="28" t="s">
        <v>24</v>
      </c>
      <c r="B725" s="25" t="s">
        <v>51</v>
      </c>
      <c r="C725" s="12" t="s">
        <v>274</v>
      </c>
      <c r="D725" s="31">
        <f>'Summary by Site'!$M$63</f>
        <v>0</v>
      </c>
    </row>
    <row r="726" spans="1:4" x14ac:dyDescent="0.25">
      <c r="A726" s="28" t="s">
        <v>24</v>
      </c>
      <c r="B726" s="25" t="s">
        <v>51</v>
      </c>
      <c r="C726" s="12" t="s">
        <v>275</v>
      </c>
      <c r="D726" s="31">
        <f>'Summary by Site'!$M$64</f>
        <v>2</v>
      </c>
    </row>
    <row r="727" spans="1:4" x14ac:dyDescent="0.25">
      <c r="A727" s="29" t="s">
        <v>24</v>
      </c>
      <c r="B727" s="33" t="s">
        <v>51</v>
      </c>
      <c r="C727" s="14" t="s">
        <v>276</v>
      </c>
      <c r="D727" s="32">
        <f>'Summary by Site'!$M$65</f>
        <v>0.99283154121863804</v>
      </c>
    </row>
    <row r="728" spans="1:4" x14ac:dyDescent="0.25">
      <c r="A728" s="28" t="s">
        <v>24</v>
      </c>
      <c r="B728" s="25" t="s">
        <v>51</v>
      </c>
      <c r="C728" s="12" t="s">
        <v>277</v>
      </c>
      <c r="D728" s="31">
        <f>'Summary by Site'!$M$66</f>
        <v>4723</v>
      </c>
    </row>
    <row r="729" spans="1:4" x14ac:dyDescent="0.25">
      <c r="A729" s="28" t="s">
        <v>24</v>
      </c>
      <c r="B729" s="25" t="s">
        <v>51</v>
      </c>
      <c r="C729" s="12" t="s">
        <v>278</v>
      </c>
      <c r="D729" s="31">
        <f>'Summary by Site'!$M$67</f>
        <v>811</v>
      </c>
    </row>
    <row r="730" spans="1:4" x14ac:dyDescent="0.25">
      <c r="A730" s="28" t="s">
        <v>24</v>
      </c>
      <c r="B730" s="25" t="s">
        <v>51</v>
      </c>
      <c r="C730" s="12" t="s">
        <v>279</v>
      </c>
      <c r="D730" s="31">
        <f>'Summary by Site'!$M$68</f>
        <v>0</v>
      </c>
    </row>
    <row r="731" spans="1:4" x14ac:dyDescent="0.25">
      <c r="A731" s="28" t="s">
        <v>24</v>
      </c>
      <c r="B731" s="25" t="s">
        <v>51</v>
      </c>
      <c r="C731" s="12" t="s">
        <v>280</v>
      </c>
      <c r="D731" s="31">
        <f>'Summary by Site'!$M$69</f>
        <v>10</v>
      </c>
    </row>
    <row r="732" spans="1:4" x14ac:dyDescent="0.25">
      <c r="A732" s="28" t="s">
        <v>24</v>
      </c>
      <c r="B732" s="25" t="s">
        <v>51</v>
      </c>
      <c r="C732" s="12" t="s">
        <v>281</v>
      </c>
      <c r="D732" s="31">
        <f>'Summary by Site'!$M$70</f>
        <v>2139</v>
      </c>
    </row>
    <row r="733" spans="1:4" x14ac:dyDescent="0.25">
      <c r="A733" s="28" t="s">
        <v>24</v>
      </c>
      <c r="B733" s="25" t="s">
        <v>51</v>
      </c>
      <c r="C733" s="12" t="s">
        <v>282</v>
      </c>
      <c r="D733" s="31">
        <f>'Summary by Site'!$M$71</f>
        <v>4</v>
      </c>
    </row>
    <row r="734" spans="1:4" x14ac:dyDescent="0.25">
      <c r="A734" s="28" t="s">
        <v>24</v>
      </c>
      <c r="B734" s="25" t="s">
        <v>51</v>
      </c>
      <c r="C734" s="12" t="s">
        <v>283</v>
      </c>
      <c r="D734" s="31">
        <f>'Summary by Site'!$M$72</f>
        <v>1750</v>
      </c>
    </row>
    <row r="735" spans="1:4" x14ac:dyDescent="0.25">
      <c r="A735" s="28" t="s">
        <v>24</v>
      </c>
      <c r="B735" s="25" t="s">
        <v>51</v>
      </c>
      <c r="C735" s="12" t="s">
        <v>284</v>
      </c>
      <c r="D735" s="31">
        <f>'Summary by Site'!$M$73</f>
        <v>9</v>
      </c>
    </row>
    <row r="736" spans="1:4" x14ac:dyDescent="0.25">
      <c r="A736" s="29" t="s">
        <v>24</v>
      </c>
      <c r="B736" s="33" t="s">
        <v>51</v>
      </c>
      <c r="C736" s="14" t="s">
        <v>285</v>
      </c>
      <c r="D736" s="32">
        <f>'Summary by Site'!$M$74</f>
        <v>0.99703578234173196</v>
      </c>
    </row>
    <row r="737" spans="1:4" x14ac:dyDescent="0.25">
      <c r="A737" s="29" t="s">
        <v>24</v>
      </c>
      <c r="B737" s="33" t="s">
        <v>51</v>
      </c>
      <c r="C737" s="14" t="s">
        <v>286</v>
      </c>
      <c r="D737" s="32">
        <f>'Summary by Site'!$M$75</f>
        <v>0.99680127948820474</v>
      </c>
    </row>
    <row r="738" spans="1:4" x14ac:dyDescent="0.25">
      <c r="A738" s="27" t="s">
        <v>24</v>
      </c>
      <c r="B738" s="24" t="s">
        <v>89</v>
      </c>
      <c r="C738" s="21" t="s">
        <v>272</v>
      </c>
      <c r="D738" s="30">
        <f>'Summary by Site'!$N$60</f>
        <v>228</v>
      </c>
    </row>
    <row r="739" spans="1:4" x14ac:dyDescent="0.25">
      <c r="A739" s="28" t="s">
        <v>24</v>
      </c>
      <c r="B739" s="25" t="s">
        <v>89</v>
      </c>
      <c r="C739" s="12" t="s">
        <v>0</v>
      </c>
      <c r="D739" s="31">
        <f>'Summary by Site'!$N$61</f>
        <v>226</v>
      </c>
    </row>
    <row r="740" spans="1:4" x14ac:dyDescent="0.25">
      <c r="A740" s="28" t="s">
        <v>24</v>
      </c>
      <c r="B740" s="25" t="s">
        <v>89</v>
      </c>
      <c r="C740" s="12" t="s">
        <v>273</v>
      </c>
      <c r="D740" s="31">
        <f>'Summary by Site'!$N$62</f>
        <v>0</v>
      </c>
    </row>
    <row r="741" spans="1:4" x14ac:dyDescent="0.25">
      <c r="A741" s="28" t="s">
        <v>24</v>
      </c>
      <c r="B741" s="25" t="s">
        <v>89</v>
      </c>
      <c r="C741" s="12" t="s">
        <v>274</v>
      </c>
      <c r="D741" s="31">
        <f>'Summary by Site'!$N$63</f>
        <v>0</v>
      </c>
    </row>
    <row r="742" spans="1:4" x14ac:dyDescent="0.25">
      <c r="A742" s="28" t="s">
        <v>24</v>
      </c>
      <c r="B742" s="25" t="s">
        <v>89</v>
      </c>
      <c r="C742" s="12" t="s">
        <v>275</v>
      </c>
      <c r="D742" s="31">
        <f>'Summary by Site'!$N$64</f>
        <v>2</v>
      </c>
    </row>
    <row r="743" spans="1:4" x14ac:dyDescent="0.25">
      <c r="A743" s="29" t="s">
        <v>24</v>
      </c>
      <c r="B743" s="33" t="s">
        <v>89</v>
      </c>
      <c r="C743" s="14" t="s">
        <v>276</v>
      </c>
      <c r="D743" s="32">
        <f>'Summary by Site'!$N$65</f>
        <v>0.99122807017543857</v>
      </c>
    </row>
    <row r="744" spans="1:4" x14ac:dyDescent="0.25">
      <c r="A744" s="28" t="s">
        <v>24</v>
      </c>
      <c r="B744" s="25" t="s">
        <v>89</v>
      </c>
      <c r="C744" s="12" t="s">
        <v>277</v>
      </c>
      <c r="D744" s="31">
        <f>'Summary by Site'!$N$66</f>
        <v>4427</v>
      </c>
    </row>
    <row r="745" spans="1:4" x14ac:dyDescent="0.25">
      <c r="A745" s="28" t="s">
        <v>24</v>
      </c>
      <c r="B745" s="25" t="s">
        <v>89</v>
      </c>
      <c r="C745" s="12" t="s">
        <v>278</v>
      </c>
      <c r="D745" s="31">
        <f>'Summary by Site'!$N$67</f>
        <v>769</v>
      </c>
    </row>
    <row r="746" spans="1:4" x14ac:dyDescent="0.25">
      <c r="A746" s="28" t="s">
        <v>24</v>
      </c>
      <c r="B746" s="25" t="s">
        <v>89</v>
      </c>
      <c r="C746" s="12" t="s">
        <v>279</v>
      </c>
      <c r="D746" s="31">
        <f>'Summary by Site'!$N$68</f>
        <v>0</v>
      </c>
    </row>
    <row r="747" spans="1:4" x14ac:dyDescent="0.25">
      <c r="A747" s="28" t="s">
        <v>24</v>
      </c>
      <c r="B747" s="25" t="s">
        <v>89</v>
      </c>
      <c r="C747" s="12" t="s">
        <v>280</v>
      </c>
      <c r="D747" s="31">
        <f>'Summary by Site'!$N$69</f>
        <v>4</v>
      </c>
    </row>
    <row r="748" spans="1:4" x14ac:dyDescent="0.25">
      <c r="A748" s="28" t="s">
        <v>24</v>
      </c>
      <c r="B748" s="25" t="s">
        <v>89</v>
      </c>
      <c r="C748" s="12" t="s">
        <v>281</v>
      </c>
      <c r="D748" s="31">
        <f>'Summary by Site'!$N$70</f>
        <v>1991</v>
      </c>
    </row>
    <row r="749" spans="1:4" x14ac:dyDescent="0.25">
      <c r="A749" s="28" t="s">
        <v>24</v>
      </c>
      <c r="B749" s="25" t="s">
        <v>89</v>
      </c>
      <c r="C749" s="12" t="s">
        <v>282</v>
      </c>
      <c r="D749" s="31">
        <f>'Summary by Site'!$N$71</f>
        <v>9</v>
      </c>
    </row>
    <row r="750" spans="1:4" x14ac:dyDescent="0.25">
      <c r="A750" s="28" t="s">
        <v>24</v>
      </c>
      <c r="B750" s="25" t="s">
        <v>89</v>
      </c>
      <c r="C750" s="12" t="s">
        <v>283</v>
      </c>
      <c r="D750" s="31">
        <f>'Summary by Site'!$N$72</f>
        <v>1644</v>
      </c>
    </row>
    <row r="751" spans="1:4" x14ac:dyDescent="0.25">
      <c r="A751" s="28" t="s">
        <v>24</v>
      </c>
      <c r="B751" s="25" t="s">
        <v>89</v>
      </c>
      <c r="C751" s="12" t="s">
        <v>284</v>
      </c>
      <c r="D751" s="31">
        <f>'Summary by Site'!$N$73</f>
        <v>10</v>
      </c>
    </row>
    <row r="752" spans="1:4" x14ac:dyDescent="0.25">
      <c r="A752" s="29" t="s">
        <v>24</v>
      </c>
      <c r="B752" s="33" t="s">
        <v>89</v>
      </c>
      <c r="C752" s="14" t="s">
        <v>285</v>
      </c>
      <c r="D752" s="32">
        <f>'Summary by Site'!$N$74</f>
        <v>0.99706347413598373</v>
      </c>
    </row>
    <row r="753" spans="1:4" x14ac:dyDescent="0.25">
      <c r="A753" s="29" t="s">
        <v>24</v>
      </c>
      <c r="B753" s="33" t="s">
        <v>89</v>
      </c>
      <c r="C753" s="14" t="s">
        <v>286</v>
      </c>
      <c r="D753" s="32">
        <f>'Summary by Site'!$N$75</f>
        <v>0.99677765843179378</v>
      </c>
    </row>
    <row r="754" spans="1:4" x14ac:dyDescent="0.25">
      <c r="A754" s="27" t="s">
        <v>24</v>
      </c>
      <c r="B754" s="24" t="s">
        <v>271</v>
      </c>
      <c r="C754" s="21" t="s">
        <v>272</v>
      </c>
      <c r="D754" s="30">
        <f>'Summary by Site'!$O$60</f>
        <v>142</v>
      </c>
    </row>
    <row r="755" spans="1:4" x14ac:dyDescent="0.25">
      <c r="A755" s="28" t="s">
        <v>24</v>
      </c>
      <c r="B755" s="25" t="s">
        <v>271</v>
      </c>
      <c r="C755" s="12" t="s">
        <v>0</v>
      </c>
      <c r="D755" s="31">
        <f>'Summary by Site'!$O$61</f>
        <v>142</v>
      </c>
    </row>
    <row r="756" spans="1:4" x14ac:dyDescent="0.25">
      <c r="A756" s="28" t="s">
        <v>24</v>
      </c>
      <c r="B756" s="25" t="s">
        <v>271</v>
      </c>
      <c r="C756" s="12" t="s">
        <v>273</v>
      </c>
      <c r="D756" s="31">
        <f>'Summary by Site'!$O$62</f>
        <v>0</v>
      </c>
    </row>
    <row r="757" spans="1:4" x14ac:dyDescent="0.25">
      <c r="A757" s="28" t="s">
        <v>24</v>
      </c>
      <c r="B757" s="25" t="s">
        <v>271</v>
      </c>
      <c r="C757" s="12" t="s">
        <v>274</v>
      </c>
      <c r="D757" s="31">
        <f>'Summary by Site'!$O$63</f>
        <v>0</v>
      </c>
    </row>
    <row r="758" spans="1:4" x14ac:dyDescent="0.25">
      <c r="A758" s="28" t="s">
        <v>24</v>
      </c>
      <c r="B758" s="25" t="s">
        <v>271</v>
      </c>
      <c r="C758" s="12" t="s">
        <v>275</v>
      </c>
      <c r="D758" s="31">
        <f>'Summary by Site'!$O$64</f>
        <v>0</v>
      </c>
    </row>
    <row r="759" spans="1:4" x14ac:dyDescent="0.25">
      <c r="A759" s="29" t="s">
        <v>24</v>
      </c>
      <c r="B759" s="33" t="s">
        <v>271</v>
      </c>
      <c r="C759" s="14" t="s">
        <v>276</v>
      </c>
      <c r="D759" s="32">
        <f>'Summary by Site'!$O$65</f>
        <v>1</v>
      </c>
    </row>
    <row r="760" spans="1:4" x14ac:dyDescent="0.25">
      <c r="A760" s="28" t="s">
        <v>24</v>
      </c>
      <c r="B760" s="25" t="s">
        <v>271</v>
      </c>
      <c r="C760" s="12" t="s">
        <v>277</v>
      </c>
      <c r="D760" s="31">
        <f>'Summary by Site'!$O$66</f>
        <v>2800</v>
      </c>
    </row>
    <row r="761" spans="1:4" x14ac:dyDescent="0.25">
      <c r="A761" s="28" t="s">
        <v>24</v>
      </c>
      <c r="B761" s="25" t="s">
        <v>271</v>
      </c>
      <c r="C761" s="12" t="s">
        <v>278</v>
      </c>
      <c r="D761" s="31">
        <f>'Summary by Site'!$O$67</f>
        <v>412</v>
      </c>
    </row>
    <row r="762" spans="1:4" x14ac:dyDescent="0.25">
      <c r="A762" s="28" t="s">
        <v>24</v>
      </c>
      <c r="B762" s="25" t="s">
        <v>271</v>
      </c>
      <c r="C762" s="12" t="s">
        <v>279</v>
      </c>
      <c r="D762" s="31">
        <f>'Summary by Site'!$O$68</f>
        <v>0</v>
      </c>
    </row>
    <row r="763" spans="1:4" x14ac:dyDescent="0.25">
      <c r="A763" s="28" t="s">
        <v>24</v>
      </c>
      <c r="B763" s="25" t="s">
        <v>271</v>
      </c>
      <c r="C763" s="12" t="s">
        <v>280</v>
      </c>
      <c r="D763" s="31">
        <f>'Summary by Site'!$O$69</f>
        <v>3</v>
      </c>
    </row>
    <row r="764" spans="1:4" x14ac:dyDescent="0.25">
      <c r="A764" s="28" t="s">
        <v>24</v>
      </c>
      <c r="B764" s="25" t="s">
        <v>271</v>
      </c>
      <c r="C764" s="12" t="s">
        <v>281</v>
      </c>
      <c r="D764" s="31">
        <f>'Summary by Site'!$O$70</f>
        <v>1326</v>
      </c>
    </row>
    <row r="765" spans="1:4" x14ac:dyDescent="0.25">
      <c r="A765" s="28" t="s">
        <v>24</v>
      </c>
      <c r="B765" s="25" t="s">
        <v>271</v>
      </c>
      <c r="C765" s="12" t="s">
        <v>282</v>
      </c>
      <c r="D765" s="31">
        <f>'Summary by Site'!$O$71</f>
        <v>0</v>
      </c>
    </row>
    <row r="766" spans="1:4" x14ac:dyDescent="0.25">
      <c r="A766" s="28" t="s">
        <v>24</v>
      </c>
      <c r="B766" s="25" t="s">
        <v>271</v>
      </c>
      <c r="C766" s="12" t="s">
        <v>283</v>
      </c>
      <c r="D766" s="31">
        <f>'Summary by Site'!$O$72</f>
        <v>1055</v>
      </c>
    </row>
    <row r="767" spans="1:4" x14ac:dyDescent="0.25">
      <c r="A767" s="28" t="s">
        <v>24</v>
      </c>
      <c r="B767" s="25" t="s">
        <v>271</v>
      </c>
      <c r="C767" s="12" t="s">
        <v>284</v>
      </c>
      <c r="D767" s="31">
        <f>'Summary by Site'!$O$73</f>
        <v>4</v>
      </c>
    </row>
    <row r="768" spans="1:4" x14ac:dyDescent="0.25">
      <c r="A768" s="29" t="s">
        <v>24</v>
      </c>
      <c r="B768" s="33" t="s">
        <v>271</v>
      </c>
      <c r="C768" s="14" t="s">
        <v>285</v>
      </c>
      <c r="D768" s="32">
        <f>'Summary by Site'!$O$74</f>
        <v>0.99892857142857139</v>
      </c>
    </row>
    <row r="769" spans="1:4" x14ac:dyDescent="0.25">
      <c r="A769" s="29" t="s">
        <v>24</v>
      </c>
      <c r="B769" s="33" t="s">
        <v>271</v>
      </c>
      <c r="C769" s="14" t="s">
        <v>286</v>
      </c>
      <c r="D769" s="32">
        <f>'Summary by Site'!$O$75</f>
        <v>0.99898028552005436</v>
      </c>
    </row>
    <row r="770" spans="1:4" x14ac:dyDescent="0.25">
      <c r="A770" s="27" t="s">
        <v>20</v>
      </c>
      <c r="B770" s="24" t="s">
        <v>19</v>
      </c>
      <c r="C770" s="21" t="s">
        <v>272</v>
      </c>
      <c r="D770" s="30">
        <f>'Summary by Site'!$D$78</f>
        <v>171</v>
      </c>
    </row>
    <row r="771" spans="1:4" x14ac:dyDescent="0.25">
      <c r="A771" s="28" t="s">
        <v>20</v>
      </c>
      <c r="B771" s="25" t="s">
        <v>19</v>
      </c>
      <c r="C771" s="12" t="s">
        <v>0</v>
      </c>
      <c r="D771" s="31">
        <f>'Summary by Site'!$D$79</f>
        <v>171</v>
      </c>
    </row>
    <row r="772" spans="1:4" x14ac:dyDescent="0.25">
      <c r="A772" s="28" t="s">
        <v>20</v>
      </c>
      <c r="B772" s="25" t="s">
        <v>19</v>
      </c>
      <c r="C772" s="12" t="s">
        <v>273</v>
      </c>
      <c r="D772" s="31">
        <f>'Summary by Site'!$D$80</f>
        <v>0</v>
      </c>
    </row>
    <row r="773" spans="1:4" x14ac:dyDescent="0.25">
      <c r="A773" s="28" t="s">
        <v>20</v>
      </c>
      <c r="B773" s="25" t="s">
        <v>19</v>
      </c>
      <c r="C773" s="12" t="s">
        <v>274</v>
      </c>
      <c r="D773" s="31">
        <f>'Summary by Site'!$D$81</f>
        <v>0</v>
      </c>
    </row>
    <row r="774" spans="1:4" x14ac:dyDescent="0.25">
      <c r="A774" s="28" t="s">
        <v>20</v>
      </c>
      <c r="B774" s="25" t="s">
        <v>19</v>
      </c>
      <c r="C774" s="12" t="s">
        <v>275</v>
      </c>
      <c r="D774" s="31">
        <f>'Summary by Site'!$D$82</f>
        <v>0</v>
      </c>
    </row>
    <row r="775" spans="1:4" x14ac:dyDescent="0.25">
      <c r="A775" s="29" t="s">
        <v>20</v>
      </c>
      <c r="B775" s="26" t="s">
        <v>19</v>
      </c>
      <c r="C775" s="14" t="s">
        <v>276</v>
      </c>
      <c r="D775" s="32">
        <f>'Summary by Site'!$D$83</f>
        <v>1</v>
      </c>
    </row>
    <row r="776" spans="1:4" x14ac:dyDescent="0.25">
      <c r="A776" s="28" t="s">
        <v>20</v>
      </c>
      <c r="B776" s="25" t="s">
        <v>19</v>
      </c>
      <c r="C776" s="12" t="s">
        <v>277</v>
      </c>
      <c r="D776" s="31">
        <f>'Summary by Site'!$D$84</f>
        <v>2181</v>
      </c>
    </row>
    <row r="777" spans="1:4" x14ac:dyDescent="0.25">
      <c r="A777" s="28" t="s">
        <v>20</v>
      </c>
      <c r="B777" s="25" t="s">
        <v>19</v>
      </c>
      <c r="C777" s="12" t="s">
        <v>278</v>
      </c>
      <c r="D777" s="31">
        <f>'Summary by Site'!$D$85</f>
        <v>366</v>
      </c>
    </row>
    <row r="778" spans="1:4" x14ac:dyDescent="0.25">
      <c r="A778" s="28" t="s">
        <v>20</v>
      </c>
      <c r="B778" s="25" t="s">
        <v>19</v>
      </c>
      <c r="C778" s="12" t="s">
        <v>279</v>
      </c>
      <c r="D778" s="31">
        <f>'Summary by Site'!$D$86</f>
        <v>112</v>
      </c>
    </row>
    <row r="779" spans="1:4" x14ac:dyDescent="0.25">
      <c r="A779" s="28" t="s">
        <v>20</v>
      </c>
      <c r="B779" s="25" t="s">
        <v>19</v>
      </c>
      <c r="C779" s="12" t="s">
        <v>280</v>
      </c>
      <c r="D779" s="31">
        <f>'Summary by Site'!$D$87</f>
        <v>12</v>
      </c>
    </row>
    <row r="780" spans="1:4" x14ac:dyDescent="0.25">
      <c r="A780" s="28" t="s">
        <v>20</v>
      </c>
      <c r="B780" s="25" t="s">
        <v>19</v>
      </c>
      <c r="C780" s="12" t="s">
        <v>281</v>
      </c>
      <c r="D780" s="31">
        <f>'Summary by Site'!$D$88</f>
        <v>1652</v>
      </c>
    </row>
    <row r="781" spans="1:4" x14ac:dyDescent="0.25">
      <c r="A781" s="28" t="s">
        <v>20</v>
      </c>
      <c r="B781" s="25" t="s">
        <v>19</v>
      </c>
      <c r="C781" s="12" t="s">
        <v>282</v>
      </c>
      <c r="D781" s="31">
        <f>'Summary by Site'!$D$89</f>
        <v>39</v>
      </c>
    </row>
    <row r="782" spans="1:4" x14ac:dyDescent="0.25">
      <c r="A782" s="28" t="s">
        <v>20</v>
      </c>
      <c r="B782" s="25" t="s">
        <v>19</v>
      </c>
      <c r="C782" s="12" t="s">
        <v>283</v>
      </c>
      <c r="D782" s="31">
        <f>'Summary by Site'!$D$90</f>
        <v>0</v>
      </c>
    </row>
    <row r="783" spans="1:4" x14ac:dyDescent="0.25">
      <c r="A783" s="28" t="s">
        <v>20</v>
      </c>
      <c r="B783" s="25" t="s">
        <v>19</v>
      </c>
      <c r="C783" s="12" t="s">
        <v>284</v>
      </c>
      <c r="D783" s="31">
        <f>'Summary by Site'!$D$91</f>
        <v>0</v>
      </c>
    </row>
    <row r="784" spans="1:4" x14ac:dyDescent="0.25">
      <c r="A784" s="29" t="s">
        <v>20</v>
      </c>
      <c r="B784" s="26" t="s">
        <v>19</v>
      </c>
      <c r="C784" s="14" t="s">
        <v>285</v>
      </c>
      <c r="D784" s="32">
        <f>'Summary by Site'!$D$92</f>
        <v>0.97661623108665752</v>
      </c>
    </row>
    <row r="785" spans="1:4" x14ac:dyDescent="0.25">
      <c r="A785" s="29" t="s">
        <v>20</v>
      </c>
      <c r="B785" s="26" t="s">
        <v>19</v>
      </c>
      <c r="C785" s="14" t="s">
        <v>286</v>
      </c>
      <c r="D785" s="32">
        <f>'Summary by Site'!$D$93</f>
        <v>0.97831632653061229</v>
      </c>
    </row>
    <row r="786" spans="1:4" x14ac:dyDescent="0.25">
      <c r="A786" s="27" t="s">
        <v>20</v>
      </c>
      <c r="B786" s="24" t="s">
        <v>25</v>
      </c>
      <c r="C786" s="21" t="s">
        <v>272</v>
      </c>
      <c r="D786" s="30">
        <f>'Summary by Site'!$E$78</f>
        <v>188</v>
      </c>
    </row>
    <row r="787" spans="1:4" x14ac:dyDescent="0.25">
      <c r="A787" s="28" t="s">
        <v>20</v>
      </c>
      <c r="B787" s="25" t="s">
        <v>25</v>
      </c>
      <c r="C787" s="12" t="s">
        <v>0</v>
      </c>
      <c r="D787" s="31">
        <f>'Summary by Site'!$E$79</f>
        <v>185</v>
      </c>
    </row>
    <row r="788" spans="1:4" x14ac:dyDescent="0.25">
      <c r="A788" s="28" t="s">
        <v>20</v>
      </c>
      <c r="B788" s="25" t="s">
        <v>25</v>
      </c>
      <c r="C788" s="12" t="s">
        <v>273</v>
      </c>
      <c r="D788" s="31">
        <f>'Summary by Site'!$E$80</f>
        <v>2</v>
      </c>
    </row>
    <row r="789" spans="1:4" x14ac:dyDescent="0.25">
      <c r="A789" s="28" t="s">
        <v>20</v>
      </c>
      <c r="B789" s="25" t="s">
        <v>25</v>
      </c>
      <c r="C789" s="12" t="s">
        <v>274</v>
      </c>
      <c r="D789" s="31">
        <f>'Summary by Site'!$E$81</f>
        <v>0</v>
      </c>
    </row>
    <row r="790" spans="1:4" x14ac:dyDescent="0.25">
      <c r="A790" s="28" t="s">
        <v>20</v>
      </c>
      <c r="B790" s="25" t="s">
        <v>25</v>
      </c>
      <c r="C790" s="12" t="s">
        <v>275</v>
      </c>
      <c r="D790" s="31">
        <f>'Summary by Site'!$E$82</f>
        <v>1</v>
      </c>
    </row>
    <row r="791" spans="1:4" x14ac:dyDescent="0.25">
      <c r="A791" s="29" t="s">
        <v>20</v>
      </c>
      <c r="B791" s="33" t="s">
        <v>25</v>
      </c>
      <c r="C791" s="14" t="s">
        <v>276</v>
      </c>
      <c r="D791" s="32">
        <f>'Summary by Site'!$E$83</f>
        <v>0.99468085106382975</v>
      </c>
    </row>
    <row r="792" spans="1:4" x14ac:dyDescent="0.25">
      <c r="A792" s="28" t="s">
        <v>20</v>
      </c>
      <c r="B792" s="25" t="s">
        <v>25</v>
      </c>
      <c r="C792" s="12" t="s">
        <v>277</v>
      </c>
      <c r="D792" s="31">
        <f>'Summary by Site'!$E$84</f>
        <v>3124</v>
      </c>
    </row>
    <row r="793" spans="1:4" x14ac:dyDescent="0.25">
      <c r="A793" s="28" t="s">
        <v>20</v>
      </c>
      <c r="B793" s="25" t="s">
        <v>25</v>
      </c>
      <c r="C793" s="12" t="s">
        <v>278</v>
      </c>
      <c r="D793" s="31">
        <f>'Summary by Site'!$E$85</f>
        <v>384</v>
      </c>
    </row>
    <row r="794" spans="1:4" x14ac:dyDescent="0.25">
      <c r="A794" s="28" t="s">
        <v>20</v>
      </c>
      <c r="B794" s="25" t="s">
        <v>25</v>
      </c>
      <c r="C794" s="12" t="s">
        <v>279</v>
      </c>
      <c r="D794" s="31">
        <f>'Summary by Site'!$E$86</f>
        <v>0</v>
      </c>
    </row>
    <row r="795" spans="1:4" x14ac:dyDescent="0.25">
      <c r="A795" s="28" t="s">
        <v>20</v>
      </c>
      <c r="B795" s="25" t="s">
        <v>25</v>
      </c>
      <c r="C795" s="12" t="s">
        <v>280</v>
      </c>
      <c r="D795" s="31">
        <f>'Summary by Site'!$E$87</f>
        <v>2</v>
      </c>
    </row>
    <row r="796" spans="1:4" x14ac:dyDescent="0.25">
      <c r="A796" s="28" t="s">
        <v>20</v>
      </c>
      <c r="B796" s="25" t="s">
        <v>25</v>
      </c>
      <c r="C796" s="12" t="s">
        <v>281</v>
      </c>
      <c r="D796" s="31">
        <f>'Summary by Site'!$E$88</f>
        <v>1555</v>
      </c>
    </row>
    <row r="797" spans="1:4" x14ac:dyDescent="0.25">
      <c r="A797" s="28" t="s">
        <v>20</v>
      </c>
      <c r="B797" s="25" t="s">
        <v>25</v>
      </c>
      <c r="C797" s="12" t="s">
        <v>282</v>
      </c>
      <c r="D797" s="31">
        <f>'Summary by Site'!$E$89</f>
        <v>12</v>
      </c>
    </row>
    <row r="798" spans="1:4" x14ac:dyDescent="0.25">
      <c r="A798" s="28" t="s">
        <v>20</v>
      </c>
      <c r="B798" s="25" t="s">
        <v>25</v>
      </c>
      <c r="C798" s="12" t="s">
        <v>283</v>
      </c>
      <c r="D798" s="31">
        <f>'Summary by Site'!$E$90</f>
        <v>1113</v>
      </c>
    </row>
    <row r="799" spans="1:4" x14ac:dyDescent="0.25">
      <c r="A799" s="28" t="s">
        <v>20</v>
      </c>
      <c r="B799" s="25" t="s">
        <v>25</v>
      </c>
      <c r="C799" s="12" t="s">
        <v>284</v>
      </c>
      <c r="D799" s="31">
        <f>'Summary by Site'!$E$91</f>
        <v>58</v>
      </c>
    </row>
    <row r="800" spans="1:4" x14ac:dyDescent="0.25">
      <c r="A800" s="29" t="s">
        <v>20</v>
      </c>
      <c r="B800" s="33" t="s">
        <v>25</v>
      </c>
      <c r="C800" s="14" t="s">
        <v>285</v>
      </c>
      <c r="D800" s="32">
        <f>'Summary by Site'!$E$92</f>
        <v>0.99551856594110111</v>
      </c>
    </row>
    <row r="801" spans="1:4" x14ac:dyDescent="0.25">
      <c r="A801" s="29" t="s">
        <v>20</v>
      </c>
      <c r="B801" s="33" t="s">
        <v>25</v>
      </c>
      <c r="C801" s="14" t="s">
        <v>286</v>
      </c>
      <c r="D801" s="32">
        <f>'Summary by Site'!$E$93</f>
        <v>0.99547101449275366</v>
      </c>
    </row>
    <row r="802" spans="1:4" x14ac:dyDescent="0.25">
      <c r="A802" s="27" t="s">
        <v>20</v>
      </c>
      <c r="B802" s="24" t="s">
        <v>26</v>
      </c>
      <c r="C802" s="21" t="s">
        <v>272</v>
      </c>
      <c r="D802" s="30">
        <f>'Summary by Site'!$F$78</f>
        <v>213</v>
      </c>
    </row>
    <row r="803" spans="1:4" x14ac:dyDescent="0.25">
      <c r="A803" s="28" t="s">
        <v>20</v>
      </c>
      <c r="B803" s="25" t="s">
        <v>26</v>
      </c>
      <c r="C803" s="12" t="s">
        <v>0</v>
      </c>
      <c r="D803" s="31">
        <f>'Summary by Site'!$F$79</f>
        <v>212</v>
      </c>
    </row>
    <row r="804" spans="1:4" x14ac:dyDescent="0.25">
      <c r="A804" s="28" t="s">
        <v>20</v>
      </c>
      <c r="B804" s="25" t="s">
        <v>26</v>
      </c>
      <c r="C804" s="12" t="s">
        <v>273</v>
      </c>
      <c r="D804" s="31">
        <f>'Summary by Site'!$F$80</f>
        <v>0</v>
      </c>
    </row>
    <row r="805" spans="1:4" x14ac:dyDescent="0.25">
      <c r="A805" s="28" t="s">
        <v>20</v>
      </c>
      <c r="B805" s="25" t="s">
        <v>26</v>
      </c>
      <c r="C805" s="12" t="s">
        <v>274</v>
      </c>
      <c r="D805" s="31">
        <f>'Summary by Site'!$F$81</f>
        <v>0</v>
      </c>
    </row>
    <row r="806" spans="1:4" x14ac:dyDescent="0.25">
      <c r="A806" s="28" t="s">
        <v>20</v>
      </c>
      <c r="B806" s="25" t="s">
        <v>26</v>
      </c>
      <c r="C806" s="12" t="s">
        <v>275</v>
      </c>
      <c r="D806" s="31">
        <f>'Summary by Site'!$F$82</f>
        <v>1</v>
      </c>
    </row>
    <row r="807" spans="1:4" x14ac:dyDescent="0.25">
      <c r="A807" s="29" t="s">
        <v>20</v>
      </c>
      <c r="B807" s="33" t="s">
        <v>26</v>
      </c>
      <c r="C807" s="14" t="s">
        <v>276</v>
      </c>
      <c r="D807" s="32">
        <f>'Summary by Site'!$F$83</f>
        <v>0.99530516431924887</v>
      </c>
    </row>
    <row r="808" spans="1:4" x14ac:dyDescent="0.25">
      <c r="A808" s="28" t="s">
        <v>20</v>
      </c>
      <c r="B808" s="25" t="s">
        <v>26</v>
      </c>
      <c r="C808" s="12" t="s">
        <v>277</v>
      </c>
      <c r="D808" s="31">
        <f>'Summary by Site'!$F$84</f>
        <v>3129</v>
      </c>
    </row>
    <row r="809" spans="1:4" x14ac:dyDescent="0.25">
      <c r="A809" s="28" t="s">
        <v>20</v>
      </c>
      <c r="B809" s="25" t="s">
        <v>26</v>
      </c>
      <c r="C809" s="12" t="s">
        <v>278</v>
      </c>
      <c r="D809" s="31">
        <f>'Summary by Site'!$F$85</f>
        <v>324</v>
      </c>
    </row>
    <row r="810" spans="1:4" x14ac:dyDescent="0.25">
      <c r="A810" s="28" t="s">
        <v>20</v>
      </c>
      <c r="B810" s="25" t="s">
        <v>26</v>
      </c>
      <c r="C810" s="12" t="s">
        <v>279</v>
      </c>
      <c r="D810" s="31">
        <f>'Summary by Site'!$F$86</f>
        <v>0</v>
      </c>
    </row>
    <row r="811" spans="1:4" x14ac:dyDescent="0.25">
      <c r="A811" s="28" t="s">
        <v>20</v>
      </c>
      <c r="B811" s="25" t="s">
        <v>26</v>
      </c>
      <c r="C811" s="12" t="s">
        <v>280</v>
      </c>
      <c r="D811" s="31">
        <f>'Summary by Site'!$F$87</f>
        <v>6</v>
      </c>
    </row>
    <row r="812" spans="1:4" x14ac:dyDescent="0.25">
      <c r="A812" s="28" t="s">
        <v>20</v>
      </c>
      <c r="B812" s="25" t="s">
        <v>26</v>
      </c>
      <c r="C812" s="12" t="s">
        <v>281</v>
      </c>
      <c r="D812" s="31">
        <f>'Summary by Site'!$F$88</f>
        <v>1486</v>
      </c>
    </row>
    <row r="813" spans="1:4" x14ac:dyDescent="0.25">
      <c r="A813" s="28" t="s">
        <v>20</v>
      </c>
      <c r="B813" s="25" t="s">
        <v>26</v>
      </c>
      <c r="C813" s="12" t="s">
        <v>282</v>
      </c>
      <c r="D813" s="31">
        <f>'Summary by Site'!$F$89</f>
        <v>6</v>
      </c>
    </row>
    <row r="814" spans="1:4" x14ac:dyDescent="0.25">
      <c r="A814" s="28" t="s">
        <v>20</v>
      </c>
      <c r="B814" s="25" t="s">
        <v>26</v>
      </c>
      <c r="C814" s="12" t="s">
        <v>283</v>
      </c>
      <c r="D814" s="31">
        <f>'Summary by Site'!$F$90</f>
        <v>1268</v>
      </c>
    </row>
    <row r="815" spans="1:4" x14ac:dyDescent="0.25">
      <c r="A815" s="28" t="s">
        <v>20</v>
      </c>
      <c r="B815" s="25" t="s">
        <v>26</v>
      </c>
      <c r="C815" s="12" t="s">
        <v>284</v>
      </c>
      <c r="D815" s="31">
        <f>'Summary by Site'!$F$91</f>
        <v>39</v>
      </c>
    </row>
    <row r="816" spans="1:4" x14ac:dyDescent="0.25">
      <c r="A816" s="29" t="s">
        <v>20</v>
      </c>
      <c r="B816" s="33" t="s">
        <v>26</v>
      </c>
      <c r="C816" s="14" t="s">
        <v>285</v>
      </c>
      <c r="D816" s="32">
        <f>'Summary by Site'!$F$92</f>
        <v>0.99616490891658682</v>
      </c>
    </row>
    <row r="817" spans="1:4" x14ac:dyDescent="0.25">
      <c r="A817" s="29" t="s">
        <v>20</v>
      </c>
      <c r="B817" s="33" t="s">
        <v>26</v>
      </c>
      <c r="C817" s="14" t="s">
        <v>286</v>
      </c>
      <c r="D817" s="32">
        <f>'Summary by Site'!$F$93</f>
        <v>0.99611011370436864</v>
      </c>
    </row>
    <row r="818" spans="1:4" x14ac:dyDescent="0.25">
      <c r="A818" s="27" t="s">
        <v>20</v>
      </c>
      <c r="B818" s="24" t="s">
        <v>38</v>
      </c>
      <c r="C818" s="21" t="s">
        <v>272</v>
      </c>
      <c r="D818" s="30">
        <f>'Summary by Site'!$G$78</f>
        <v>180</v>
      </c>
    </row>
    <row r="819" spans="1:4" x14ac:dyDescent="0.25">
      <c r="A819" s="28" t="s">
        <v>20</v>
      </c>
      <c r="B819" s="25" t="s">
        <v>38</v>
      </c>
      <c r="C819" s="12" t="s">
        <v>0</v>
      </c>
      <c r="D819" s="31">
        <f>'Summary by Site'!$G$79</f>
        <v>180</v>
      </c>
    </row>
    <row r="820" spans="1:4" x14ac:dyDescent="0.25">
      <c r="A820" s="28" t="s">
        <v>20</v>
      </c>
      <c r="B820" s="25" t="s">
        <v>38</v>
      </c>
      <c r="C820" s="12" t="s">
        <v>273</v>
      </c>
      <c r="D820" s="31">
        <f>'Summary by Site'!$G$80</f>
        <v>0</v>
      </c>
    </row>
    <row r="821" spans="1:4" x14ac:dyDescent="0.25">
      <c r="A821" s="28" t="s">
        <v>20</v>
      </c>
      <c r="B821" s="25" t="s">
        <v>38</v>
      </c>
      <c r="C821" s="12" t="s">
        <v>274</v>
      </c>
      <c r="D821" s="31">
        <f>'Summary by Site'!$G$81</f>
        <v>0</v>
      </c>
    </row>
    <row r="822" spans="1:4" x14ac:dyDescent="0.25">
      <c r="A822" s="28" t="s">
        <v>20</v>
      </c>
      <c r="B822" s="25" t="s">
        <v>38</v>
      </c>
      <c r="C822" s="12" t="s">
        <v>275</v>
      </c>
      <c r="D822" s="31">
        <f>'Summary by Site'!$G$82</f>
        <v>0</v>
      </c>
    </row>
    <row r="823" spans="1:4" x14ac:dyDescent="0.25">
      <c r="A823" s="29" t="s">
        <v>20</v>
      </c>
      <c r="B823" s="33" t="s">
        <v>38</v>
      </c>
      <c r="C823" s="14" t="s">
        <v>276</v>
      </c>
      <c r="D823" s="32">
        <f>'Summary by Site'!$G$83</f>
        <v>1</v>
      </c>
    </row>
    <row r="824" spans="1:4" x14ac:dyDescent="0.25">
      <c r="A824" s="28" t="s">
        <v>20</v>
      </c>
      <c r="B824" s="25" t="s">
        <v>38</v>
      </c>
      <c r="C824" s="12" t="s">
        <v>277</v>
      </c>
      <c r="D824" s="31">
        <f>'Summary by Site'!$G$84</f>
        <v>3192</v>
      </c>
    </row>
    <row r="825" spans="1:4" x14ac:dyDescent="0.25">
      <c r="A825" s="28" t="s">
        <v>20</v>
      </c>
      <c r="B825" s="25" t="s">
        <v>38</v>
      </c>
      <c r="C825" s="12" t="s">
        <v>278</v>
      </c>
      <c r="D825" s="31">
        <f>'Summary by Site'!$G$85</f>
        <v>392</v>
      </c>
    </row>
    <row r="826" spans="1:4" x14ac:dyDescent="0.25">
      <c r="A826" s="28" t="s">
        <v>20</v>
      </c>
      <c r="B826" s="25" t="s">
        <v>38</v>
      </c>
      <c r="C826" s="12" t="s">
        <v>279</v>
      </c>
      <c r="D826" s="31">
        <f>'Summary by Site'!$G$86</f>
        <v>0</v>
      </c>
    </row>
    <row r="827" spans="1:4" x14ac:dyDescent="0.25">
      <c r="A827" s="28" t="s">
        <v>20</v>
      </c>
      <c r="B827" s="25" t="s">
        <v>38</v>
      </c>
      <c r="C827" s="12" t="s">
        <v>280</v>
      </c>
      <c r="D827" s="31">
        <f>'Summary by Site'!$G$87</f>
        <v>6</v>
      </c>
    </row>
    <row r="828" spans="1:4" x14ac:dyDescent="0.25">
      <c r="A828" s="28" t="s">
        <v>20</v>
      </c>
      <c r="B828" s="25" t="s">
        <v>38</v>
      </c>
      <c r="C828" s="12" t="s">
        <v>281</v>
      </c>
      <c r="D828" s="31">
        <f>'Summary by Site'!$G$88</f>
        <v>1546</v>
      </c>
    </row>
    <row r="829" spans="1:4" x14ac:dyDescent="0.25">
      <c r="A829" s="28" t="s">
        <v>20</v>
      </c>
      <c r="B829" s="25" t="s">
        <v>38</v>
      </c>
      <c r="C829" s="12" t="s">
        <v>282</v>
      </c>
      <c r="D829" s="31">
        <f>'Summary by Site'!$G$89</f>
        <v>9</v>
      </c>
    </row>
    <row r="830" spans="1:4" x14ac:dyDescent="0.25">
      <c r="A830" s="28" t="s">
        <v>20</v>
      </c>
      <c r="B830" s="25" t="s">
        <v>38</v>
      </c>
      <c r="C830" s="12" t="s">
        <v>283</v>
      </c>
      <c r="D830" s="31">
        <f>'Summary by Site'!$G$90</f>
        <v>1192</v>
      </c>
    </row>
    <row r="831" spans="1:4" x14ac:dyDescent="0.25">
      <c r="A831" s="28" t="s">
        <v>20</v>
      </c>
      <c r="B831" s="25" t="s">
        <v>38</v>
      </c>
      <c r="C831" s="12" t="s">
        <v>284</v>
      </c>
      <c r="D831" s="31">
        <f>'Summary by Site'!$G$91</f>
        <v>47</v>
      </c>
    </row>
    <row r="832" spans="1:4" x14ac:dyDescent="0.25">
      <c r="A832" s="29" t="s">
        <v>20</v>
      </c>
      <c r="B832" s="33" t="s">
        <v>38</v>
      </c>
      <c r="C832" s="14" t="s">
        <v>285</v>
      </c>
      <c r="D832" s="32">
        <f>'Summary by Site'!$G$92</f>
        <v>0.99530075187969924</v>
      </c>
    </row>
    <row r="833" spans="1:4" x14ac:dyDescent="0.25">
      <c r="A833" s="29" t="s">
        <v>20</v>
      </c>
      <c r="B833" s="33" t="s">
        <v>38</v>
      </c>
      <c r="C833" s="14" t="s">
        <v>286</v>
      </c>
      <c r="D833" s="32">
        <f>'Summary by Site'!$G$93</f>
        <v>0.99555160142348753</v>
      </c>
    </row>
    <row r="834" spans="1:4" x14ac:dyDescent="0.25">
      <c r="A834" s="27" t="s">
        <v>20</v>
      </c>
      <c r="B834" s="24" t="s">
        <v>44</v>
      </c>
      <c r="C834" s="21" t="s">
        <v>272</v>
      </c>
      <c r="D834" s="30">
        <f>'Summary by Site'!$H$78</f>
        <v>235</v>
      </c>
    </row>
    <row r="835" spans="1:4" x14ac:dyDescent="0.25">
      <c r="A835" s="28" t="s">
        <v>20</v>
      </c>
      <c r="B835" s="25" t="s">
        <v>44</v>
      </c>
      <c r="C835" s="12" t="s">
        <v>0</v>
      </c>
      <c r="D835" s="31">
        <f>'Summary by Site'!$H$79</f>
        <v>233</v>
      </c>
    </row>
    <row r="836" spans="1:4" x14ac:dyDescent="0.25">
      <c r="A836" s="28" t="s">
        <v>20</v>
      </c>
      <c r="B836" s="25" t="s">
        <v>44</v>
      </c>
      <c r="C836" s="12" t="s">
        <v>273</v>
      </c>
      <c r="D836" s="31">
        <f>'Summary by Site'!$H$80</f>
        <v>1</v>
      </c>
    </row>
    <row r="837" spans="1:4" x14ac:dyDescent="0.25">
      <c r="A837" s="28" t="s">
        <v>20</v>
      </c>
      <c r="B837" s="25" t="s">
        <v>44</v>
      </c>
      <c r="C837" s="12" t="s">
        <v>274</v>
      </c>
      <c r="D837" s="31">
        <f>'Summary by Site'!$H$81</f>
        <v>1</v>
      </c>
    </row>
    <row r="838" spans="1:4" x14ac:dyDescent="0.25">
      <c r="A838" s="28" t="s">
        <v>20</v>
      </c>
      <c r="B838" s="25" t="s">
        <v>44</v>
      </c>
      <c r="C838" s="12" t="s">
        <v>275</v>
      </c>
      <c r="D838" s="31">
        <f>'Summary by Site'!$H$82</f>
        <v>0</v>
      </c>
    </row>
    <row r="839" spans="1:4" x14ac:dyDescent="0.25">
      <c r="A839" s="29" t="s">
        <v>20</v>
      </c>
      <c r="B839" s="33" t="s">
        <v>44</v>
      </c>
      <c r="C839" s="14" t="s">
        <v>276</v>
      </c>
      <c r="D839" s="32">
        <f>'Summary by Site'!$H$83</f>
        <v>1</v>
      </c>
    </row>
    <row r="840" spans="1:4" x14ac:dyDescent="0.25">
      <c r="A840" s="28" t="s">
        <v>20</v>
      </c>
      <c r="B840" s="25" t="s">
        <v>44</v>
      </c>
      <c r="C840" s="12" t="s">
        <v>277</v>
      </c>
      <c r="D840" s="31">
        <f>'Summary by Site'!$H$84</f>
        <v>3473</v>
      </c>
    </row>
    <row r="841" spans="1:4" x14ac:dyDescent="0.25">
      <c r="A841" s="28" t="s">
        <v>20</v>
      </c>
      <c r="B841" s="25" t="s">
        <v>44</v>
      </c>
      <c r="C841" s="12" t="s">
        <v>278</v>
      </c>
      <c r="D841" s="31">
        <f>'Summary by Site'!$H$85</f>
        <v>447</v>
      </c>
    </row>
    <row r="842" spans="1:4" x14ac:dyDescent="0.25">
      <c r="A842" s="28" t="s">
        <v>20</v>
      </c>
      <c r="B842" s="25" t="s">
        <v>44</v>
      </c>
      <c r="C842" s="12" t="s">
        <v>279</v>
      </c>
      <c r="D842" s="31">
        <f>'Summary by Site'!$H$86</f>
        <v>0</v>
      </c>
    </row>
    <row r="843" spans="1:4" x14ac:dyDescent="0.25">
      <c r="A843" s="28" t="s">
        <v>20</v>
      </c>
      <c r="B843" s="25" t="s">
        <v>44</v>
      </c>
      <c r="C843" s="12" t="s">
        <v>280</v>
      </c>
      <c r="D843" s="31">
        <f>'Summary by Site'!$H$87</f>
        <v>10</v>
      </c>
    </row>
    <row r="844" spans="1:4" x14ac:dyDescent="0.25">
      <c r="A844" s="28" t="s">
        <v>20</v>
      </c>
      <c r="B844" s="25" t="s">
        <v>44</v>
      </c>
      <c r="C844" s="12" t="s">
        <v>281</v>
      </c>
      <c r="D844" s="31">
        <f>'Summary by Site'!$H$88</f>
        <v>1694</v>
      </c>
    </row>
    <row r="845" spans="1:4" x14ac:dyDescent="0.25">
      <c r="A845" s="28" t="s">
        <v>20</v>
      </c>
      <c r="B845" s="25" t="s">
        <v>44</v>
      </c>
      <c r="C845" s="12" t="s">
        <v>282</v>
      </c>
      <c r="D845" s="31">
        <f>'Summary by Site'!$H$89</f>
        <v>4</v>
      </c>
    </row>
    <row r="846" spans="1:4" x14ac:dyDescent="0.25">
      <c r="A846" s="28" t="s">
        <v>20</v>
      </c>
      <c r="B846" s="25" t="s">
        <v>44</v>
      </c>
      <c r="C846" s="12" t="s">
        <v>283</v>
      </c>
      <c r="D846" s="31">
        <f>'Summary by Site'!$H$90</f>
        <v>1282</v>
      </c>
    </row>
    <row r="847" spans="1:4" x14ac:dyDescent="0.25">
      <c r="A847" s="28" t="s">
        <v>20</v>
      </c>
      <c r="B847" s="25" t="s">
        <v>44</v>
      </c>
      <c r="C847" s="12" t="s">
        <v>284</v>
      </c>
      <c r="D847" s="31">
        <f>'Summary by Site'!$H$91</f>
        <v>36</v>
      </c>
    </row>
    <row r="848" spans="1:4" x14ac:dyDescent="0.25">
      <c r="A848" s="29" t="s">
        <v>20</v>
      </c>
      <c r="B848" s="33" t="s">
        <v>44</v>
      </c>
      <c r="C848" s="14" t="s">
        <v>285</v>
      </c>
      <c r="D848" s="32">
        <f>'Summary by Site'!$H$92</f>
        <v>0.9959689029657357</v>
      </c>
    </row>
    <row r="849" spans="1:4" x14ac:dyDescent="0.25">
      <c r="A849" s="29" t="s">
        <v>20</v>
      </c>
      <c r="B849" s="33" t="s">
        <v>44</v>
      </c>
      <c r="C849" s="14" t="s">
        <v>286</v>
      </c>
      <c r="D849" s="32">
        <f>'Summary by Site'!$H$93</f>
        <v>0.99622437971952538</v>
      </c>
    </row>
    <row r="850" spans="1:4" x14ac:dyDescent="0.25">
      <c r="A850" s="27" t="s">
        <v>20</v>
      </c>
      <c r="B850" s="24" t="s">
        <v>45</v>
      </c>
      <c r="C850" s="21" t="s">
        <v>272</v>
      </c>
      <c r="D850" s="30">
        <f>'Summary by Site'!$I$78</f>
        <v>216</v>
      </c>
    </row>
    <row r="851" spans="1:4" x14ac:dyDescent="0.25">
      <c r="A851" s="28" t="s">
        <v>20</v>
      </c>
      <c r="B851" s="25" t="s">
        <v>45</v>
      </c>
      <c r="C851" s="12" t="s">
        <v>0</v>
      </c>
      <c r="D851" s="31">
        <f>'Summary by Site'!$I$79</f>
        <v>215</v>
      </c>
    </row>
    <row r="852" spans="1:4" x14ac:dyDescent="0.25">
      <c r="A852" s="28" t="s">
        <v>20</v>
      </c>
      <c r="B852" s="25" t="s">
        <v>45</v>
      </c>
      <c r="C852" s="12" t="s">
        <v>273</v>
      </c>
      <c r="D852" s="31">
        <f>'Summary by Site'!$I$80</f>
        <v>0</v>
      </c>
    </row>
    <row r="853" spans="1:4" x14ac:dyDescent="0.25">
      <c r="A853" s="28" t="s">
        <v>20</v>
      </c>
      <c r="B853" s="25" t="s">
        <v>45</v>
      </c>
      <c r="C853" s="12" t="s">
        <v>274</v>
      </c>
      <c r="D853" s="31">
        <f>'Summary by Site'!$I$81</f>
        <v>0</v>
      </c>
    </row>
    <row r="854" spans="1:4" x14ac:dyDescent="0.25">
      <c r="A854" s="28" t="s">
        <v>20</v>
      </c>
      <c r="B854" s="25" t="s">
        <v>45</v>
      </c>
      <c r="C854" s="12" t="s">
        <v>275</v>
      </c>
      <c r="D854" s="31">
        <f>'Summary by Site'!$I$82</f>
        <v>1</v>
      </c>
    </row>
    <row r="855" spans="1:4" x14ac:dyDescent="0.25">
      <c r="A855" s="29" t="s">
        <v>20</v>
      </c>
      <c r="B855" s="33" t="s">
        <v>45</v>
      </c>
      <c r="C855" s="14" t="s">
        <v>276</v>
      </c>
      <c r="D855" s="32">
        <f>'Summary by Site'!$I$83</f>
        <v>0.99537037037037035</v>
      </c>
    </row>
    <row r="856" spans="1:4" x14ac:dyDescent="0.25">
      <c r="A856" s="28" t="s">
        <v>20</v>
      </c>
      <c r="B856" s="25" t="s">
        <v>45</v>
      </c>
      <c r="C856" s="12" t="s">
        <v>277</v>
      </c>
      <c r="D856" s="31">
        <f>'Summary by Site'!$I$84</f>
        <v>3014</v>
      </c>
    </row>
    <row r="857" spans="1:4" x14ac:dyDescent="0.25">
      <c r="A857" s="28" t="s">
        <v>20</v>
      </c>
      <c r="B857" s="25" t="s">
        <v>45</v>
      </c>
      <c r="C857" s="12" t="s">
        <v>278</v>
      </c>
      <c r="D857" s="31">
        <f>'Summary by Site'!$I$85</f>
        <v>397</v>
      </c>
    </row>
    <row r="858" spans="1:4" x14ac:dyDescent="0.25">
      <c r="A858" s="28" t="s">
        <v>20</v>
      </c>
      <c r="B858" s="25" t="s">
        <v>45</v>
      </c>
      <c r="C858" s="12" t="s">
        <v>279</v>
      </c>
      <c r="D858" s="31">
        <f>'Summary by Site'!$I$86</f>
        <v>0</v>
      </c>
    </row>
    <row r="859" spans="1:4" x14ac:dyDescent="0.25">
      <c r="A859" s="28" t="s">
        <v>20</v>
      </c>
      <c r="B859" s="25" t="s">
        <v>45</v>
      </c>
      <c r="C859" s="12" t="s">
        <v>280</v>
      </c>
      <c r="D859" s="31">
        <f>'Summary by Site'!$I$87</f>
        <v>4</v>
      </c>
    </row>
    <row r="860" spans="1:4" x14ac:dyDescent="0.25">
      <c r="A860" s="28" t="s">
        <v>20</v>
      </c>
      <c r="B860" s="25" t="s">
        <v>45</v>
      </c>
      <c r="C860" s="12" t="s">
        <v>281</v>
      </c>
      <c r="D860" s="31">
        <f>'Summary by Site'!$I$88</f>
        <v>1563</v>
      </c>
    </row>
    <row r="861" spans="1:4" x14ac:dyDescent="0.25">
      <c r="A861" s="28" t="s">
        <v>20</v>
      </c>
      <c r="B861" s="25" t="s">
        <v>45</v>
      </c>
      <c r="C861" s="12" t="s">
        <v>282</v>
      </c>
      <c r="D861" s="31">
        <f>'Summary by Site'!$I$89</f>
        <v>6</v>
      </c>
    </row>
    <row r="862" spans="1:4" x14ac:dyDescent="0.25">
      <c r="A862" s="28" t="s">
        <v>20</v>
      </c>
      <c r="B862" s="25" t="s">
        <v>45</v>
      </c>
      <c r="C862" s="12" t="s">
        <v>283</v>
      </c>
      <c r="D862" s="31">
        <f>'Summary by Site'!$I$90</f>
        <v>1038</v>
      </c>
    </row>
    <row r="863" spans="1:4" x14ac:dyDescent="0.25">
      <c r="A863" s="28" t="s">
        <v>20</v>
      </c>
      <c r="B863" s="25" t="s">
        <v>45</v>
      </c>
      <c r="C863" s="12" t="s">
        <v>284</v>
      </c>
      <c r="D863" s="31">
        <f>'Summary by Site'!$I$91</f>
        <v>6</v>
      </c>
    </row>
    <row r="864" spans="1:4" x14ac:dyDescent="0.25">
      <c r="A864" s="29" t="s">
        <v>20</v>
      </c>
      <c r="B864" s="33" t="s">
        <v>45</v>
      </c>
      <c r="C864" s="14" t="s">
        <v>285</v>
      </c>
      <c r="D864" s="32">
        <f>'Summary by Site'!$I$92</f>
        <v>0.99668214996682147</v>
      </c>
    </row>
    <row r="865" spans="1:4" x14ac:dyDescent="0.25">
      <c r="A865" s="29" t="s">
        <v>20</v>
      </c>
      <c r="B865" s="33" t="s">
        <v>45</v>
      </c>
      <c r="C865" s="14" t="s">
        <v>286</v>
      </c>
      <c r="D865" s="32">
        <f>'Summary by Site'!$I$93</f>
        <v>0.99659442724458203</v>
      </c>
    </row>
    <row r="866" spans="1:4" x14ac:dyDescent="0.25">
      <c r="A866" s="27" t="s">
        <v>20</v>
      </c>
      <c r="B866" s="24" t="s">
        <v>46</v>
      </c>
      <c r="C866" s="21" t="s">
        <v>272</v>
      </c>
      <c r="D866" s="30">
        <f>'Summary by Site'!$J$78</f>
        <v>241</v>
      </c>
    </row>
    <row r="867" spans="1:4" x14ac:dyDescent="0.25">
      <c r="A867" s="28" t="s">
        <v>20</v>
      </c>
      <c r="B867" s="25" t="s">
        <v>46</v>
      </c>
      <c r="C867" s="12" t="s">
        <v>0</v>
      </c>
      <c r="D867" s="31">
        <f>'Summary by Site'!$J$79</f>
        <v>241</v>
      </c>
    </row>
    <row r="868" spans="1:4" x14ac:dyDescent="0.25">
      <c r="A868" s="28" t="s">
        <v>20</v>
      </c>
      <c r="B868" s="25" t="s">
        <v>46</v>
      </c>
      <c r="C868" s="12" t="s">
        <v>273</v>
      </c>
      <c r="D868" s="31">
        <f>'Summary by Site'!$J$80</f>
        <v>0</v>
      </c>
    </row>
    <row r="869" spans="1:4" x14ac:dyDescent="0.25">
      <c r="A869" s="28" t="s">
        <v>20</v>
      </c>
      <c r="B869" s="25" t="s">
        <v>46</v>
      </c>
      <c r="C869" s="12" t="s">
        <v>274</v>
      </c>
      <c r="D869" s="31">
        <f>'Summary by Site'!$J$81</f>
        <v>0</v>
      </c>
    </row>
    <row r="870" spans="1:4" x14ac:dyDescent="0.25">
      <c r="A870" s="28" t="s">
        <v>20</v>
      </c>
      <c r="B870" s="25" t="s">
        <v>46</v>
      </c>
      <c r="C870" s="12" t="s">
        <v>275</v>
      </c>
      <c r="D870" s="31">
        <f>'Summary by Site'!$J$82</f>
        <v>0</v>
      </c>
    </row>
    <row r="871" spans="1:4" x14ac:dyDescent="0.25">
      <c r="A871" s="29" t="s">
        <v>20</v>
      </c>
      <c r="B871" s="33" t="s">
        <v>46</v>
      </c>
      <c r="C871" s="14" t="s">
        <v>276</v>
      </c>
      <c r="D871" s="32">
        <f>'Summary by Site'!$J$83</f>
        <v>1</v>
      </c>
    </row>
    <row r="872" spans="1:4" x14ac:dyDescent="0.25">
      <c r="A872" s="28" t="s">
        <v>20</v>
      </c>
      <c r="B872" s="25" t="s">
        <v>46</v>
      </c>
      <c r="C872" s="12" t="s">
        <v>277</v>
      </c>
      <c r="D872" s="31">
        <f>'Summary by Site'!$J$84</f>
        <v>3259</v>
      </c>
    </row>
    <row r="873" spans="1:4" x14ac:dyDescent="0.25">
      <c r="A873" s="28" t="s">
        <v>20</v>
      </c>
      <c r="B873" s="25" t="s">
        <v>46</v>
      </c>
      <c r="C873" s="12" t="s">
        <v>278</v>
      </c>
      <c r="D873" s="31">
        <f>'Summary by Site'!$J$85</f>
        <v>353</v>
      </c>
    </row>
    <row r="874" spans="1:4" x14ac:dyDescent="0.25">
      <c r="A874" s="28" t="s">
        <v>20</v>
      </c>
      <c r="B874" s="25" t="s">
        <v>46</v>
      </c>
      <c r="C874" s="12" t="s">
        <v>279</v>
      </c>
      <c r="D874" s="31">
        <f>'Summary by Site'!$J$86</f>
        <v>0</v>
      </c>
    </row>
    <row r="875" spans="1:4" x14ac:dyDescent="0.25">
      <c r="A875" s="28" t="s">
        <v>20</v>
      </c>
      <c r="B875" s="25" t="s">
        <v>46</v>
      </c>
      <c r="C875" s="12" t="s">
        <v>280</v>
      </c>
      <c r="D875" s="31">
        <f>'Summary by Site'!$J$87</f>
        <v>6</v>
      </c>
    </row>
    <row r="876" spans="1:4" x14ac:dyDescent="0.25">
      <c r="A876" s="28" t="s">
        <v>20</v>
      </c>
      <c r="B876" s="25" t="s">
        <v>46</v>
      </c>
      <c r="C876" s="12" t="s">
        <v>281</v>
      </c>
      <c r="D876" s="31">
        <f>'Summary by Site'!$J$88</f>
        <v>1680</v>
      </c>
    </row>
    <row r="877" spans="1:4" x14ac:dyDescent="0.25">
      <c r="A877" s="28" t="s">
        <v>20</v>
      </c>
      <c r="B877" s="25" t="s">
        <v>46</v>
      </c>
      <c r="C877" s="12" t="s">
        <v>282</v>
      </c>
      <c r="D877" s="31">
        <f>'Summary by Site'!$J$89</f>
        <v>9</v>
      </c>
    </row>
    <row r="878" spans="1:4" x14ac:dyDescent="0.25">
      <c r="A878" s="28" t="s">
        <v>20</v>
      </c>
      <c r="B878" s="25" t="s">
        <v>46</v>
      </c>
      <c r="C878" s="12" t="s">
        <v>283</v>
      </c>
      <c r="D878" s="31">
        <f>'Summary by Site'!$J$90</f>
        <v>1204</v>
      </c>
    </row>
    <row r="879" spans="1:4" x14ac:dyDescent="0.25">
      <c r="A879" s="28" t="s">
        <v>20</v>
      </c>
      <c r="B879" s="25" t="s">
        <v>46</v>
      </c>
      <c r="C879" s="12" t="s">
        <v>284</v>
      </c>
      <c r="D879" s="31">
        <f>'Summary by Site'!$J$91</f>
        <v>7</v>
      </c>
    </row>
    <row r="880" spans="1:4" x14ac:dyDescent="0.25">
      <c r="A880" s="29" t="s">
        <v>20</v>
      </c>
      <c r="B880" s="33" t="s">
        <v>46</v>
      </c>
      <c r="C880" s="14" t="s">
        <v>285</v>
      </c>
      <c r="D880" s="32">
        <f>'Summary by Site'!$J$92</f>
        <v>0.99539736115372812</v>
      </c>
    </row>
    <row r="881" spans="1:4" x14ac:dyDescent="0.25">
      <c r="A881" s="29" t="s">
        <v>20</v>
      </c>
      <c r="B881" s="33" t="s">
        <v>46</v>
      </c>
      <c r="C881" s="14" t="s">
        <v>286</v>
      </c>
      <c r="D881" s="32">
        <f>'Summary by Site'!$J$93</f>
        <v>0.99571428571428566</v>
      </c>
    </row>
    <row r="882" spans="1:4" x14ac:dyDescent="0.25">
      <c r="A882" s="27" t="s">
        <v>20</v>
      </c>
      <c r="B882" s="24" t="s">
        <v>47</v>
      </c>
      <c r="C882" s="21" t="s">
        <v>272</v>
      </c>
      <c r="D882" s="30">
        <f>'Summary by Site'!$K$78</f>
        <v>228</v>
      </c>
    </row>
    <row r="883" spans="1:4" x14ac:dyDescent="0.25">
      <c r="A883" s="28" t="s">
        <v>20</v>
      </c>
      <c r="B883" s="25" t="s">
        <v>47</v>
      </c>
      <c r="C883" s="12" t="s">
        <v>0</v>
      </c>
      <c r="D883" s="31">
        <f>'Summary by Site'!$K$79</f>
        <v>228</v>
      </c>
    </row>
    <row r="884" spans="1:4" x14ac:dyDescent="0.25">
      <c r="A884" s="28" t="s">
        <v>20</v>
      </c>
      <c r="B884" s="25" t="s">
        <v>47</v>
      </c>
      <c r="C884" s="12" t="s">
        <v>273</v>
      </c>
      <c r="D884" s="31">
        <f>'Summary by Site'!$K$80</f>
        <v>0</v>
      </c>
    </row>
    <row r="885" spans="1:4" x14ac:dyDescent="0.25">
      <c r="A885" s="28" t="s">
        <v>20</v>
      </c>
      <c r="B885" s="25" t="s">
        <v>47</v>
      </c>
      <c r="C885" s="12" t="s">
        <v>274</v>
      </c>
      <c r="D885" s="31">
        <f>'Summary by Site'!$K$81</f>
        <v>0</v>
      </c>
    </row>
    <row r="886" spans="1:4" x14ac:dyDescent="0.25">
      <c r="A886" s="28" t="s">
        <v>20</v>
      </c>
      <c r="B886" s="25" t="s">
        <v>47</v>
      </c>
      <c r="C886" s="12" t="s">
        <v>275</v>
      </c>
      <c r="D886" s="31">
        <f>'Summary by Site'!$K$82</f>
        <v>0</v>
      </c>
    </row>
    <row r="887" spans="1:4" x14ac:dyDescent="0.25">
      <c r="A887" s="29" t="s">
        <v>20</v>
      </c>
      <c r="B887" s="33" t="s">
        <v>47</v>
      </c>
      <c r="C887" s="14" t="s">
        <v>276</v>
      </c>
      <c r="D887" s="32">
        <f>'Summary by Site'!$K$83</f>
        <v>1</v>
      </c>
    </row>
    <row r="888" spans="1:4" x14ac:dyDescent="0.25">
      <c r="A888" s="28" t="s">
        <v>20</v>
      </c>
      <c r="B888" s="25" t="s">
        <v>47</v>
      </c>
      <c r="C888" s="12" t="s">
        <v>277</v>
      </c>
      <c r="D888" s="31">
        <f>'Summary by Site'!$K$84</f>
        <v>3317</v>
      </c>
    </row>
    <row r="889" spans="1:4" x14ac:dyDescent="0.25">
      <c r="A889" s="28" t="s">
        <v>20</v>
      </c>
      <c r="B889" s="25" t="s">
        <v>47</v>
      </c>
      <c r="C889" s="12" t="s">
        <v>278</v>
      </c>
      <c r="D889" s="31">
        <f>'Summary by Site'!$K$85</f>
        <v>371</v>
      </c>
    </row>
    <row r="890" spans="1:4" x14ac:dyDescent="0.25">
      <c r="A890" s="28" t="s">
        <v>20</v>
      </c>
      <c r="B890" s="25" t="s">
        <v>47</v>
      </c>
      <c r="C890" s="12" t="s">
        <v>279</v>
      </c>
      <c r="D890" s="31">
        <f>'Summary by Site'!$K$86</f>
        <v>0</v>
      </c>
    </row>
    <row r="891" spans="1:4" x14ac:dyDescent="0.25">
      <c r="A891" s="28" t="s">
        <v>20</v>
      </c>
      <c r="B891" s="25" t="s">
        <v>47</v>
      </c>
      <c r="C891" s="12" t="s">
        <v>280</v>
      </c>
      <c r="D891" s="31">
        <f>'Summary by Site'!$K$87</f>
        <v>4</v>
      </c>
    </row>
    <row r="892" spans="1:4" x14ac:dyDescent="0.25">
      <c r="A892" s="28" t="s">
        <v>20</v>
      </c>
      <c r="B892" s="25" t="s">
        <v>47</v>
      </c>
      <c r="C892" s="12" t="s">
        <v>281</v>
      </c>
      <c r="D892" s="31">
        <f>'Summary by Site'!$K$88</f>
        <v>1712</v>
      </c>
    </row>
    <row r="893" spans="1:4" x14ac:dyDescent="0.25">
      <c r="A893" s="28" t="s">
        <v>20</v>
      </c>
      <c r="B893" s="25" t="s">
        <v>47</v>
      </c>
      <c r="C893" s="12" t="s">
        <v>282</v>
      </c>
      <c r="D893" s="31">
        <f>'Summary by Site'!$K$89</f>
        <v>9</v>
      </c>
    </row>
    <row r="894" spans="1:4" x14ac:dyDescent="0.25">
      <c r="A894" s="28" t="s">
        <v>20</v>
      </c>
      <c r="B894" s="25" t="s">
        <v>47</v>
      </c>
      <c r="C894" s="12" t="s">
        <v>283</v>
      </c>
      <c r="D894" s="31">
        <f>'Summary by Site'!$K$90</f>
        <v>1212</v>
      </c>
    </row>
    <row r="895" spans="1:4" x14ac:dyDescent="0.25">
      <c r="A895" s="28" t="s">
        <v>20</v>
      </c>
      <c r="B895" s="25" t="s">
        <v>47</v>
      </c>
      <c r="C895" s="12" t="s">
        <v>284</v>
      </c>
      <c r="D895" s="31">
        <f>'Summary by Site'!$K$91</f>
        <v>9</v>
      </c>
    </row>
    <row r="896" spans="1:4" x14ac:dyDescent="0.25">
      <c r="A896" s="29" t="s">
        <v>20</v>
      </c>
      <c r="B896" s="33" t="s">
        <v>47</v>
      </c>
      <c r="C896" s="14" t="s">
        <v>285</v>
      </c>
      <c r="D896" s="32">
        <f>'Summary by Site'!$K$92</f>
        <v>0.99608079589990961</v>
      </c>
    </row>
    <row r="897" spans="1:4" x14ac:dyDescent="0.25">
      <c r="A897" s="29" t="s">
        <v>20</v>
      </c>
      <c r="B897" s="33" t="s">
        <v>47</v>
      </c>
      <c r="C897" s="14" t="s">
        <v>286</v>
      </c>
      <c r="D897" s="32">
        <f>'Summary by Site'!$K$93</f>
        <v>0.99633286318758818</v>
      </c>
    </row>
    <row r="898" spans="1:4" x14ac:dyDescent="0.25">
      <c r="A898" s="27" t="s">
        <v>20</v>
      </c>
      <c r="B898" s="24" t="s">
        <v>50</v>
      </c>
      <c r="C898" s="21" t="s">
        <v>272</v>
      </c>
      <c r="D898" s="30">
        <f>'Summary by Site'!$L$78</f>
        <v>231</v>
      </c>
    </row>
    <row r="899" spans="1:4" x14ac:dyDescent="0.25">
      <c r="A899" s="28" t="s">
        <v>20</v>
      </c>
      <c r="B899" s="25" t="s">
        <v>50</v>
      </c>
      <c r="C899" s="12" t="s">
        <v>0</v>
      </c>
      <c r="D899" s="31">
        <f>'Summary by Site'!$L$79</f>
        <v>229</v>
      </c>
    </row>
    <row r="900" spans="1:4" x14ac:dyDescent="0.25">
      <c r="A900" s="28" t="s">
        <v>20</v>
      </c>
      <c r="B900" s="25" t="s">
        <v>50</v>
      </c>
      <c r="C900" s="12" t="s">
        <v>273</v>
      </c>
      <c r="D900" s="31">
        <f>'Summary by Site'!$L$80</f>
        <v>0</v>
      </c>
    </row>
    <row r="901" spans="1:4" x14ac:dyDescent="0.25">
      <c r="A901" s="28" t="s">
        <v>20</v>
      </c>
      <c r="B901" s="25" t="s">
        <v>50</v>
      </c>
      <c r="C901" s="12" t="s">
        <v>274</v>
      </c>
      <c r="D901" s="31">
        <f>'Summary by Site'!$L$81</f>
        <v>1</v>
      </c>
    </row>
    <row r="902" spans="1:4" x14ac:dyDescent="0.25">
      <c r="A902" s="28" t="s">
        <v>20</v>
      </c>
      <c r="B902" s="25" t="s">
        <v>50</v>
      </c>
      <c r="C902" s="12" t="s">
        <v>275</v>
      </c>
      <c r="D902" s="31">
        <f>'Summary by Site'!$L$82</f>
        <v>1</v>
      </c>
    </row>
    <row r="903" spans="1:4" x14ac:dyDescent="0.25">
      <c r="A903" s="29" t="s">
        <v>20</v>
      </c>
      <c r="B903" s="33" t="s">
        <v>50</v>
      </c>
      <c r="C903" s="14" t="s">
        <v>276</v>
      </c>
      <c r="D903" s="32">
        <f>'Summary by Site'!$L$83</f>
        <v>0.99567099567099571</v>
      </c>
    </row>
    <row r="904" spans="1:4" x14ac:dyDescent="0.25">
      <c r="A904" s="28" t="s">
        <v>20</v>
      </c>
      <c r="B904" s="25" t="s">
        <v>50</v>
      </c>
      <c r="C904" s="12" t="s">
        <v>277</v>
      </c>
      <c r="D904" s="31">
        <f>'Summary by Site'!$L$84</f>
        <v>3216</v>
      </c>
    </row>
    <row r="905" spans="1:4" x14ac:dyDescent="0.25">
      <c r="A905" s="28" t="s">
        <v>20</v>
      </c>
      <c r="B905" s="25" t="s">
        <v>50</v>
      </c>
      <c r="C905" s="12" t="s">
        <v>278</v>
      </c>
      <c r="D905" s="31">
        <f>'Summary by Site'!$L$85</f>
        <v>330</v>
      </c>
    </row>
    <row r="906" spans="1:4" x14ac:dyDescent="0.25">
      <c r="A906" s="28" t="s">
        <v>20</v>
      </c>
      <c r="B906" s="25" t="s">
        <v>50</v>
      </c>
      <c r="C906" s="12" t="s">
        <v>279</v>
      </c>
      <c r="D906" s="31">
        <f>'Summary by Site'!$L$86</f>
        <v>0</v>
      </c>
    </row>
    <row r="907" spans="1:4" x14ac:dyDescent="0.25">
      <c r="A907" s="28" t="s">
        <v>20</v>
      </c>
      <c r="B907" s="25" t="s">
        <v>50</v>
      </c>
      <c r="C907" s="12" t="s">
        <v>280</v>
      </c>
      <c r="D907" s="31">
        <f>'Summary by Site'!$L$87</f>
        <v>3</v>
      </c>
    </row>
    <row r="908" spans="1:4" x14ac:dyDescent="0.25">
      <c r="A908" s="28" t="s">
        <v>20</v>
      </c>
      <c r="B908" s="25" t="s">
        <v>50</v>
      </c>
      <c r="C908" s="12" t="s">
        <v>281</v>
      </c>
      <c r="D908" s="31">
        <f>'Summary by Site'!$L$88</f>
        <v>1647</v>
      </c>
    </row>
    <row r="909" spans="1:4" x14ac:dyDescent="0.25">
      <c r="A909" s="28" t="s">
        <v>20</v>
      </c>
      <c r="B909" s="25" t="s">
        <v>50</v>
      </c>
      <c r="C909" s="12" t="s">
        <v>282</v>
      </c>
      <c r="D909" s="31">
        <f>'Summary by Site'!$L$89</f>
        <v>5</v>
      </c>
    </row>
    <row r="910" spans="1:4" x14ac:dyDescent="0.25">
      <c r="A910" s="28" t="s">
        <v>20</v>
      </c>
      <c r="B910" s="25" t="s">
        <v>50</v>
      </c>
      <c r="C910" s="12" t="s">
        <v>283</v>
      </c>
      <c r="D910" s="31">
        <f>'Summary by Site'!$L$90</f>
        <v>1220</v>
      </c>
    </row>
    <row r="911" spans="1:4" x14ac:dyDescent="0.25">
      <c r="A911" s="28" t="s">
        <v>20</v>
      </c>
      <c r="B911" s="25" t="s">
        <v>50</v>
      </c>
      <c r="C911" s="12" t="s">
        <v>284</v>
      </c>
      <c r="D911" s="31">
        <f>'Summary by Site'!$L$91</f>
        <v>11</v>
      </c>
    </row>
    <row r="912" spans="1:4" x14ac:dyDescent="0.25">
      <c r="A912" s="29" t="s">
        <v>20</v>
      </c>
      <c r="B912" s="33" t="s">
        <v>50</v>
      </c>
      <c r="C912" s="14" t="s">
        <v>285</v>
      </c>
      <c r="D912" s="32">
        <f>'Summary by Site'!$L$92</f>
        <v>0.99751243781094523</v>
      </c>
    </row>
    <row r="913" spans="1:4" x14ac:dyDescent="0.25">
      <c r="A913" s="29" t="s">
        <v>20</v>
      </c>
      <c r="B913" s="33" t="s">
        <v>50</v>
      </c>
      <c r="C913" s="14" t="s">
        <v>286</v>
      </c>
      <c r="D913" s="32">
        <f>'Summary by Site'!$L$93</f>
        <v>0.99738903394255873</v>
      </c>
    </row>
    <row r="914" spans="1:4" x14ac:dyDescent="0.25">
      <c r="A914" s="27" t="s">
        <v>20</v>
      </c>
      <c r="B914" s="24" t="s">
        <v>51</v>
      </c>
      <c r="C914" s="21" t="s">
        <v>272</v>
      </c>
      <c r="D914" s="30">
        <f>'Summary by Site'!$M$78</f>
        <v>232</v>
      </c>
    </row>
    <row r="915" spans="1:4" x14ac:dyDescent="0.25">
      <c r="A915" s="28" t="s">
        <v>20</v>
      </c>
      <c r="B915" s="25" t="s">
        <v>51</v>
      </c>
      <c r="C915" s="12" t="s">
        <v>0</v>
      </c>
      <c r="D915" s="31">
        <f>'Summary by Site'!$M$79</f>
        <v>232</v>
      </c>
    </row>
    <row r="916" spans="1:4" x14ac:dyDescent="0.25">
      <c r="A916" s="28" t="s">
        <v>20</v>
      </c>
      <c r="B916" s="25" t="s">
        <v>51</v>
      </c>
      <c r="C916" s="12" t="s">
        <v>273</v>
      </c>
      <c r="D916" s="31">
        <f>'Summary by Site'!$M$80</f>
        <v>0</v>
      </c>
    </row>
    <row r="917" spans="1:4" x14ac:dyDescent="0.25">
      <c r="A917" s="28" t="s">
        <v>20</v>
      </c>
      <c r="B917" s="25" t="s">
        <v>51</v>
      </c>
      <c r="C917" s="12" t="s">
        <v>274</v>
      </c>
      <c r="D917" s="31">
        <f>'Summary by Site'!$M$81</f>
        <v>0</v>
      </c>
    </row>
    <row r="918" spans="1:4" x14ac:dyDescent="0.25">
      <c r="A918" s="28" t="s">
        <v>20</v>
      </c>
      <c r="B918" s="25" t="s">
        <v>51</v>
      </c>
      <c r="C918" s="12" t="s">
        <v>275</v>
      </c>
      <c r="D918" s="31">
        <f>'Summary by Site'!$M$82</f>
        <v>0</v>
      </c>
    </row>
    <row r="919" spans="1:4" x14ac:dyDescent="0.25">
      <c r="A919" s="29" t="s">
        <v>20</v>
      </c>
      <c r="B919" s="33" t="s">
        <v>51</v>
      </c>
      <c r="C919" s="14" t="s">
        <v>276</v>
      </c>
      <c r="D919" s="32">
        <f>'Summary by Site'!$M$83</f>
        <v>1</v>
      </c>
    </row>
    <row r="920" spans="1:4" x14ac:dyDescent="0.25">
      <c r="A920" s="28" t="s">
        <v>20</v>
      </c>
      <c r="B920" s="25" t="s">
        <v>51</v>
      </c>
      <c r="C920" s="12" t="s">
        <v>277</v>
      </c>
      <c r="D920" s="31">
        <f>'Summary by Site'!$M$84</f>
        <v>3281</v>
      </c>
    </row>
    <row r="921" spans="1:4" x14ac:dyDescent="0.25">
      <c r="A921" s="28" t="s">
        <v>20</v>
      </c>
      <c r="B921" s="25" t="s">
        <v>51</v>
      </c>
      <c r="C921" s="12" t="s">
        <v>278</v>
      </c>
      <c r="D921" s="31">
        <f>'Summary by Site'!$M$85</f>
        <v>421</v>
      </c>
    </row>
    <row r="922" spans="1:4" x14ac:dyDescent="0.25">
      <c r="A922" s="28" t="s">
        <v>20</v>
      </c>
      <c r="B922" s="25" t="s">
        <v>51</v>
      </c>
      <c r="C922" s="12" t="s">
        <v>279</v>
      </c>
      <c r="D922" s="31">
        <f>'Summary by Site'!$M$86</f>
        <v>0</v>
      </c>
    </row>
    <row r="923" spans="1:4" x14ac:dyDescent="0.25">
      <c r="A923" s="28" t="s">
        <v>20</v>
      </c>
      <c r="B923" s="25" t="s">
        <v>51</v>
      </c>
      <c r="C923" s="12" t="s">
        <v>280</v>
      </c>
      <c r="D923" s="31">
        <f>'Summary by Site'!$M$87</f>
        <v>7</v>
      </c>
    </row>
    <row r="924" spans="1:4" x14ac:dyDescent="0.25">
      <c r="A924" s="28" t="s">
        <v>20</v>
      </c>
      <c r="B924" s="25" t="s">
        <v>51</v>
      </c>
      <c r="C924" s="12" t="s">
        <v>281</v>
      </c>
      <c r="D924" s="31">
        <f>'Summary by Site'!$M$88</f>
        <v>1629</v>
      </c>
    </row>
    <row r="925" spans="1:4" x14ac:dyDescent="0.25">
      <c r="A925" s="28" t="s">
        <v>20</v>
      </c>
      <c r="B925" s="25" t="s">
        <v>51</v>
      </c>
      <c r="C925" s="12" t="s">
        <v>282</v>
      </c>
      <c r="D925" s="31">
        <f>'Summary by Site'!$M$89</f>
        <v>3</v>
      </c>
    </row>
    <row r="926" spans="1:4" x14ac:dyDescent="0.25">
      <c r="A926" s="28" t="s">
        <v>20</v>
      </c>
      <c r="B926" s="25" t="s">
        <v>51</v>
      </c>
      <c r="C926" s="12" t="s">
        <v>283</v>
      </c>
      <c r="D926" s="31">
        <f>'Summary by Site'!$M$90</f>
        <v>1211</v>
      </c>
    </row>
    <row r="927" spans="1:4" x14ac:dyDescent="0.25">
      <c r="A927" s="28" t="s">
        <v>20</v>
      </c>
      <c r="B927" s="25" t="s">
        <v>51</v>
      </c>
      <c r="C927" s="12" t="s">
        <v>284</v>
      </c>
      <c r="D927" s="31">
        <f>'Summary by Site'!$M$91</f>
        <v>10</v>
      </c>
    </row>
    <row r="928" spans="1:4" x14ac:dyDescent="0.25">
      <c r="A928" s="29" t="s">
        <v>20</v>
      </c>
      <c r="B928" s="33" t="s">
        <v>51</v>
      </c>
      <c r="C928" s="14" t="s">
        <v>285</v>
      </c>
      <c r="D928" s="32">
        <f>'Summary by Site'!$M$92</f>
        <v>0.99695214873514171</v>
      </c>
    </row>
    <row r="929" spans="1:4" x14ac:dyDescent="0.25">
      <c r="A929" s="29" t="s">
        <v>20</v>
      </c>
      <c r="B929" s="33" t="s">
        <v>51</v>
      </c>
      <c r="C929" s="14" t="s">
        <v>286</v>
      </c>
      <c r="D929" s="32">
        <f>'Summary by Site'!$M$93</f>
        <v>0.99715343011670932</v>
      </c>
    </row>
    <row r="930" spans="1:4" x14ac:dyDescent="0.25">
      <c r="A930" s="27" t="s">
        <v>20</v>
      </c>
      <c r="B930" s="24" t="s">
        <v>89</v>
      </c>
      <c r="C930" s="21" t="s">
        <v>272</v>
      </c>
      <c r="D930" s="30">
        <f>'Summary by Site'!$N$78</f>
        <v>196</v>
      </c>
    </row>
    <row r="931" spans="1:4" x14ac:dyDescent="0.25">
      <c r="A931" s="28" t="s">
        <v>20</v>
      </c>
      <c r="B931" s="25" t="s">
        <v>89</v>
      </c>
      <c r="C931" s="12" t="s">
        <v>0</v>
      </c>
      <c r="D931" s="31">
        <f>'Summary by Site'!$N$79</f>
        <v>193</v>
      </c>
    </row>
    <row r="932" spans="1:4" x14ac:dyDescent="0.25">
      <c r="A932" s="28" t="s">
        <v>20</v>
      </c>
      <c r="B932" s="25" t="s">
        <v>89</v>
      </c>
      <c r="C932" s="12" t="s">
        <v>273</v>
      </c>
      <c r="D932" s="31">
        <f>'Summary by Site'!$N$80</f>
        <v>0</v>
      </c>
    </row>
    <row r="933" spans="1:4" x14ac:dyDescent="0.25">
      <c r="A933" s="28" t="s">
        <v>20</v>
      </c>
      <c r="B933" s="25" t="s">
        <v>89</v>
      </c>
      <c r="C933" s="12" t="s">
        <v>274</v>
      </c>
      <c r="D933" s="31">
        <f>'Summary by Site'!$N$81</f>
        <v>0</v>
      </c>
    </row>
    <row r="934" spans="1:4" x14ac:dyDescent="0.25">
      <c r="A934" s="28" t="s">
        <v>20</v>
      </c>
      <c r="B934" s="25" t="s">
        <v>89</v>
      </c>
      <c r="C934" s="12" t="s">
        <v>275</v>
      </c>
      <c r="D934" s="31">
        <f>'Summary by Site'!$N$82</f>
        <v>3</v>
      </c>
    </row>
    <row r="935" spans="1:4" x14ac:dyDescent="0.25">
      <c r="A935" s="29" t="s">
        <v>20</v>
      </c>
      <c r="B935" s="33" t="s">
        <v>89</v>
      </c>
      <c r="C935" s="14" t="s">
        <v>276</v>
      </c>
      <c r="D935" s="32">
        <f>'Summary by Site'!$N$83</f>
        <v>0.98469387755102045</v>
      </c>
    </row>
    <row r="936" spans="1:4" x14ac:dyDescent="0.25">
      <c r="A936" s="28" t="s">
        <v>20</v>
      </c>
      <c r="B936" s="25" t="s">
        <v>89</v>
      </c>
      <c r="C936" s="12" t="s">
        <v>277</v>
      </c>
      <c r="D936" s="31">
        <f>'Summary by Site'!$N$84</f>
        <v>3073</v>
      </c>
    </row>
    <row r="937" spans="1:4" x14ac:dyDescent="0.25">
      <c r="A937" s="28" t="s">
        <v>20</v>
      </c>
      <c r="B937" s="25" t="s">
        <v>89</v>
      </c>
      <c r="C937" s="12" t="s">
        <v>278</v>
      </c>
      <c r="D937" s="31">
        <f>'Summary by Site'!$N$85</f>
        <v>386</v>
      </c>
    </row>
    <row r="938" spans="1:4" x14ac:dyDescent="0.25">
      <c r="A938" s="28" t="s">
        <v>20</v>
      </c>
      <c r="B938" s="25" t="s">
        <v>89</v>
      </c>
      <c r="C938" s="12" t="s">
        <v>279</v>
      </c>
      <c r="D938" s="31">
        <f>'Summary by Site'!$N$86</f>
        <v>0</v>
      </c>
    </row>
    <row r="939" spans="1:4" x14ac:dyDescent="0.25">
      <c r="A939" s="28" t="s">
        <v>20</v>
      </c>
      <c r="B939" s="25" t="s">
        <v>89</v>
      </c>
      <c r="C939" s="12" t="s">
        <v>280</v>
      </c>
      <c r="D939" s="31">
        <f>'Summary by Site'!$N$87</f>
        <v>8</v>
      </c>
    </row>
    <row r="940" spans="1:4" x14ac:dyDescent="0.25">
      <c r="A940" s="28" t="s">
        <v>20</v>
      </c>
      <c r="B940" s="25" t="s">
        <v>89</v>
      </c>
      <c r="C940" s="12" t="s">
        <v>281</v>
      </c>
      <c r="D940" s="31">
        <f>'Summary by Site'!$N$88</f>
        <v>1564</v>
      </c>
    </row>
    <row r="941" spans="1:4" x14ac:dyDescent="0.25">
      <c r="A941" s="28" t="s">
        <v>20</v>
      </c>
      <c r="B941" s="25" t="s">
        <v>89</v>
      </c>
      <c r="C941" s="12" t="s">
        <v>282</v>
      </c>
      <c r="D941" s="31">
        <f>'Summary by Site'!$N$89</f>
        <v>7</v>
      </c>
    </row>
    <row r="942" spans="1:4" x14ac:dyDescent="0.25">
      <c r="A942" s="28" t="s">
        <v>20</v>
      </c>
      <c r="B942" s="25" t="s">
        <v>89</v>
      </c>
      <c r="C942" s="12" t="s">
        <v>283</v>
      </c>
      <c r="D942" s="31">
        <f>'Summary by Site'!$N$90</f>
        <v>1077</v>
      </c>
    </row>
    <row r="943" spans="1:4" x14ac:dyDescent="0.25">
      <c r="A943" s="28" t="s">
        <v>20</v>
      </c>
      <c r="B943" s="25" t="s">
        <v>89</v>
      </c>
      <c r="C943" s="12" t="s">
        <v>284</v>
      </c>
      <c r="D943" s="31">
        <f>'Summary by Site'!$N$91</f>
        <v>31</v>
      </c>
    </row>
    <row r="944" spans="1:4" x14ac:dyDescent="0.25">
      <c r="A944" s="29" t="s">
        <v>20</v>
      </c>
      <c r="B944" s="33" t="s">
        <v>89</v>
      </c>
      <c r="C944" s="14" t="s">
        <v>285</v>
      </c>
      <c r="D944" s="32">
        <f>'Summary by Site'!$N$92</f>
        <v>0.99511877643996094</v>
      </c>
    </row>
    <row r="945" spans="1:4" x14ac:dyDescent="0.25">
      <c r="A945" s="29" t="s">
        <v>20</v>
      </c>
      <c r="B945" s="33" t="s">
        <v>89</v>
      </c>
      <c r="C945" s="14" t="s">
        <v>286</v>
      </c>
      <c r="D945" s="32">
        <f>'Summary by Site'!$N$93</f>
        <v>0.99449372896910371</v>
      </c>
    </row>
    <row r="946" spans="1:4" x14ac:dyDescent="0.25">
      <c r="A946" s="27" t="s">
        <v>20</v>
      </c>
      <c r="B946" s="24" t="s">
        <v>271</v>
      </c>
      <c r="C946" s="21" t="s">
        <v>272</v>
      </c>
      <c r="D946" s="30">
        <f>'Summary by Site'!$O$78</f>
        <v>143</v>
      </c>
    </row>
    <row r="947" spans="1:4" x14ac:dyDescent="0.25">
      <c r="A947" s="28" t="s">
        <v>20</v>
      </c>
      <c r="B947" s="25" t="s">
        <v>271</v>
      </c>
      <c r="C947" s="12" t="s">
        <v>0</v>
      </c>
      <c r="D947" s="31">
        <f>'Summary by Site'!$O$79</f>
        <v>143</v>
      </c>
    </row>
    <row r="948" spans="1:4" x14ac:dyDescent="0.25">
      <c r="A948" s="28" t="s">
        <v>20</v>
      </c>
      <c r="B948" s="25" t="s">
        <v>271</v>
      </c>
      <c r="C948" s="12" t="s">
        <v>273</v>
      </c>
      <c r="D948" s="31">
        <f>'Summary by Site'!$O$80</f>
        <v>0</v>
      </c>
    </row>
    <row r="949" spans="1:4" x14ac:dyDescent="0.25">
      <c r="A949" s="28" t="s">
        <v>20</v>
      </c>
      <c r="B949" s="25" t="s">
        <v>271</v>
      </c>
      <c r="C949" s="12" t="s">
        <v>274</v>
      </c>
      <c r="D949" s="31">
        <f>'Summary by Site'!$O$81</f>
        <v>0</v>
      </c>
    </row>
    <row r="950" spans="1:4" x14ac:dyDescent="0.25">
      <c r="A950" s="28" t="s">
        <v>20</v>
      </c>
      <c r="B950" s="25" t="s">
        <v>271</v>
      </c>
      <c r="C950" s="12" t="s">
        <v>275</v>
      </c>
      <c r="D950" s="31">
        <f>'Summary by Site'!$O$82</f>
        <v>0</v>
      </c>
    </row>
    <row r="951" spans="1:4" x14ac:dyDescent="0.25">
      <c r="A951" s="29" t="s">
        <v>20</v>
      </c>
      <c r="B951" s="33" t="s">
        <v>271</v>
      </c>
      <c r="C951" s="14" t="s">
        <v>276</v>
      </c>
      <c r="D951" s="32">
        <f>'Summary by Site'!$O$83</f>
        <v>1</v>
      </c>
    </row>
    <row r="952" spans="1:4" x14ac:dyDescent="0.25">
      <c r="A952" s="28" t="s">
        <v>20</v>
      </c>
      <c r="B952" s="25" t="s">
        <v>271</v>
      </c>
      <c r="C952" s="12" t="s">
        <v>277</v>
      </c>
      <c r="D952" s="31">
        <f>'Summary by Site'!$O$84</f>
        <v>2234</v>
      </c>
    </row>
    <row r="953" spans="1:4" x14ac:dyDescent="0.25">
      <c r="A953" s="28" t="s">
        <v>20</v>
      </c>
      <c r="B953" s="25" t="s">
        <v>271</v>
      </c>
      <c r="C953" s="12" t="s">
        <v>278</v>
      </c>
      <c r="D953" s="31">
        <f>'Summary by Site'!$O$85</f>
        <v>233</v>
      </c>
    </row>
    <row r="954" spans="1:4" x14ac:dyDescent="0.25">
      <c r="A954" s="28" t="s">
        <v>20</v>
      </c>
      <c r="B954" s="25" t="s">
        <v>271</v>
      </c>
      <c r="C954" s="12" t="s">
        <v>279</v>
      </c>
      <c r="D954" s="31">
        <f>'Summary by Site'!$O$86</f>
        <v>0</v>
      </c>
    </row>
    <row r="955" spans="1:4" x14ac:dyDescent="0.25">
      <c r="A955" s="28" t="s">
        <v>20</v>
      </c>
      <c r="B955" s="25" t="s">
        <v>271</v>
      </c>
      <c r="C955" s="12" t="s">
        <v>280</v>
      </c>
      <c r="D955" s="31">
        <f>'Summary by Site'!$O$87</f>
        <v>8</v>
      </c>
    </row>
    <row r="956" spans="1:4" x14ac:dyDescent="0.25">
      <c r="A956" s="28" t="s">
        <v>20</v>
      </c>
      <c r="B956" s="25" t="s">
        <v>271</v>
      </c>
      <c r="C956" s="12" t="s">
        <v>281</v>
      </c>
      <c r="D956" s="31">
        <f>'Summary by Site'!$O$88</f>
        <v>1120</v>
      </c>
    </row>
    <row r="957" spans="1:4" x14ac:dyDescent="0.25">
      <c r="A957" s="28" t="s">
        <v>20</v>
      </c>
      <c r="B957" s="25" t="s">
        <v>271</v>
      </c>
      <c r="C957" s="12" t="s">
        <v>282</v>
      </c>
      <c r="D957" s="31">
        <f>'Summary by Site'!$O$89</f>
        <v>11</v>
      </c>
    </row>
    <row r="958" spans="1:4" x14ac:dyDescent="0.25">
      <c r="A958" s="28" t="s">
        <v>20</v>
      </c>
      <c r="B958" s="25" t="s">
        <v>271</v>
      </c>
      <c r="C958" s="12" t="s">
        <v>283</v>
      </c>
      <c r="D958" s="31">
        <f>'Summary by Site'!$O$90</f>
        <v>850</v>
      </c>
    </row>
    <row r="959" spans="1:4" x14ac:dyDescent="0.25">
      <c r="A959" s="28" t="s">
        <v>20</v>
      </c>
      <c r="B959" s="25" t="s">
        <v>271</v>
      </c>
      <c r="C959" s="12" t="s">
        <v>284</v>
      </c>
      <c r="D959" s="31">
        <f>'Summary by Site'!$O$91</f>
        <v>12</v>
      </c>
    </row>
    <row r="960" spans="1:4" x14ac:dyDescent="0.25">
      <c r="A960" s="29" t="s">
        <v>20</v>
      </c>
      <c r="B960" s="33" t="s">
        <v>271</v>
      </c>
      <c r="C960" s="14" t="s">
        <v>285</v>
      </c>
      <c r="D960" s="32">
        <f>'Summary by Site'!$O$92</f>
        <v>0.99149507609668752</v>
      </c>
    </row>
    <row r="961" spans="1:4" x14ac:dyDescent="0.25">
      <c r="A961" s="29" t="s">
        <v>20</v>
      </c>
      <c r="B961" s="33" t="s">
        <v>271</v>
      </c>
      <c r="C961" s="14" t="s">
        <v>286</v>
      </c>
      <c r="D961" s="32">
        <f>'Summary by Site'!$O$93</f>
        <v>0.99200673117374838</v>
      </c>
    </row>
    <row r="962" spans="1:4" x14ac:dyDescent="0.25">
      <c r="A962" s="27" t="s">
        <v>53</v>
      </c>
      <c r="B962" s="24" t="s">
        <v>52</v>
      </c>
      <c r="C962" s="21" t="s">
        <v>272</v>
      </c>
      <c r="D962" s="30">
        <f>'Summary by Site'!$Q$96</f>
        <v>224</v>
      </c>
    </row>
    <row r="963" spans="1:4" x14ac:dyDescent="0.25">
      <c r="A963" s="28" t="s">
        <v>53</v>
      </c>
      <c r="B963" s="25" t="s">
        <v>52</v>
      </c>
      <c r="C963" s="12" t="s">
        <v>0</v>
      </c>
      <c r="D963" s="31">
        <f>'Summary by Site'!$Q$97</f>
        <v>224</v>
      </c>
    </row>
    <row r="964" spans="1:4" x14ac:dyDescent="0.25">
      <c r="A964" s="28" t="s">
        <v>53</v>
      </c>
      <c r="B964" s="25" t="s">
        <v>52</v>
      </c>
      <c r="C964" s="12" t="s">
        <v>273</v>
      </c>
      <c r="D964" s="31">
        <f>'Summary by Site'!$Q$98</f>
        <v>0</v>
      </c>
    </row>
    <row r="965" spans="1:4" x14ac:dyDescent="0.25">
      <c r="A965" s="28" t="s">
        <v>53</v>
      </c>
      <c r="B965" s="25" t="s">
        <v>52</v>
      </c>
      <c r="C965" s="12" t="s">
        <v>274</v>
      </c>
      <c r="D965" s="31">
        <f>'Summary by Site'!$Q$99</f>
        <v>0</v>
      </c>
    </row>
    <row r="966" spans="1:4" x14ac:dyDescent="0.25">
      <c r="A966" s="28" t="s">
        <v>53</v>
      </c>
      <c r="B966" s="25" t="s">
        <v>52</v>
      </c>
      <c r="C966" s="12" t="s">
        <v>275</v>
      </c>
      <c r="D966" s="31">
        <f>'Summary by Site'!$Q$100</f>
        <v>0</v>
      </c>
    </row>
    <row r="967" spans="1:4" x14ac:dyDescent="0.25">
      <c r="A967" s="29" t="s">
        <v>53</v>
      </c>
      <c r="B967" s="33" t="s">
        <v>52</v>
      </c>
      <c r="C967" s="14" t="s">
        <v>276</v>
      </c>
      <c r="D967" s="32">
        <f>'Summary by Site'!$Q$101</f>
        <v>1</v>
      </c>
    </row>
    <row r="968" spans="1:4" x14ac:dyDescent="0.25">
      <c r="A968" s="28" t="s">
        <v>53</v>
      </c>
      <c r="B968" s="25" t="s">
        <v>52</v>
      </c>
      <c r="C968" s="12" t="s">
        <v>277</v>
      </c>
      <c r="D968" s="31">
        <f>'Summary by Site'!$Q$102</f>
        <v>3723</v>
      </c>
    </row>
    <row r="969" spans="1:4" x14ac:dyDescent="0.25">
      <c r="A969" s="28" t="s">
        <v>53</v>
      </c>
      <c r="B969" s="25" t="s">
        <v>52</v>
      </c>
      <c r="C969" s="12" t="s">
        <v>278</v>
      </c>
      <c r="D969" s="31">
        <f>'Summary by Site'!$Q$103</f>
        <v>489</v>
      </c>
    </row>
    <row r="970" spans="1:4" x14ac:dyDescent="0.25">
      <c r="A970" s="28" t="s">
        <v>53</v>
      </c>
      <c r="B970" s="25" t="s">
        <v>52</v>
      </c>
      <c r="C970" s="12" t="s">
        <v>279</v>
      </c>
      <c r="D970" s="31">
        <f>'Summary by Site'!$Q$104</f>
        <v>0</v>
      </c>
    </row>
    <row r="971" spans="1:4" x14ac:dyDescent="0.25">
      <c r="A971" s="28" t="s">
        <v>53</v>
      </c>
      <c r="B971" s="25" t="s">
        <v>52</v>
      </c>
      <c r="C971" s="12" t="s">
        <v>280</v>
      </c>
      <c r="D971" s="31">
        <f>'Summary by Site'!$Q$105</f>
        <v>5</v>
      </c>
    </row>
    <row r="972" spans="1:4" x14ac:dyDescent="0.25">
      <c r="A972" s="28" t="s">
        <v>53</v>
      </c>
      <c r="B972" s="25" t="s">
        <v>52</v>
      </c>
      <c r="C972" s="12" t="s">
        <v>281</v>
      </c>
      <c r="D972" s="31">
        <f>'Summary by Site'!$Q$106</f>
        <v>2082</v>
      </c>
    </row>
    <row r="973" spans="1:4" x14ac:dyDescent="0.25">
      <c r="A973" s="28" t="s">
        <v>53</v>
      </c>
      <c r="B973" s="25" t="s">
        <v>52</v>
      </c>
      <c r="C973" s="12" t="s">
        <v>282</v>
      </c>
      <c r="D973" s="31">
        <f>'Summary by Site'!$Q$107</f>
        <v>17</v>
      </c>
    </row>
    <row r="974" spans="1:4" x14ac:dyDescent="0.25">
      <c r="A974" s="28" t="s">
        <v>53</v>
      </c>
      <c r="B974" s="25" t="s">
        <v>52</v>
      </c>
      <c r="C974" s="12" t="s">
        <v>283</v>
      </c>
      <c r="D974" s="31">
        <f>'Summary by Site'!$Q$108</f>
        <v>1111</v>
      </c>
    </row>
    <row r="975" spans="1:4" x14ac:dyDescent="0.25">
      <c r="A975" s="28" t="s">
        <v>53</v>
      </c>
      <c r="B975" s="25" t="s">
        <v>52</v>
      </c>
      <c r="C975" s="12" t="s">
        <v>284</v>
      </c>
      <c r="D975" s="31">
        <f>'Summary by Site'!$Q$109</f>
        <v>19</v>
      </c>
    </row>
    <row r="976" spans="1:4" x14ac:dyDescent="0.25">
      <c r="A976" s="29" t="s">
        <v>53</v>
      </c>
      <c r="B976" s="33" t="s">
        <v>52</v>
      </c>
      <c r="C976" s="14" t="s">
        <v>285</v>
      </c>
      <c r="D976" s="32">
        <f>'Summary by Site'!$Q$110</f>
        <v>0.99409078699973141</v>
      </c>
    </row>
    <row r="977" spans="1:4" x14ac:dyDescent="0.25">
      <c r="A977" s="29" t="s">
        <v>53</v>
      </c>
      <c r="B977" s="33" t="s">
        <v>52</v>
      </c>
      <c r="C977" s="14" t="s">
        <v>286</v>
      </c>
      <c r="D977" s="32">
        <f>'Summary by Site'!$Q$111</f>
        <v>0.99442614644033445</v>
      </c>
    </row>
    <row r="978" spans="1:4" x14ac:dyDescent="0.25">
      <c r="A978" s="27" t="s">
        <v>53</v>
      </c>
      <c r="B978" s="24" t="s">
        <v>54</v>
      </c>
      <c r="C978" s="21" t="s">
        <v>272</v>
      </c>
      <c r="D978" s="30">
        <f>'Summary by Site'!$R$96</f>
        <v>187</v>
      </c>
    </row>
    <row r="979" spans="1:4" x14ac:dyDescent="0.25">
      <c r="A979" s="28" t="s">
        <v>53</v>
      </c>
      <c r="B979" s="25" t="s">
        <v>54</v>
      </c>
      <c r="C979" s="12" t="s">
        <v>0</v>
      </c>
      <c r="D979" s="31">
        <f>'Summary by Site'!$R$97</f>
        <v>187</v>
      </c>
    </row>
    <row r="980" spans="1:4" x14ac:dyDescent="0.25">
      <c r="A980" s="28" t="s">
        <v>53</v>
      </c>
      <c r="B980" s="25" t="s">
        <v>54</v>
      </c>
      <c r="C980" s="12" t="s">
        <v>273</v>
      </c>
      <c r="D980" s="31">
        <f>'Summary by Site'!$R$98</f>
        <v>0</v>
      </c>
    </row>
    <row r="981" spans="1:4" x14ac:dyDescent="0.25">
      <c r="A981" s="28" t="s">
        <v>53</v>
      </c>
      <c r="B981" s="25" t="s">
        <v>54</v>
      </c>
      <c r="C981" s="12" t="s">
        <v>274</v>
      </c>
      <c r="D981" s="31">
        <f>'Summary by Site'!$R$99</f>
        <v>0</v>
      </c>
    </row>
    <row r="982" spans="1:4" x14ac:dyDescent="0.25">
      <c r="A982" s="28" t="s">
        <v>53</v>
      </c>
      <c r="B982" s="25" t="s">
        <v>54</v>
      </c>
      <c r="C982" s="12" t="s">
        <v>275</v>
      </c>
      <c r="D982" s="31">
        <f>'Summary by Site'!$R$100</f>
        <v>0</v>
      </c>
    </row>
    <row r="983" spans="1:4" x14ac:dyDescent="0.25">
      <c r="A983" s="29" t="s">
        <v>53</v>
      </c>
      <c r="B983" s="33" t="s">
        <v>54</v>
      </c>
      <c r="C983" s="14" t="s">
        <v>276</v>
      </c>
      <c r="D983" s="32">
        <f>'Summary by Site'!$R$101</f>
        <v>1</v>
      </c>
    </row>
    <row r="984" spans="1:4" x14ac:dyDescent="0.25">
      <c r="A984" s="28" t="s">
        <v>53</v>
      </c>
      <c r="B984" s="25" t="s">
        <v>54</v>
      </c>
      <c r="C984" s="12" t="s">
        <v>277</v>
      </c>
      <c r="D984" s="31">
        <f>'Summary by Site'!$R$102</f>
        <v>3515</v>
      </c>
    </row>
    <row r="985" spans="1:4" x14ac:dyDescent="0.25">
      <c r="A985" s="28" t="s">
        <v>53</v>
      </c>
      <c r="B985" s="25" t="s">
        <v>54</v>
      </c>
      <c r="C985" s="12" t="s">
        <v>278</v>
      </c>
      <c r="D985" s="31">
        <f>'Summary by Site'!$R$103</f>
        <v>412</v>
      </c>
    </row>
    <row r="986" spans="1:4" x14ac:dyDescent="0.25">
      <c r="A986" s="28" t="s">
        <v>53</v>
      </c>
      <c r="B986" s="25" t="s">
        <v>54</v>
      </c>
      <c r="C986" s="12" t="s">
        <v>279</v>
      </c>
      <c r="D986" s="31">
        <f>'Summary by Site'!$R$104</f>
        <v>0</v>
      </c>
    </row>
    <row r="987" spans="1:4" x14ac:dyDescent="0.25">
      <c r="A987" s="28" t="s">
        <v>53</v>
      </c>
      <c r="B987" s="25" t="s">
        <v>54</v>
      </c>
      <c r="C987" s="12" t="s">
        <v>280</v>
      </c>
      <c r="D987" s="31">
        <f>'Summary by Site'!$R$105</f>
        <v>7</v>
      </c>
    </row>
    <row r="988" spans="1:4" x14ac:dyDescent="0.25">
      <c r="A988" s="28" t="s">
        <v>53</v>
      </c>
      <c r="B988" s="25" t="s">
        <v>54</v>
      </c>
      <c r="C988" s="12" t="s">
        <v>281</v>
      </c>
      <c r="D988" s="31">
        <f>'Summary by Site'!$R$106</f>
        <v>2021</v>
      </c>
    </row>
    <row r="989" spans="1:4" x14ac:dyDescent="0.25">
      <c r="A989" s="28" t="s">
        <v>53</v>
      </c>
      <c r="B989" s="25" t="s">
        <v>54</v>
      </c>
      <c r="C989" s="12" t="s">
        <v>282</v>
      </c>
      <c r="D989" s="31">
        <f>'Summary by Site'!$R$107</f>
        <v>18</v>
      </c>
    </row>
    <row r="990" spans="1:4" x14ac:dyDescent="0.25">
      <c r="A990" s="28" t="s">
        <v>53</v>
      </c>
      <c r="B990" s="25" t="s">
        <v>54</v>
      </c>
      <c r="C990" s="12" t="s">
        <v>283</v>
      </c>
      <c r="D990" s="31">
        <f>'Summary by Site'!$R$108</f>
        <v>1051</v>
      </c>
    </row>
    <row r="991" spans="1:4" x14ac:dyDescent="0.25">
      <c r="A991" s="28" t="s">
        <v>53</v>
      </c>
      <c r="B991" s="25" t="s">
        <v>54</v>
      </c>
      <c r="C991" s="12" t="s">
        <v>284</v>
      </c>
      <c r="D991" s="31">
        <f>'Summary by Site'!$R$109</f>
        <v>6</v>
      </c>
    </row>
    <row r="992" spans="1:4" x14ac:dyDescent="0.25">
      <c r="A992" s="29" t="s">
        <v>53</v>
      </c>
      <c r="B992" s="33" t="s">
        <v>54</v>
      </c>
      <c r="C992" s="14" t="s">
        <v>285</v>
      </c>
      <c r="D992" s="32">
        <f>'Summary by Site'!$R$110</f>
        <v>0.99288762446657186</v>
      </c>
    </row>
    <row r="993" spans="1:4" x14ac:dyDescent="0.25">
      <c r="A993" s="29" t="s">
        <v>53</v>
      </c>
      <c r="B993" s="33" t="s">
        <v>54</v>
      </c>
      <c r="C993" s="14" t="s">
        <v>286</v>
      </c>
      <c r="D993" s="32">
        <f>'Summary by Site'!$R$111</f>
        <v>0.99324689357104268</v>
      </c>
    </row>
    <row r="994" spans="1:4" x14ac:dyDescent="0.25">
      <c r="A994" s="27" t="s">
        <v>53</v>
      </c>
      <c r="B994" s="24" t="s">
        <v>56</v>
      </c>
      <c r="C994" s="21" t="s">
        <v>272</v>
      </c>
      <c r="D994" s="30">
        <f>'Summary by Site'!$S$96</f>
        <v>217</v>
      </c>
    </row>
    <row r="995" spans="1:4" x14ac:dyDescent="0.25">
      <c r="A995" s="28" t="s">
        <v>53</v>
      </c>
      <c r="B995" s="25" t="s">
        <v>56</v>
      </c>
      <c r="C995" s="12" t="s">
        <v>0</v>
      </c>
      <c r="D995" s="31">
        <f>'Summary by Site'!$S$97</f>
        <v>217</v>
      </c>
    </row>
    <row r="996" spans="1:4" x14ac:dyDescent="0.25">
      <c r="A996" s="28" t="s">
        <v>53</v>
      </c>
      <c r="B996" s="25" t="s">
        <v>56</v>
      </c>
      <c r="C996" s="12" t="s">
        <v>273</v>
      </c>
      <c r="D996" s="31">
        <f>'Summary by Site'!$S$98</f>
        <v>0</v>
      </c>
    </row>
    <row r="997" spans="1:4" x14ac:dyDescent="0.25">
      <c r="A997" s="28" t="s">
        <v>53</v>
      </c>
      <c r="B997" s="25" t="s">
        <v>56</v>
      </c>
      <c r="C997" s="12" t="s">
        <v>274</v>
      </c>
      <c r="D997" s="31">
        <f>'Summary by Site'!$S$99</f>
        <v>0</v>
      </c>
    </row>
    <row r="998" spans="1:4" x14ac:dyDescent="0.25">
      <c r="A998" s="28" t="s">
        <v>53</v>
      </c>
      <c r="B998" s="25" t="s">
        <v>56</v>
      </c>
      <c r="C998" s="12" t="s">
        <v>275</v>
      </c>
      <c r="D998" s="31">
        <f>'Summary by Site'!$S$100</f>
        <v>0</v>
      </c>
    </row>
    <row r="999" spans="1:4" x14ac:dyDescent="0.25">
      <c r="A999" s="29" t="s">
        <v>53</v>
      </c>
      <c r="B999" s="33" t="s">
        <v>56</v>
      </c>
      <c r="C999" s="14" t="s">
        <v>276</v>
      </c>
      <c r="D999" s="32">
        <f>'Summary by Site'!$S$101</f>
        <v>1</v>
      </c>
    </row>
    <row r="1000" spans="1:4" x14ac:dyDescent="0.25">
      <c r="A1000" s="28" t="s">
        <v>53</v>
      </c>
      <c r="B1000" s="25" t="s">
        <v>56</v>
      </c>
      <c r="C1000" s="12" t="s">
        <v>277</v>
      </c>
      <c r="D1000" s="31">
        <f>'Summary by Site'!$S$102</f>
        <v>3688</v>
      </c>
    </row>
    <row r="1001" spans="1:4" x14ac:dyDescent="0.25">
      <c r="A1001" s="28" t="s">
        <v>53</v>
      </c>
      <c r="B1001" s="25" t="s">
        <v>56</v>
      </c>
      <c r="C1001" s="12" t="s">
        <v>278</v>
      </c>
      <c r="D1001" s="31">
        <f>'Summary by Site'!$S$103</f>
        <v>474</v>
      </c>
    </row>
    <row r="1002" spans="1:4" x14ac:dyDescent="0.25">
      <c r="A1002" s="28" t="s">
        <v>53</v>
      </c>
      <c r="B1002" s="25" t="s">
        <v>56</v>
      </c>
      <c r="C1002" s="12" t="s">
        <v>279</v>
      </c>
      <c r="D1002" s="31">
        <f>'Summary by Site'!$S$104</f>
        <v>0</v>
      </c>
    </row>
    <row r="1003" spans="1:4" x14ac:dyDescent="0.25">
      <c r="A1003" s="28" t="s">
        <v>53</v>
      </c>
      <c r="B1003" s="25" t="s">
        <v>56</v>
      </c>
      <c r="C1003" s="12" t="s">
        <v>280</v>
      </c>
      <c r="D1003" s="31">
        <f>'Summary by Site'!$S$105</f>
        <v>3</v>
      </c>
    </row>
    <row r="1004" spans="1:4" x14ac:dyDescent="0.25">
      <c r="A1004" s="28" t="s">
        <v>53</v>
      </c>
      <c r="B1004" s="25" t="s">
        <v>56</v>
      </c>
      <c r="C1004" s="12" t="s">
        <v>281</v>
      </c>
      <c r="D1004" s="31">
        <f>'Summary by Site'!$S$106</f>
        <v>2170</v>
      </c>
    </row>
    <row r="1005" spans="1:4" x14ac:dyDescent="0.25">
      <c r="A1005" s="28" t="s">
        <v>53</v>
      </c>
      <c r="B1005" s="25" t="s">
        <v>56</v>
      </c>
      <c r="C1005" s="12" t="s">
        <v>282</v>
      </c>
      <c r="D1005" s="31">
        <f>'Summary by Site'!$S$107</f>
        <v>4</v>
      </c>
    </row>
    <row r="1006" spans="1:4" x14ac:dyDescent="0.25">
      <c r="A1006" s="28" t="s">
        <v>53</v>
      </c>
      <c r="B1006" s="25" t="s">
        <v>56</v>
      </c>
      <c r="C1006" s="12" t="s">
        <v>283</v>
      </c>
      <c r="D1006" s="31">
        <f>'Summary by Site'!$S$108</f>
        <v>1029</v>
      </c>
    </row>
    <row r="1007" spans="1:4" x14ac:dyDescent="0.25">
      <c r="A1007" s="28" t="s">
        <v>53</v>
      </c>
      <c r="B1007" s="25" t="s">
        <v>56</v>
      </c>
      <c r="C1007" s="12" t="s">
        <v>284</v>
      </c>
      <c r="D1007" s="31">
        <f>'Summary by Site'!$S$109</f>
        <v>8</v>
      </c>
    </row>
    <row r="1008" spans="1:4" x14ac:dyDescent="0.25">
      <c r="A1008" s="29" t="s">
        <v>53</v>
      </c>
      <c r="B1008" s="33" t="s">
        <v>56</v>
      </c>
      <c r="C1008" s="14" t="s">
        <v>285</v>
      </c>
      <c r="D1008" s="32">
        <f>'Summary by Site'!$S$110</f>
        <v>0.9981019522776573</v>
      </c>
    </row>
    <row r="1009" spans="1:4" x14ac:dyDescent="0.25">
      <c r="A1009" s="29" t="s">
        <v>53</v>
      </c>
      <c r="B1009" s="33" t="s">
        <v>56</v>
      </c>
      <c r="C1009" s="14" t="s">
        <v>286</v>
      </c>
      <c r="D1009" s="32">
        <f>'Summary by Site'!$S$111</f>
        <v>0.99820742637644044</v>
      </c>
    </row>
    <row r="1010" spans="1:4" x14ac:dyDescent="0.25">
      <c r="A1010" s="27" t="s">
        <v>53</v>
      </c>
      <c r="B1010" s="24" t="s">
        <v>287</v>
      </c>
      <c r="C1010" s="21" t="s">
        <v>272</v>
      </c>
      <c r="D1010" s="30">
        <f>'Summary by Site'!$T$96</f>
        <v>179</v>
      </c>
    </row>
    <row r="1011" spans="1:4" x14ac:dyDescent="0.25">
      <c r="A1011" s="28" t="s">
        <v>53</v>
      </c>
      <c r="B1011" s="25" t="s">
        <v>287</v>
      </c>
      <c r="C1011" s="12" t="s">
        <v>0</v>
      </c>
      <c r="D1011" s="31">
        <f>'Summary by Site'!$T$97</f>
        <v>179</v>
      </c>
    </row>
    <row r="1012" spans="1:4" x14ac:dyDescent="0.25">
      <c r="A1012" s="28" t="s">
        <v>53</v>
      </c>
      <c r="B1012" s="25" t="s">
        <v>287</v>
      </c>
      <c r="C1012" s="12" t="s">
        <v>273</v>
      </c>
      <c r="D1012" s="31">
        <f>'Summary by Site'!$T$98</f>
        <v>0</v>
      </c>
    </row>
    <row r="1013" spans="1:4" x14ac:dyDescent="0.25">
      <c r="A1013" s="28" t="s">
        <v>53</v>
      </c>
      <c r="B1013" s="25" t="s">
        <v>287</v>
      </c>
      <c r="C1013" s="12" t="s">
        <v>274</v>
      </c>
      <c r="D1013" s="31">
        <f>'Summary by Site'!$T$99</f>
        <v>0</v>
      </c>
    </row>
    <row r="1014" spans="1:4" x14ac:dyDescent="0.25">
      <c r="A1014" s="28" t="s">
        <v>53</v>
      </c>
      <c r="B1014" s="25" t="s">
        <v>287</v>
      </c>
      <c r="C1014" s="12" t="s">
        <v>275</v>
      </c>
      <c r="D1014" s="31">
        <f>'Summary by Site'!$T$100</f>
        <v>0</v>
      </c>
    </row>
    <row r="1015" spans="1:4" x14ac:dyDescent="0.25">
      <c r="A1015" s="29" t="s">
        <v>53</v>
      </c>
      <c r="B1015" s="33" t="s">
        <v>287</v>
      </c>
      <c r="C1015" s="14" t="s">
        <v>276</v>
      </c>
      <c r="D1015" s="32">
        <f>'Summary by Site'!$T$101</f>
        <v>1</v>
      </c>
    </row>
    <row r="1016" spans="1:4" x14ac:dyDescent="0.25">
      <c r="A1016" s="28" t="s">
        <v>53</v>
      </c>
      <c r="B1016" s="25" t="s">
        <v>287</v>
      </c>
      <c r="C1016" s="12" t="s">
        <v>277</v>
      </c>
      <c r="D1016" s="31">
        <f>'Summary by Site'!$T$102</f>
        <v>3218</v>
      </c>
    </row>
    <row r="1017" spans="1:4" x14ac:dyDescent="0.25">
      <c r="A1017" s="28" t="s">
        <v>53</v>
      </c>
      <c r="B1017" s="25" t="s">
        <v>287</v>
      </c>
      <c r="C1017" s="12" t="s">
        <v>278</v>
      </c>
      <c r="D1017" s="31">
        <f>'Summary by Site'!$T$103</f>
        <v>426</v>
      </c>
    </row>
    <row r="1018" spans="1:4" x14ac:dyDescent="0.25">
      <c r="A1018" s="28" t="s">
        <v>53</v>
      </c>
      <c r="B1018" s="25" t="s">
        <v>287</v>
      </c>
      <c r="C1018" s="12" t="s">
        <v>279</v>
      </c>
      <c r="D1018" s="31">
        <f>'Summary by Site'!$T$104</f>
        <v>0</v>
      </c>
    </row>
    <row r="1019" spans="1:4" x14ac:dyDescent="0.25">
      <c r="A1019" s="28" t="s">
        <v>53</v>
      </c>
      <c r="B1019" s="25" t="s">
        <v>287</v>
      </c>
      <c r="C1019" s="12" t="s">
        <v>280</v>
      </c>
      <c r="D1019" s="31">
        <f>'Summary by Site'!$T$105</f>
        <v>5</v>
      </c>
    </row>
    <row r="1020" spans="1:4" x14ac:dyDescent="0.25">
      <c r="A1020" s="28" t="s">
        <v>53</v>
      </c>
      <c r="B1020" s="25" t="s">
        <v>287</v>
      </c>
      <c r="C1020" s="12" t="s">
        <v>281</v>
      </c>
      <c r="D1020" s="31">
        <f>'Summary by Site'!$T$106</f>
        <v>1861</v>
      </c>
    </row>
    <row r="1021" spans="1:4" x14ac:dyDescent="0.25">
      <c r="A1021" s="28" t="s">
        <v>53</v>
      </c>
      <c r="B1021" s="25" t="s">
        <v>287</v>
      </c>
      <c r="C1021" s="12" t="s">
        <v>282</v>
      </c>
      <c r="D1021" s="31">
        <f>'Summary by Site'!$T$107</f>
        <v>3</v>
      </c>
    </row>
    <row r="1022" spans="1:4" x14ac:dyDescent="0.25">
      <c r="A1022" s="28" t="s">
        <v>53</v>
      </c>
      <c r="B1022" s="25" t="s">
        <v>287</v>
      </c>
      <c r="C1022" s="12" t="s">
        <v>283</v>
      </c>
      <c r="D1022" s="31">
        <f>'Summary by Site'!$T$108</f>
        <v>910</v>
      </c>
    </row>
    <row r="1023" spans="1:4" x14ac:dyDescent="0.25">
      <c r="A1023" s="28" t="s">
        <v>53</v>
      </c>
      <c r="B1023" s="25" t="s">
        <v>287</v>
      </c>
      <c r="C1023" s="12" t="s">
        <v>284</v>
      </c>
      <c r="D1023" s="31">
        <f>'Summary by Site'!$T$109</f>
        <v>13</v>
      </c>
    </row>
    <row r="1024" spans="1:4" x14ac:dyDescent="0.25">
      <c r="A1024" s="29" t="s">
        <v>53</v>
      </c>
      <c r="B1024" s="33" t="s">
        <v>287</v>
      </c>
      <c r="C1024" s="14" t="s">
        <v>285</v>
      </c>
      <c r="D1024" s="32">
        <f>'Summary by Site'!$T$110</f>
        <v>0.99751398384089496</v>
      </c>
    </row>
    <row r="1025" spans="1:4" x14ac:dyDescent="0.25">
      <c r="A1025" s="29" t="s">
        <v>53</v>
      </c>
      <c r="B1025" s="33" t="s">
        <v>287</v>
      </c>
      <c r="C1025" s="14" t="s">
        <v>286</v>
      </c>
      <c r="D1025" s="32">
        <f>'Summary by Site'!$T$111</f>
        <v>0.99764498086546949</v>
      </c>
    </row>
    <row r="1026" spans="1:4" x14ac:dyDescent="0.25">
      <c r="A1026" s="27" t="s">
        <v>21</v>
      </c>
      <c r="B1026" s="24" t="s">
        <v>19</v>
      </c>
      <c r="C1026" s="21" t="s">
        <v>272</v>
      </c>
      <c r="D1026" s="30">
        <f>'Summary by Site'!$D$114</f>
        <v>130</v>
      </c>
    </row>
    <row r="1027" spans="1:4" x14ac:dyDescent="0.25">
      <c r="A1027" s="28" t="s">
        <v>21</v>
      </c>
      <c r="B1027" s="25" t="s">
        <v>19</v>
      </c>
      <c r="C1027" s="12" t="s">
        <v>0</v>
      </c>
      <c r="D1027" s="31">
        <f>'Summary by Site'!$D$115</f>
        <v>130</v>
      </c>
    </row>
    <row r="1028" spans="1:4" x14ac:dyDescent="0.25">
      <c r="A1028" s="28" t="s">
        <v>21</v>
      </c>
      <c r="B1028" s="25" t="s">
        <v>19</v>
      </c>
      <c r="C1028" s="12" t="s">
        <v>273</v>
      </c>
      <c r="D1028" s="31">
        <f>'Summary by Site'!$D$116</f>
        <v>0</v>
      </c>
    </row>
    <row r="1029" spans="1:4" x14ac:dyDescent="0.25">
      <c r="A1029" s="28" t="s">
        <v>21</v>
      </c>
      <c r="B1029" s="25" t="s">
        <v>19</v>
      </c>
      <c r="C1029" s="12" t="s">
        <v>274</v>
      </c>
      <c r="D1029" s="31">
        <f>'Summary by Site'!$D$117</f>
        <v>0</v>
      </c>
    </row>
    <row r="1030" spans="1:4" x14ac:dyDescent="0.25">
      <c r="A1030" s="28" t="s">
        <v>21</v>
      </c>
      <c r="B1030" s="25" t="s">
        <v>19</v>
      </c>
      <c r="C1030" s="12" t="s">
        <v>275</v>
      </c>
      <c r="D1030" s="31">
        <f>'Summary by Site'!$D$118</f>
        <v>0</v>
      </c>
    </row>
    <row r="1031" spans="1:4" x14ac:dyDescent="0.25">
      <c r="A1031" s="29" t="s">
        <v>21</v>
      </c>
      <c r="B1031" s="26" t="s">
        <v>19</v>
      </c>
      <c r="C1031" s="14" t="s">
        <v>276</v>
      </c>
      <c r="D1031" s="32">
        <f>'Summary by Site'!$D$119</f>
        <v>1</v>
      </c>
    </row>
    <row r="1032" spans="1:4" x14ac:dyDescent="0.25">
      <c r="A1032" s="28" t="s">
        <v>21</v>
      </c>
      <c r="B1032" s="25" t="s">
        <v>19</v>
      </c>
      <c r="C1032" s="12" t="s">
        <v>277</v>
      </c>
      <c r="D1032" s="31">
        <f>'Summary by Site'!$D$120</f>
        <v>2272</v>
      </c>
    </row>
    <row r="1033" spans="1:4" x14ac:dyDescent="0.25">
      <c r="A1033" s="28" t="s">
        <v>21</v>
      </c>
      <c r="B1033" s="25" t="s">
        <v>19</v>
      </c>
      <c r="C1033" s="12" t="s">
        <v>278</v>
      </c>
      <c r="D1033" s="31">
        <f>'Summary by Site'!$D$121</f>
        <v>380</v>
      </c>
    </row>
    <row r="1034" spans="1:4" x14ac:dyDescent="0.25">
      <c r="A1034" s="28" t="s">
        <v>21</v>
      </c>
      <c r="B1034" s="25" t="s">
        <v>19</v>
      </c>
      <c r="C1034" s="12" t="s">
        <v>279</v>
      </c>
      <c r="D1034" s="31">
        <f>'Summary by Site'!$D$122</f>
        <v>92</v>
      </c>
    </row>
    <row r="1035" spans="1:4" x14ac:dyDescent="0.25">
      <c r="A1035" s="28" t="s">
        <v>21</v>
      </c>
      <c r="B1035" s="25" t="s">
        <v>19</v>
      </c>
      <c r="C1035" s="12" t="s">
        <v>280</v>
      </c>
      <c r="D1035" s="31">
        <f>'Summary by Site'!$D$123</f>
        <v>0</v>
      </c>
    </row>
    <row r="1036" spans="1:4" x14ac:dyDescent="0.25">
      <c r="A1036" s="28" t="s">
        <v>21</v>
      </c>
      <c r="B1036" s="25" t="s">
        <v>19</v>
      </c>
      <c r="C1036" s="12" t="s">
        <v>281</v>
      </c>
      <c r="D1036" s="31">
        <f>'Summary by Site'!$D$124</f>
        <v>1770</v>
      </c>
    </row>
    <row r="1037" spans="1:4" x14ac:dyDescent="0.25">
      <c r="A1037" s="28" t="s">
        <v>21</v>
      </c>
      <c r="B1037" s="25" t="s">
        <v>19</v>
      </c>
      <c r="C1037" s="12" t="s">
        <v>282</v>
      </c>
      <c r="D1037" s="31">
        <f>'Summary by Site'!$D$125</f>
        <v>30</v>
      </c>
    </row>
    <row r="1038" spans="1:4" x14ac:dyDescent="0.25">
      <c r="A1038" s="28" t="s">
        <v>21</v>
      </c>
      <c r="B1038" s="25" t="s">
        <v>19</v>
      </c>
      <c r="C1038" s="12" t="s">
        <v>283</v>
      </c>
      <c r="D1038" s="31">
        <f>'Summary by Site'!$D$126</f>
        <v>0</v>
      </c>
    </row>
    <row r="1039" spans="1:4" x14ac:dyDescent="0.25">
      <c r="A1039" s="28" t="s">
        <v>21</v>
      </c>
      <c r="B1039" s="25" t="s">
        <v>19</v>
      </c>
      <c r="C1039" s="12" t="s">
        <v>284</v>
      </c>
      <c r="D1039" s="31">
        <f>'Summary by Site'!$D$127</f>
        <v>0</v>
      </c>
    </row>
    <row r="1040" spans="1:4" x14ac:dyDescent="0.25">
      <c r="A1040" s="29" t="s">
        <v>21</v>
      </c>
      <c r="B1040" s="26" t="s">
        <v>19</v>
      </c>
      <c r="C1040" s="14" t="s">
        <v>285</v>
      </c>
      <c r="D1040" s="32">
        <f>'Summary by Site'!$D$128</f>
        <v>0.98679577464788737</v>
      </c>
    </row>
    <row r="1041" spans="1:4" x14ac:dyDescent="0.25">
      <c r="A1041" s="29" t="s">
        <v>21</v>
      </c>
      <c r="B1041" s="26" t="s">
        <v>19</v>
      </c>
      <c r="C1041" s="14" t="s">
        <v>286</v>
      </c>
      <c r="D1041" s="32">
        <f>'Summary by Site'!$D$129</f>
        <v>0.98751040799333889</v>
      </c>
    </row>
    <row r="1042" spans="1:4" x14ac:dyDescent="0.25">
      <c r="A1042" s="27" t="s">
        <v>21</v>
      </c>
      <c r="B1042" s="24" t="s">
        <v>25</v>
      </c>
      <c r="C1042" s="21" t="s">
        <v>272</v>
      </c>
      <c r="D1042" s="30">
        <f>'Summary by Site'!$E$114</f>
        <v>169</v>
      </c>
    </row>
    <row r="1043" spans="1:4" x14ac:dyDescent="0.25">
      <c r="A1043" s="28" t="s">
        <v>21</v>
      </c>
      <c r="B1043" s="25" t="s">
        <v>25</v>
      </c>
      <c r="C1043" s="12" t="s">
        <v>0</v>
      </c>
      <c r="D1043" s="31">
        <f>'Summary by Site'!$E$115</f>
        <v>167</v>
      </c>
    </row>
    <row r="1044" spans="1:4" x14ac:dyDescent="0.25">
      <c r="A1044" s="28" t="s">
        <v>21</v>
      </c>
      <c r="B1044" s="25" t="s">
        <v>25</v>
      </c>
      <c r="C1044" s="12" t="s">
        <v>273</v>
      </c>
      <c r="D1044" s="31">
        <f>'Summary by Site'!$E$116</f>
        <v>0</v>
      </c>
    </row>
    <row r="1045" spans="1:4" x14ac:dyDescent="0.25">
      <c r="A1045" s="28" t="s">
        <v>21</v>
      </c>
      <c r="B1045" s="25" t="s">
        <v>25</v>
      </c>
      <c r="C1045" s="12" t="s">
        <v>274</v>
      </c>
      <c r="D1045" s="31">
        <f>'Summary by Site'!$E$117</f>
        <v>0</v>
      </c>
    </row>
    <row r="1046" spans="1:4" x14ac:dyDescent="0.25">
      <c r="A1046" s="28" t="s">
        <v>21</v>
      </c>
      <c r="B1046" s="25" t="s">
        <v>25</v>
      </c>
      <c r="C1046" s="12" t="s">
        <v>275</v>
      </c>
      <c r="D1046" s="31">
        <f>'Summary by Site'!$E$118</f>
        <v>2</v>
      </c>
    </row>
    <row r="1047" spans="1:4" x14ac:dyDescent="0.25">
      <c r="A1047" s="29" t="s">
        <v>21</v>
      </c>
      <c r="B1047" s="33" t="s">
        <v>25</v>
      </c>
      <c r="C1047" s="14" t="s">
        <v>276</v>
      </c>
      <c r="D1047" s="32">
        <f>'Summary by Site'!$E$119</f>
        <v>0.98816568047337283</v>
      </c>
    </row>
    <row r="1048" spans="1:4" x14ac:dyDescent="0.25">
      <c r="A1048" s="28" t="s">
        <v>21</v>
      </c>
      <c r="B1048" s="25" t="s">
        <v>25</v>
      </c>
      <c r="C1048" s="12" t="s">
        <v>277</v>
      </c>
      <c r="D1048" s="31">
        <f>'Summary by Site'!$E$120</f>
        <v>3346</v>
      </c>
    </row>
    <row r="1049" spans="1:4" x14ac:dyDescent="0.25">
      <c r="A1049" s="28" t="s">
        <v>21</v>
      </c>
      <c r="B1049" s="25" t="s">
        <v>25</v>
      </c>
      <c r="C1049" s="12" t="s">
        <v>278</v>
      </c>
      <c r="D1049" s="31">
        <f>'Summary by Site'!$E$121</f>
        <v>419</v>
      </c>
    </row>
    <row r="1050" spans="1:4" x14ac:dyDescent="0.25">
      <c r="A1050" s="28" t="s">
        <v>21</v>
      </c>
      <c r="B1050" s="25" t="s">
        <v>25</v>
      </c>
      <c r="C1050" s="12" t="s">
        <v>279</v>
      </c>
      <c r="D1050" s="31">
        <f>'Summary by Site'!$E$122</f>
        <v>0</v>
      </c>
    </row>
    <row r="1051" spans="1:4" x14ac:dyDescent="0.25">
      <c r="A1051" s="28" t="s">
        <v>21</v>
      </c>
      <c r="B1051" s="25" t="s">
        <v>25</v>
      </c>
      <c r="C1051" s="12" t="s">
        <v>280</v>
      </c>
      <c r="D1051" s="31">
        <f>'Summary by Site'!$E$123</f>
        <v>3</v>
      </c>
    </row>
    <row r="1052" spans="1:4" x14ac:dyDescent="0.25">
      <c r="A1052" s="28" t="s">
        <v>21</v>
      </c>
      <c r="B1052" s="25" t="s">
        <v>25</v>
      </c>
      <c r="C1052" s="12" t="s">
        <v>281</v>
      </c>
      <c r="D1052" s="31">
        <f>'Summary by Site'!$E$124</f>
        <v>1820</v>
      </c>
    </row>
    <row r="1053" spans="1:4" x14ac:dyDescent="0.25">
      <c r="A1053" s="28" t="s">
        <v>21</v>
      </c>
      <c r="B1053" s="25" t="s">
        <v>25</v>
      </c>
      <c r="C1053" s="12" t="s">
        <v>282</v>
      </c>
      <c r="D1053" s="31">
        <f>'Summary by Site'!$E$125</f>
        <v>8</v>
      </c>
    </row>
    <row r="1054" spans="1:4" x14ac:dyDescent="0.25">
      <c r="A1054" s="28" t="s">
        <v>21</v>
      </c>
      <c r="B1054" s="25" t="s">
        <v>25</v>
      </c>
      <c r="C1054" s="12" t="s">
        <v>283</v>
      </c>
      <c r="D1054" s="31">
        <f>'Summary by Site'!$E$126</f>
        <v>1069</v>
      </c>
    </row>
    <row r="1055" spans="1:4" x14ac:dyDescent="0.25">
      <c r="A1055" s="28" t="s">
        <v>21</v>
      </c>
      <c r="B1055" s="25" t="s">
        <v>25</v>
      </c>
      <c r="C1055" s="12" t="s">
        <v>284</v>
      </c>
      <c r="D1055" s="31">
        <f>'Summary by Site'!$E$127</f>
        <v>27</v>
      </c>
    </row>
    <row r="1056" spans="1:4" x14ac:dyDescent="0.25">
      <c r="A1056" s="29" t="s">
        <v>21</v>
      </c>
      <c r="B1056" s="33" t="s">
        <v>25</v>
      </c>
      <c r="C1056" s="14" t="s">
        <v>285</v>
      </c>
      <c r="D1056" s="32">
        <f>'Summary by Site'!$E$128</f>
        <v>0.99671249252839211</v>
      </c>
    </row>
    <row r="1057" spans="1:4" x14ac:dyDescent="0.25">
      <c r="A1057" s="29" t="s">
        <v>21</v>
      </c>
      <c r="B1057" s="33" t="s">
        <v>25</v>
      </c>
      <c r="C1057" s="14" t="s">
        <v>286</v>
      </c>
      <c r="D1057" s="32">
        <f>'Summary by Site'!$E$129</f>
        <v>0.99630156472261733</v>
      </c>
    </row>
    <row r="1058" spans="1:4" x14ac:dyDescent="0.25">
      <c r="A1058" s="27" t="s">
        <v>21</v>
      </c>
      <c r="B1058" s="24" t="s">
        <v>26</v>
      </c>
      <c r="C1058" s="21" t="s">
        <v>272</v>
      </c>
      <c r="D1058" s="30">
        <f>'Summary by Site'!$F$114</f>
        <v>165</v>
      </c>
    </row>
    <row r="1059" spans="1:4" x14ac:dyDescent="0.25">
      <c r="A1059" s="28" t="s">
        <v>21</v>
      </c>
      <c r="B1059" s="25" t="s">
        <v>26</v>
      </c>
      <c r="C1059" s="12" t="s">
        <v>0</v>
      </c>
      <c r="D1059" s="31">
        <f>'Summary by Site'!$F$115</f>
        <v>164</v>
      </c>
    </row>
    <row r="1060" spans="1:4" x14ac:dyDescent="0.25">
      <c r="A1060" s="28" t="s">
        <v>21</v>
      </c>
      <c r="B1060" s="25" t="s">
        <v>26</v>
      </c>
      <c r="C1060" s="12" t="s">
        <v>273</v>
      </c>
      <c r="D1060" s="31">
        <f>'Summary by Site'!$F$116</f>
        <v>0</v>
      </c>
    </row>
    <row r="1061" spans="1:4" x14ac:dyDescent="0.25">
      <c r="A1061" s="28" t="s">
        <v>21</v>
      </c>
      <c r="B1061" s="25" t="s">
        <v>26</v>
      </c>
      <c r="C1061" s="12" t="s">
        <v>274</v>
      </c>
      <c r="D1061" s="31">
        <f>'Summary by Site'!$F$117</f>
        <v>0</v>
      </c>
    </row>
    <row r="1062" spans="1:4" x14ac:dyDescent="0.25">
      <c r="A1062" s="28" t="s">
        <v>21</v>
      </c>
      <c r="B1062" s="25" t="s">
        <v>26</v>
      </c>
      <c r="C1062" s="12" t="s">
        <v>275</v>
      </c>
      <c r="D1062" s="31">
        <f>'Summary by Site'!$F$118</f>
        <v>1</v>
      </c>
    </row>
    <row r="1063" spans="1:4" x14ac:dyDescent="0.25">
      <c r="A1063" s="29" t="s">
        <v>21</v>
      </c>
      <c r="B1063" s="33" t="s">
        <v>26</v>
      </c>
      <c r="C1063" s="14" t="s">
        <v>276</v>
      </c>
      <c r="D1063" s="32">
        <f>'Summary by Site'!$F$119</f>
        <v>0.9939393939393939</v>
      </c>
    </row>
    <row r="1064" spans="1:4" x14ac:dyDescent="0.25">
      <c r="A1064" s="28" t="s">
        <v>21</v>
      </c>
      <c r="B1064" s="25" t="s">
        <v>26</v>
      </c>
      <c r="C1064" s="12" t="s">
        <v>277</v>
      </c>
      <c r="D1064" s="31">
        <f>'Summary by Site'!$F$120</f>
        <v>3247</v>
      </c>
    </row>
    <row r="1065" spans="1:4" x14ac:dyDescent="0.25">
      <c r="A1065" s="28" t="s">
        <v>21</v>
      </c>
      <c r="B1065" s="25" t="s">
        <v>26</v>
      </c>
      <c r="C1065" s="12" t="s">
        <v>278</v>
      </c>
      <c r="D1065" s="31">
        <f>'Summary by Site'!$F$121</f>
        <v>392</v>
      </c>
    </row>
    <row r="1066" spans="1:4" x14ac:dyDescent="0.25">
      <c r="A1066" s="28" t="s">
        <v>21</v>
      </c>
      <c r="B1066" s="25" t="s">
        <v>26</v>
      </c>
      <c r="C1066" s="12" t="s">
        <v>279</v>
      </c>
      <c r="D1066" s="31">
        <f>'Summary by Site'!$F$122</f>
        <v>0</v>
      </c>
    </row>
    <row r="1067" spans="1:4" x14ac:dyDescent="0.25">
      <c r="A1067" s="28" t="s">
        <v>21</v>
      </c>
      <c r="B1067" s="25" t="s">
        <v>26</v>
      </c>
      <c r="C1067" s="12" t="s">
        <v>280</v>
      </c>
      <c r="D1067" s="31">
        <f>'Summary by Site'!$F$123</f>
        <v>1</v>
      </c>
    </row>
    <row r="1068" spans="1:4" x14ac:dyDescent="0.25">
      <c r="A1068" s="28" t="s">
        <v>21</v>
      </c>
      <c r="B1068" s="25" t="s">
        <v>26</v>
      </c>
      <c r="C1068" s="12" t="s">
        <v>281</v>
      </c>
      <c r="D1068" s="31">
        <f>'Summary by Site'!$F$124</f>
        <v>1707</v>
      </c>
    </row>
    <row r="1069" spans="1:4" x14ac:dyDescent="0.25">
      <c r="A1069" s="28" t="s">
        <v>21</v>
      </c>
      <c r="B1069" s="25" t="s">
        <v>26</v>
      </c>
      <c r="C1069" s="12" t="s">
        <v>282</v>
      </c>
      <c r="D1069" s="31">
        <f>'Summary by Site'!$F$125</f>
        <v>9</v>
      </c>
    </row>
    <row r="1070" spans="1:4" x14ac:dyDescent="0.25">
      <c r="A1070" s="28" t="s">
        <v>21</v>
      </c>
      <c r="B1070" s="25" t="s">
        <v>26</v>
      </c>
      <c r="C1070" s="12" t="s">
        <v>283</v>
      </c>
      <c r="D1070" s="31">
        <f>'Summary by Site'!$F$126</f>
        <v>1116</v>
      </c>
    </row>
    <row r="1071" spans="1:4" x14ac:dyDescent="0.25">
      <c r="A1071" s="28" t="s">
        <v>21</v>
      </c>
      <c r="B1071" s="25" t="s">
        <v>26</v>
      </c>
      <c r="C1071" s="12" t="s">
        <v>284</v>
      </c>
      <c r="D1071" s="31">
        <f>'Summary by Site'!$F$127</f>
        <v>22</v>
      </c>
    </row>
    <row r="1072" spans="1:4" x14ac:dyDescent="0.25">
      <c r="A1072" s="29" t="s">
        <v>21</v>
      </c>
      <c r="B1072" s="33" t="s">
        <v>26</v>
      </c>
      <c r="C1072" s="14" t="s">
        <v>285</v>
      </c>
      <c r="D1072" s="32">
        <f>'Summary by Site'!$F$128</f>
        <v>0.99692023406221131</v>
      </c>
    </row>
    <row r="1073" spans="1:4" x14ac:dyDescent="0.25">
      <c r="A1073" s="29" t="s">
        <v>21</v>
      </c>
      <c r="B1073" s="33" t="s">
        <v>26</v>
      </c>
      <c r="C1073" s="14" t="s">
        <v>286</v>
      </c>
      <c r="D1073" s="32">
        <f>'Summary by Site'!$F$129</f>
        <v>0.99677608440797183</v>
      </c>
    </row>
    <row r="1074" spans="1:4" x14ac:dyDescent="0.25">
      <c r="A1074" s="27" t="s">
        <v>21</v>
      </c>
      <c r="B1074" s="24" t="s">
        <v>38</v>
      </c>
      <c r="C1074" s="21" t="s">
        <v>272</v>
      </c>
      <c r="D1074" s="30">
        <f>'Summary by Site'!$G$114</f>
        <v>120</v>
      </c>
    </row>
    <row r="1075" spans="1:4" x14ac:dyDescent="0.25">
      <c r="A1075" s="28" t="s">
        <v>21</v>
      </c>
      <c r="B1075" s="25" t="s">
        <v>38</v>
      </c>
      <c r="C1075" s="12" t="s">
        <v>0</v>
      </c>
      <c r="D1075" s="31">
        <f>'Summary by Site'!$G$115</f>
        <v>120</v>
      </c>
    </row>
    <row r="1076" spans="1:4" x14ac:dyDescent="0.25">
      <c r="A1076" s="28" t="s">
        <v>21</v>
      </c>
      <c r="B1076" s="25" t="s">
        <v>38</v>
      </c>
      <c r="C1076" s="12" t="s">
        <v>273</v>
      </c>
      <c r="D1076" s="31">
        <f>'Summary by Site'!$G$116</f>
        <v>0</v>
      </c>
    </row>
    <row r="1077" spans="1:4" x14ac:dyDescent="0.25">
      <c r="A1077" s="28" t="s">
        <v>21</v>
      </c>
      <c r="B1077" s="25" t="s">
        <v>38</v>
      </c>
      <c r="C1077" s="12" t="s">
        <v>274</v>
      </c>
      <c r="D1077" s="31">
        <f>'Summary by Site'!$G$117</f>
        <v>0</v>
      </c>
    </row>
    <row r="1078" spans="1:4" x14ac:dyDescent="0.25">
      <c r="A1078" s="28" t="s">
        <v>21</v>
      </c>
      <c r="B1078" s="25" t="s">
        <v>38</v>
      </c>
      <c r="C1078" s="12" t="s">
        <v>275</v>
      </c>
      <c r="D1078" s="31">
        <f>'Summary by Site'!$G$118</f>
        <v>0</v>
      </c>
    </row>
    <row r="1079" spans="1:4" x14ac:dyDescent="0.25">
      <c r="A1079" s="29" t="s">
        <v>21</v>
      </c>
      <c r="B1079" s="33" t="s">
        <v>38</v>
      </c>
      <c r="C1079" s="14" t="s">
        <v>276</v>
      </c>
      <c r="D1079" s="32">
        <f>'Summary by Site'!$G$119</f>
        <v>1</v>
      </c>
    </row>
    <row r="1080" spans="1:4" x14ac:dyDescent="0.25">
      <c r="A1080" s="28" t="s">
        <v>21</v>
      </c>
      <c r="B1080" s="25" t="s">
        <v>38</v>
      </c>
      <c r="C1080" s="12" t="s">
        <v>277</v>
      </c>
      <c r="D1080" s="31">
        <f>'Summary by Site'!$G$120</f>
        <v>2771</v>
      </c>
    </row>
    <row r="1081" spans="1:4" x14ac:dyDescent="0.25">
      <c r="A1081" s="28" t="s">
        <v>21</v>
      </c>
      <c r="B1081" s="25" t="s">
        <v>38</v>
      </c>
      <c r="C1081" s="12" t="s">
        <v>278</v>
      </c>
      <c r="D1081" s="31">
        <f>'Summary by Site'!$G$121</f>
        <v>455</v>
      </c>
    </row>
    <row r="1082" spans="1:4" x14ac:dyDescent="0.25">
      <c r="A1082" s="28" t="s">
        <v>21</v>
      </c>
      <c r="B1082" s="25" t="s">
        <v>38</v>
      </c>
      <c r="C1082" s="12" t="s">
        <v>279</v>
      </c>
      <c r="D1082" s="31">
        <f>'Summary by Site'!$G$122</f>
        <v>0</v>
      </c>
    </row>
    <row r="1083" spans="1:4" x14ac:dyDescent="0.25">
      <c r="A1083" s="28" t="s">
        <v>21</v>
      </c>
      <c r="B1083" s="25" t="s">
        <v>38</v>
      </c>
      <c r="C1083" s="12" t="s">
        <v>280</v>
      </c>
      <c r="D1083" s="31">
        <f>'Summary by Site'!$G$123</f>
        <v>2</v>
      </c>
    </row>
    <row r="1084" spans="1:4" x14ac:dyDescent="0.25">
      <c r="A1084" s="28" t="s">
        <v>21</v>
      </c>
      <c r="B1084" s="25" t="s">
        <v>38</v>
      </c>
      <c r="C1084" s="12" t="s">
        <v>281</v>
      </c>
      <c r="D1084" s="31">
        <f>'Summary by Site'!$G$124</f>
        <v>1267</v>
      </c>
    </row>
    <row r="1085" spans="1:4" x14ac:dyDescent="0.25">
      <c r="A1085" s="28" t="s">
        <v>21</v>
      </c>
      <c r="B1085" s="25" t="s">
        <v>38</v>
      </c>
      <c r="C1085" s="12" t="s">
        <v>282</v>
      </c>
      <c r="D1085" s="31">
        <f>'Summary by Site'!$G$125</f>
        <v>6</v>
      </c>
    </row>
    <row r="1086" spans="1:4" x14ac:dyDescent="0.25">
      <c r="A1086" s="28" t="s">
        <v>21</v>
      </c>
      <c r="B1086" s="25" t="s">
        <v>38</v>
      </c>
      <c r="C1086" s="12" t="s">
        <v>283</v>
      </c>
      <c r="D1086" s="31">
        <f>'Summary by Site'!$G$126</f>
        <v>1023</v>
      </c>
    </row>
    <row r="1087" spans="1:4" x14ac:dyDescent="0.25">
      <c r="A1087" s="28" t="s">
        <v>21</v>
      </c>
      <c r="B1087" s="25" t="s">
        <v>38</v>
      </c>
      <c r="C1087" s="12" t="s">
        <v>284</v>
      </c>
      <c r="D1087" s="31">
        <f>'Summary by Site'!$G$127</f>
        <v>18</v>
      </c>
    </row>
    <row r="1088" spans="1:4" x14ac:dyDescent="0.25">
      <c r="A1088" s="29" t="s">
        <v>21</v>
      </c>
      <c r="B1088" s="33" t="s">
        <v>38</v>
      </c>
      <c r="C1088" s="14" t="s">
        <v>285</v>
      </c>
      <c r="D1088" s="32">
        <f>'Summary by Site'!$G$128</f>
        <v>0.99711295561169255</v>
      </c>
    </row>
    <row r="1089" spans="1:4" x14ac:dyDescent="0.25">
      <c r="A1089" s="29" t="s">
        <v>21</v>
      </c>
      <c r="B1089" s="33" t="s">
        <v>38</v>
      </c>
      <c r="C1089" s="14" t="s">
        <v>286</v>
      </c>
      <c r="D1089" s="32">
        <f>'Summary by Site'!$G$129</f>
        <v>0.99723279142165344</v>
      </c>
    </row>
    <row r="1090" spans="1:4" x14ac:dyDescent="0.25">
      <c r="A1090" s="27" t="s">
        <v>21</v>
      </c>
      <c r="B1090" s="24" t="s">
        <v>44</v>
      </c>
      <c r="C1090" s="21" t="s">
        <v>272</v>
      </c>
      <c r="D1090" s="30">
        <f>'Summary by Site'!$H$114</f>
        <v>195</v>
      </c>
    </row>
    <row r="1091" spans="1:4" x14ac:dyDescent="0.25">
      <c r="A1091" s="28" t="s">
        <v>21</v>
      </c>
      <c r="B1091" s="25" t="s">
        <v>44</v>
      </c>
      <c r="C1091" s="12" t="s">
        <v>0</v>
      </c>
      <c r="D1091" s="31">
        <f>'Summary by Site'!$H$115</f>
        <v>194</v>
      </c>
    </row>
    <row r="1092" spans="1:4" x14ac:dyDescent="0.25">
      <c r="A1092" s="28" t="s">
        <v>21</v>
      </c>
      <c r="B1092" s="25" t="s">
        <v>44</v>
      </c>
      <c r="C1092" s="12" t="s">
        <v>273</v>
      </c>
      <c r="D1092" s="31">
        <f>'Summary by Site'!$H$116</f>
        <v>1</v>
      </c>
    </row>
    <row r="1093" spans="1:4" x14ac:dyDescent="0.25">
      <c r="A1093" s="28" t="s">
        <v>21</v>
      </c>
      <c r="B1093" s="25" t="s">
        <v>44</v>
      </c>
      <c r="C1093" s="12" t="s">
        <v>274</v>
      </c>
      <c r="D1093" s="31">
        <f>'Summary by Site'!$H$117</f>
        <v>0</v>
      </c>
    </row>
    <row r="1094" spans="1:4" x14ac:dyDescent="0.25">
      <c r="A1094" s="28" t="s">
        <v>21</v>
      </c>
      <c r="B1094" s="25" t="s">
        <v>44</v>
      </c>
      <c r="C1094" s="12" t="s">
        <v>275</v>
      </c>
      <c r="D1094" s="31">
        <f>'Summary by Site'!$H$118</f>
        <v>0</v>
      </c>
    </row>
    <row r="1095" spans="1:4" x14ac:dyDescent="0.25">
      <c r="A1095" s="29" t="s">
        <v>21</v>
      </c>
      <c r="B1095" s="33" t="s">
        <v>44</v>
      </c>
      <c r="C1095" s="14" t="s">
        <v>276</v>
      </c>
      <c r="D1095" s="32">
        <f>'Summary by Site'!$H$119</f>
        <v>1</v>
      </c>
    </row>
    <row r="1096" spans="1:4" x14ac:dyDescent="0.25">
      <c r="A1096" s="28" t="s">
        <v>21</v>
      </c>
      <c r="B1096" s="25" t="s">
        <v>44</v>
      </c>
      <c r="C1096" s="12" t="s">
        <v>277</v>
      </c>
      <c r="D1096" s="31">
        <f>'Summary by Site'!$H$120</f>
        <v>3136</v>
      </c>
    </row>
    <row r="1097" spans="1:4" x14ac:dyDescent="0.25">
      <c r="A1097" s="28" t="s">
        <v>21</v>
      </c>
      <c r="B1097" s="25" t="s">
        <v>44</v>
      </c>
      <c r="C1097" s="12" t="s">
        <v>278</v>
      </c>
      <c r="D1097" s="31">
        <f>'Summary by Site'!$H$121</f>
        <v>420</v>
      </c>
    </row>
    <row r="1098" spans="1:4" x14ac:dyDescent="0.25">
      <c r="A1098" s="28" t="s">
        <v>21</v>
      </c>
      <c r="B1098" s="25" t="s">
        <v>44</v>
      </c>
      <c r="C1098" s="12" t="s">
        <v>279</v>
      </c>
      <c r="D1098" s="31">
        <f>'Summary by Site'!$H$122</f>
        <v>0</v>
      </c>
    </row>
    <row r="1099" spans="1:4" x14ac:dyDescent="0.25">
      <c r="A1099" s="28" t="s">
        <v>21</v>
      </c>
      <c r="B1099" s="25" t="s">
        <v>44</v>
      </c>
      <c r="C1099" s="12" t="s">
        <v>280</v>
      </c>
      <c r="D1099" s="31">
        <f>'Summary by Site'!$H$123</f>
        <v>0</v>
      </c>
    </row>
    <row r="1100" spans="1:4" x14ac:dyDescent="0.25">
      <c r="A1100" s="28" t="s">
        <v>21</v>
      </c>
      <c r="B1100" s="25" t="s">
        <v>44</v>
      </c>
      <c r="C1100" s="12" t="s">
        <v>281</v>
      </c>
      <c r="D1100" s="31">
        <f>'Summary by Site'!$H$124</f>
        <v>1654</v>
      </c>
    </row>
    <row r="1101" spans="1:4" x14ac:dyDescent="0.25">
      <c r="A1101" s="28" t="s">
        <v>21</v>
      </c>
      <c r="B1101" s="25" t="s">
        <v>44</v>
      </c>
      <c r="C1101" s="12" t="s">
        <v>282</v>
      </c>
      <c r="D1101" s="31">
        <f>'Summary by Site'!$H$125</f>
        <v>12</v>
      </c>
    </row>
    <row r="1102" spans="1:4" x14ac:dyDescent="0.25">
      <c r="A1102" s="28" t="s">
        <v>21</v>
      </c>
      <c r="B1102" s="25" t="s">
        <v>44</v>
      </c>
      <c r="C1102" s="12" t="s">
        <v>283</v>
      </c>
      <c r="D1102" s="31">
        <f>'Summary by Site'!$H$126</f>
        <v>1044</v>
      </c>
    </row>
    <row r="1103" spans="1:4" x14ac:dyDescent="0.25">
      <c r="A1103" s="28" t="s">
        <v>21</v>
      </c>
      <c r="B1103" s="25" t="s">
        <v>44</v>
      </c>
      <c r="C1103" s="12" t="s">
        <v>284</v>
      </c>
      <c r="D1103" s="31">
        <f>'Summary by Site'!$H$127</f>
        <v>6</v>
      </c>
    </row>
    <row r="1104" spans="1:4" x14ac:dyDescent="0.25">
      <c r="A1104" s="29" t="s">
        <v>21</v>
      </c>
      <c r="B1104" s="33" t="s">
        <v>44</v>
      </c>
      <c r="C1104" s="14" t="s">
        <v>285</v>
      </c>
      <c r="D1104" s="32">
        <f>'Summary by Site'!$H$128</f>
        <v>0.99617346938775508</v>
      </c>
    </row>
    <row r="1105" spans="1:4" x14ac:dyDescent="0.25">
      <c r="A1105" s="29" t="s">
        <v>21</v>
      </c>
      <c r="B1105" s="33" t="s">
        <v>44</v>
      </c>
      <c r="C1105" s="14" t="s">
        <v>286</v>
      </c>
      <c r="D1105" s="32">
        <f>'Summary by Site'!$H$129</f>
        <v>0.99639747823476432</v>
      </c>
    </row>
    <row r="1106" spans="1:4" x14ac:dyDescent="0.25">
      <c r="A1106" s="27" t="s">
        <v>21</v>
      </c>
      <c r="B1106" s="24" t="s">
        <v>45</v>
      </c>
      <c r="C1106" s="21" t="s">
        <v>272</v>
      </c>
      <c r="D1106" s="30">
        <f>'Summary by Site'!$I$114</f>
        <v>152</v>
      </c>
    </row>
    <row r="1107" spans="1:4" x14ac:dyDescent="0.25">
      <c r="A1107" s="28" t="s">
        <v>21</v>
      </c>
      <c r="B1107" s="25" t="s">
        <v>45</v>
      </c>
      <c r="C1107" s="12" t="s">
        <v>0</v>
      </c>
      <c r="D1107" s="31">
        <f>'Summary by Site'!$I$115</f>
        <v>151</v>
      </c>
    </row>
    <row r="1108" spans="1:4" x14ac:dyDescent="0.25">
      <c r="A1108" s="28" t="s">
        <v>21</v>
      </c>
      <c r="B1108" s="25" t="s">
        <v>45</v>
      </c>
      <c r="C1108" s="12" t="s">
        <v>273</v>
      </c>
      <c r="D1108" s="31">
        <f>'Summary by Site'!$I$116</f>
        <v>0</v>
      </c>
    </row>
    <row r="1109" spans="1:4" x14ac:dyDescent="0.25">
      <c r="A1109" s="28" t="s">
        <v>21</v>
      </c>
      <c r="B1109" s="25" t="s">
        <v>45</v>
      </c>
      <c r="C1109" s="12" t="s">
        <v>274</v>
      </c>
      <c r="D1109" s="31">
        <f>'Summary by Site'!$I$117</f>
        <v>0</v>
      </c>
    </row>
    <row r="1110" spans="1:4" x14ac:dyDescent="0.25">
      <c r="A1110" s="28" t="s">
        <v>21</v>
      </c>
      <c r="B1110" s="25" t="s">
        <v>45</v>
      </c>
      <c r="C1110" s="12" t="s">
        <v>275</v>
      </c>
      <c r="D1110" s="31">
        <f>'Summary by Site'!$I$118</f>
        <v>1</v>
      </c>
    </row>
    <row r="1111" spans="1:4" x14ac:dyDescent="0.25">
      <c r="A1111" s="29" t="s">
        <v>21</v>
      </c>
      <c r="B1111" s="33" t="s">
        <v>45</v>
      </c>
      <c r="C1111" s="14" t="s">
        <v>276</v>
      </c>
      <c r="D1111" s="32">
        <f>'Summary by Site'!$I$119</f>
        <v>0.99342105263157898</v>
      </c>
    </row>
    <row r="1112" spans="1:4" x14ac:dyDescent="0.25">
      <c r="A1112" s="28" t="s">
        <v>21</v>
      </c>
      <c r="B1112" s="25" t="s">
        <v>45</v>
      </c>
      <c r="C1112" s="12" t="s">
        <v>277</v>
      </c>
      <c r="D1112" s="31">
        <f>'Summary by Site'!$I$120</f>
        <v>2827</v>
      </c>
    </row>
    <row r="1113" spans="1:4" x14ac:dyDescent="0.25">
      <c r="A1113" s="28" t="s">
        <v>21</v>
      </c>
      <c r="B1113" s="25" t="s">
        <v>45</v>
      </c>
      <c r="C1113" s="12" t="s">
        <v>278</v>
      </c>
      <c r="D1113" s="31">
        <f>'Summary by Site'!$I$121</f>
        <v>361</v>
      </c>
    </row>
    <row r="1114" spans="1:4" x14ac:dyDescent="0.25">
      <c r="A1114" s="28" t="s">
        <v>21</v>
      </c>
      <c r="B1114" s="25" t="s">
        <v>45</v>
      </c>
      <c r="C1114" s="12" t="s">
        <v>279</v>
      </c>
      <c r="D1114" s="31">
        <f>'Summary by Site'!$I$122</f>
        <v>0</v>
      </c>
    </row>
    <row r="1115" spans="1:4" x14ac:dyDescent="0.25">
      <c r="A1115" s="28" t="s">
        <v>21</v>
      </c>
      <c r="B1115" s="25" t="s">
        <v>45</v>
      </c>
      <c r="C1115" s="12" t="s">
        <v>280</v>
      </c>
      <c r="D1115" s="31">
        <f>'Summary by Site'!$I$123</f>
        <v>1</v>
      </c>
    </row>
    <row r="1116" spans="1:4" x14ac:dyDescent="0.25">
      <c r="A1116" s="28" t="s">
        <v>21</v>
      </c>
      <c r="B1116" s="25" t="s">
        <v>45</v>
      </c>
      <c r="C1116" s="12" t="s">
        <v>281</v>
      </c>
      <c r="D1116" s="31">
        <f>'Summary by Site'!$I$124</f>
        <v>1476</v>
      </c>
    </row>
    <row r="1117" spans="1:4" x14ac:dyDescent="0.25">
      <c r="A1117" s="28" t="s">
        <v>21</v>
      </c>
      <c r="B1117" s="25" t="s">
        <v>45</v>
      </c>
      <c r="C1117" s="12" t="s">
        <v>282</v>
      </c>
      <c r="D1117" s="31">
        <f>'Summary by Site'!$I$125</f>
        <v>5</v>
      </c>
    </row>
    <row r="1118" spans="1:4" x14ac:dyDescent="0.25">
      <c r="A1118" s="28" t="s">
        <v>21</v>
      </c>
      <c r="B1118" s="25" t="s">
        <v>45</v>
      </c>
      <c r="C1118" s="12" t="s">
        <v>283</v>
      </c>
      <c r="D1118" s="31">
        <f>'Summary by Site'!$I$126</f>
        <v>973</v>
      </c>
    </row>
    <row r="1119" spans="1:4" x14ac:dyDescent="0.25">
      <c r="A1119" s="28" t="s">
        <v>21</v>
      </c>
      <c r="B1119" s="25" t="s">
        <v>45</v>
      </c>
      <c r="C1119" s="12" t="s">
        <v>284</v>
      </c>
      <c r="D1119" s="31">
        <f>'Summary by Site'!$I$127</f>
        <v>11</v>
      </c>
    </row>
    <row r="1120" spans="1:4" x14ac:dyDescent="0.25">
      <c r="A1120" s="29" t="s">
        <v>21</v>
      </c>
      <c r="B1120" s="33" t="s">
        <v>45</v>
      </c>
      <c r="C1120" s="14" t="s">
        <v>285</v>
      </c>
      <c r="D1120" s="32">
        <f>'Summary by Site'!$I$128</f>
        <v>0.99787760877255038</v>
      </c>
    </row>
    <row r="1121" spans="1:4" x14ac:dyDescent="0.25">
      <c r="A1121" s="29" t="s">
        <v>21</v>
      </c>
      <c r="B1121" s="33" t="s">
        <v>45</v>
      </c>
      <c r="C1121" s="14" t="s">
        <v>286</v>
      </c>
      <c r="D1121" s="32">
        <f>'Summary by Site'!$I$129</f>
        <v>0.99765021819402488</v>
      </c>
    </row>
    <row r="1122" spans="1:4" x14ac:dyDescent="0.25">
      <c r="A1122" s="27" t="s">
        <v>21</v>
      </c>
      <c r="B1122" s="24" t="s">
        <v>46</v>
      </c>
      <c r="C1122" s="21" t="s">
        <v>272</v>
      </c>
      <c r="D1122" s="30">
        <f>'Summary by Site'!$J$114</f>
        <v>191</v>
      </c>
    </row>
    <row r="1123" spans="1:4" x14ac:dyDescent="0.25">
      <c r="A1123" s="28" t="s">
        <v>21</v>
      </c>
      <c r="B1123" s="25" t="s">
        <v>46</v>
      </c>
      <c r="C1123" s="12" t="s">
        <v>0</v>
      </c>
      <c r="D1123" s="31">
        <f>'Summary by Site'!$J$115</f>
        <v>190</v>
      </c>
    </row>
    <row r="1124" spans="1:4" x14ac:dyDescent="0.25">
      <c r="A1124" s="28" t="s">
        <v>21</v>
      </c>
      <c r="B1124" s="25" t="s">
        <v>46</v>
      </c>
      <c r="C1124" s="12" t="s">
        <v>273</v>
      </c>
      <c r="D1124" s="31">
        <f>'Summary by Site'!$J$116</f>
        <v>0</v>
      </c>
    </row>
    <row r="1125" spans="1:4" x14ac:dyDescent="0.25">
      <c r="A1125" s="28" t="s">
        <v>21</v>
      </c>
      <c r="B1125" s="25" t="s">
        <v>46</v>
      </c>
      <c r="C1125" s="12" t="s">
        <v>274</v>
      </c>
      <c r="D1125" s="31">
        <f>'Summary by Site'!$J$117</f>
        <v>0</v>
      </c>
    </row>
    <row r="1126" spans="1:4" x14ac:dyDescent="0.25">
      <c r="A1126" s="28" t="s">
        <v>21</v>
      </c>
      <c r="B1126" s="25" t="s">
        <v>46</v>
      </c>
      <c r="C1126" s="12" t="s">
        <v>275</v>
      </c>
      <c r="D1126" s="31">
        <f>'Summary by Site'!$J$118</f>
        <v>1</v>
      </c>
    </row>
    <row r="1127" spans="1:4" x14ac:dyDescent="0.25">
      <c r="A1127" s="29" t="s">
        <v>21</v>
      </c>
      <c r="B1127" s="33" t="s">
        <v>46</v>
      </c>
      <c r="C1127" s="14" t="s">
        <v>276</v>
      </c>
      <c r="D1127" s="32">
        <f>'Summary by Site'!$J$119</f>
        <v>0.99476439790575921</v>
      </c>
    </row>
    <row r="1128" spans="1:4" x14ac:dyDescent="0.25">
      <c r="A1128" s="28" t="s">
        <v>21</v>
      </c>
      <c r="B1128" s="25" t="s">
        <v>46</v>
      </c>
      <c r="C1128" s="12" t="s">
        <v>277</v>
      </c>
      <c r="D1128" s="31">
        <f>'Summary by Site'!$J$120</f>
        <v>3257</v>
      </c>
    </row>
    <row r="1129" spans="1:4" x14ac:dyDescent="0.25">
      <c r="A1129" s="28" t="s">
        <v>21</v>
      </c>
      <c r="B1129" s="25" t="s">
        <v>46</v>
      </c>
      <c r="C1129" s="12" t="s">
        <v>278</v>
      </c>
      <c r="D1129" s="31">
        <f>'Summary by Site'!$J$121</f>
        <v>412</v>
      </c>
    </row>
    <row r="1130" spans="1:4" x14ac:dyDescent="0.25">
      <c r="A1130" s="28" t="s">
        <v>21</v>
      </c>
      <c r="B1130" s="25" t="s">
        <v>46</v>
      </c>
      <c r="C1130" s="12" t="s">
        <v>279</v>
      </c>
      <c r="D1130" s="31">
        <f>'Summary by Site'!$J$122</f>
        <v>0</v>
      </c>
    </row>
    <row r="1131" spans="1:4" x14ac:dyDescent="0.25">
      <c r="A1131" s="28" t="s">
        <v>21</v>
      </c>
      <c r="B1131" s="25" t="s">
        <v>46</v>
      </c>
      <c r="C1131" s="12" t="s">
        <v>280</v>
      </c>
      <c r="D1131" s="31">
        <f>'Summary by Site'!$J$123</f>
        <v>1</v>
      </c>
    </row>
    <row r="1132" spans="1:4" x14ac:dyDescent="0.25">
      <c r="A1132" s="28" t="s">
        <v>21</v>
      </c>
      <c r="B1132" s="25" t="s">
        <v>46</v>
      </c>
      <c r="C1132" s="12" t="s">
        <v>281</v>
      </c>
      <c r="D1132" s="31">
        <f>'Summary by Site'!$J$124</f>
        <v>1673</v>
      </c>
    </row>
    <row r="1133" spans="1:4" x14ac:dyDescent="0.25">
      <c r="A1133" s="28" t="s">
        <v>21</v>
      </c>
      <c r="B1133" s="25" t="s">
        <v>46</v>
      </c>
      <c r="C1133" s="12" t="s">
        <v>282</v>
      </c>
      <c r="D1133" s="31">
        <f>'Summary by Site'!$J$125</f>
        <v>4</v>
      </c>
    </row>
    <row r="1134" spans="1:4" x14ac:dyDescent="0.25">
      <c r="A1134" s="28" t="s">
        <v>21</v>
      </c>
      <c r="B1134" s="25" t="s">
        <v>46</v>
      </c>
      <c r="C1134" s="12" t="s">
        <v>283</v>
      </c>
      <c r="D1134" s="31">
        <f>'Summary by Site'!$J$126</f>
        <v>1164</v>
      </c>
    </row>
    <row r="1135" spans="1:4" x14ac:dyDescent="0.25">
      <c r="A1135" s="28" t="s">
        <v>21</v>
      </c>
      <c r="B1135" s="25" t="s">
        <v>46</v>
      </c>
      <c r="C1135" s="12" t="s">
        <v>284</v>
      </c>
      <c r="D1135" s="31">
        <f>'Summary by Site'!$J$127</f>
        <v>3</v>
      </c>
    </row>
    <row r="1136" spans="1:4" x14ac:dyDescent="0.25">
      <c r="A1136" s="29" t="s">
        <v>21</v>
      </c>
      <c r="B1136" s="33" t="s">
        <v>46</v>
      </c>
      <c r="C1136" s="14" t="s">
        <v>285</v>
      </c>
      <c r="D1136" s="32">
        <f>'Summary by Site'!$J$128</f>
        <v>0.99846484494933985</v>
      </c>
    </row>
    <row r="1137" spans="1:4" x14ac:dyDescent="0.25">
      <c r="A1137" s="29" t="s">
        <v>21</v>
      </c>
      <c r="B1137" s="33" t="s">
        <v>46</v>
      </c>
      <c r="C1137" s="14" t="s">
        <v>286</v>
      </c>
      <c r="D1137" s="32">
        <f>'Summary by Site'!$J$129</f>
        <v>0.99825986078886308</v>
      </c>
    </row>
    <row r="1138" spans="1:4" x14ac:dyDescent="0.25">
      <c r="A1138" s="27" t="s">
        <v>21</v>
      </c>
      <c r="B1138" s="24" t="s">
        <v>47</v>
      </c>
      <c r="C1138" s="21" t="s">
        <v>272</v>
      </c>
      <c r="D1138" s="30">
        <f>'Summary by Site'!$K$114</f>
        <v>162</v>
      </c>
    </row>
    <row r="1139" spans="1:4" x14ac:dyDescent="0.25">
      <c r="A1139" s="28" t="s">
        <v>21</v>
      </c>
      <c r="B1139" s="25" t="s">
        <v>47</v>
      </c>
      <c r="C1139" s="12" t="s">
        <v>0</v>
      </c>
      <c r="D1139" s="31">
        <f>'Summary by Site'!$K$115</f>
        <v>161</v>
      </c>
    </row>
    <row r="1140" spans="1:4" x14ac:dyDescent="0.25">
      <c r="A1140" s="28" t="s">
        <v>21</v>
      </c>
      <c r="B1140" s="25" t="s">
        <v>47</v>
      </c>
      <c r="C1140" s="12" t="s">
        <v>273</v>
      </c>
      <c r="D1140" s="31">
        <f>'Summary by Site'!$K$116</f>
        <v>0</v>
      </c>
    </row>
    <row r="1141" spans="1:4" x14ac:dyDescent="0.25">
      <c r="A1141" s="28" t="s">
        <v>21</v>
      </c>
      <c r="B1141" s="25" t="s">
        <v>47</v>
      </c>
      <c r="C1141" s="12" t="s">
        <v>274</v>
      </c>
      <c r="D1141" s="31">
        <f>'Summary by Site'!$K$117</f>
        <v>0</v>
      </c>
    </row>
    <row r="1142" spans="1:4" x14ac:dyDescent="0.25">
      <c r="A1142" s="28" t="s">
        <v>21</v>
      </c>
      <c r="B1142" s="25" t="s">
        <v>47</v>
      </c>
      <c r="C1142" s="12" t="s">
        <v>275</v>
      </c>
      <c r="D1142" s="31">
        <f>'Summary by Site'!$K$118</f>
        <v>1</v>
      </c>
    </row>
    <row r="1143" spans="1:4" x14ac:dyDescent="0.25">
      <c r="A1143" s="29" t="s">
        <v>21</v>
      </c>
      <c r="B1143" s="33" t="s">
        <v>47</v>
      </c>
      <c r="C1143" s="14" t="s">
        <v>276</v>
      </c>
      <c r="D1143" s="32">
        <f>'Summary by Site'!$K$119</f>
        <v>0.99382716049382713</v>
      </c>
    </row>
    <row r="1144" spans="1:4" x14ac:dyDescent="0.25">
      <c r="A1144" s="28" t="s">
        <v>21</v>
      </c>
      <c r="B1144" s="25" t="s">
        <v>47</v>
      </c>
      <c r="C1144" s="12" t="s">
        <v>277</v>
      </c>
      <c r="D1144" s="31">
        <f>'Summary by Site'!$K$120</f>
        <v>3137</v>
      </c>
    </row>
    <row r="1145" spans="1:4" x14ac:dyDescent="0.25">
      <c r="A1145" s="28" t="s">
        <v>21</v>
      </c>
      <c r="B1145" s="25" t="s">
        <v>47</v>
      </c>
      <c r="C1145" s="12" t="s">
        <v>278</v>
      </c>
      <c r="D1145" s="31">
        <f>'Summary by Site'!$K$121</f>
        <v>395</v>
      </c>
    </row>
    <row r="1146" spans="1:4" x14ac:dyDescent="0.25">
      <c r="A1146" s="28" t="s">
        <v>21</v>
      </c>
      <c r="B1146" s="25" t="s">
        <v>47</v>
      </c>
      <c r="C1146" s="12" t="s">
        <v>279</v>
      </c>
      <c r="D1146" s="31">
        <f>'Summary by Site'!$K$122</f>
        <v>0</v>
      </c>
    </row>
    <row r="1147" spans="1:4" x14ac:dyDescent="0.25">
      <c r="A1147" s="28" t="s">
        <v>21</v>
      </c>
      <c r="B1147" s="25" t="s">
        <v>47</v>
      </c>
      <c r="C1147" s="12" t="s">
        <v>280</v>
      </c>
      <c r="D1147" s="31">
        <f>'Summary by Site'!$K$123</f>
        <v>2</v>
      </c>
    </row>
    <row r="1148" spans="1:4" x14ac:dyDescent="0.25">
      <c r="A1148" s="28" t="s">
        <v>21</v>
      </c>
      <c r="B1148" s="25" t="s">
        <v>47</v>
      </c>
      <c r="C1148" s="12" t="s">
        <v>281</v>
      </c>
      <c r="D1148" s="31">
        <f>'Summary by Site'!$K$124</f>
        <v>1656</v>
      </c>
    </row>
    <row r="1149" spans="1:4" x14ac:dyDescent="0.25">
      <c r="A1149" s="28" t="s">
        <v>21</v>
      </c>
      <c r="B1149" s="25" t="s">
        <v>47</v>
      </c>
      <c r="C1149" s="12" t="s">
        <v>282</v>
      </c>
      <c r="D1149" s="31">
        <f>'Summary by Site'!$K$125</f>
        <v>4</v>
      </c>
    </row>
    <row r="1150" spans="1:4" x14ac:dyDescent="0.25">
      <c r="A1150" s="28" t="s">
        <v>21</v>
      </c>
      <c r="B1150" s="25" t="s">
        <v>47</v>
      </c>
      <c r="C1150" s="12" t="s">
        <v>283</v>
      </c>
      <c r="D1150" s="31">
        <f>'Summary by Site'!$K$126</f>
        <v>1071</v>
      </c>
    </row>
    <row r="1151" spans="1:4" x14ac:dyDescent="0.25">
      <c r="A1151" s="28" t="s">
        <v>21</v>
      </c>
      <c r="B1151" s="25" t="s">
        <v>47</v>
      </c>
      <c r="C1151" s="12" t="s">
        <v>284</v>
      </c>
      <c r="D1151" s="31">
        <f>'Summary by Site'!$K$127</f>
        <v>9</v>
      </c>
    </row>
    <row r="1152" spans="1:4" x14ac:dyDescent="0.25">
      <c r="A1152" s="29" t="s">
        <v>21</v>
      </c>
      <c r="B1152" s="33" t="s">
        <v>47</v>
      </c>
      <c r="C1152" s="14" t="s">
        <v>285</v>
      </c>
      <c r="D1152" s="32">
        <f>'Summary by Site'!$K$128</f>
        <v>0.99808734459674853</v>
      </c>
    </row>
    <row r="1153" spans="1:4" x14ac:dyDescent="0.25">
      <c r="A1153" s="29" t="s">
        <v>21</v>
      </c>
      <c r="B1153" s="33" t="s">
        <v>47</v>
      </c>
      <c r="C1153" s="14" t="s">
        <v>286</v>
      </c>
      <c r="D1153" s="32">
        <f>'Summary by Site'!$K$129</f>
        <v>0.99787814489239168</v>
      </c>
    </row>
    <row r="1154" spans="1:4" x14ac:dyDescent="0.25">
      <c r="A1154" s="27" t="s">
        <v>21</v>
      </c>
      <c r="B1154" s="24" t="s">
        <v>50</v>
      </c>
      <c r="C1154" s="21" t="s">
        <v>272</v>
      </c>
      <c r="D1154" s="30">
        <f>'Summary by Site'!$L$114</f>
        <v>143</v>
      </c>
    </row>
    <row r="1155" spans="1:4" x14ac:dyDescent="0.25">
      <c r="A1155" s="28" t="s">
        <v>21</v>
      </c>
      <c r="B1155" s="25" t="s">
        <v>50</v>
      </c>
      <c r="C1155" s="12" t="s">
        <v>0</v>
      </c>
      <c r="D1155" s="31">
        <f>'Summary by Site'!$L$115</f>
        <v>142</v>
      </c>
    </row>
    <row r="1156" spans="1:4" x14ac:dyDescent="0.25">
      <c r="A1156" s="28" t="s">
        <v>21</v>
      </c>
      <c r="B1156" s="25" t="s">
        <v>50</v>
      </c>
      <c r="C1156" s="12" t="s">
        <v>273</v>
      </c>
      <c r="D1156" s="31">
        <f>'Summary by Site'!$L$116</f>
        <v>0</v>
      </c>
    </row>
    <row r="1157" spans="1:4" x14ac:dyDescent="0.25">
      <c r="A1157" s="28" t="s">
        <v>21</v>
      </c>
      <c r="B1157" s="25" t="s">
        <v>50</v>
      </c>
      <c r="C1157" s="12" t="s">
        <v>274</v>
      </c>
      <c r="D1157" s="31">
        <f>'Summary by Site'!$L$117</f>
        <v>0</v>
      </c>
    </row>
    <row r="1158" spans="1:4" x14ac:dyDescent="0.25">
      <c r="A1158" s="28" t="s">
        <v>21</v>
      </c>
      <c r="B1158" s="25" t="s">
        <v>50</v>
      </c>
      <c r="C1158" s="12" t="s">
        <v>275</v>
      </c>
      <c r="D1158" s="31">
        <f>'Summary by Site'!$L$118</f>
        <v>1</v>
      </c>
    </row>
    <row r="1159" spans="1:4" x14ac:dyDescent="0.25">
      <c r="A1159" s="29" t="s">
        <v>21</v>
      </c>
      <c r="B1159" s="33" t="s">
        <v>50</v>
      </c>
      <c r="C1159" s="14" t="s">
        <v>276</v>
      </c>
      <c r="D1159" s="32">
        <f>'Summary by Site'!$L$119</f>
        <v>0.99300699300699302</v>
      </c>
    </row>
    <row r="1160" spans="1:4" x14ac:dyDescent="0.25">
      <c r="A1160" s="28" t="s">
        <v>21</v>
      </c>
      <c r="B1160" s="25" t="s">
        <v>50</v>
      </c>
      <c r="C1160" s="12" t="s">
        <v>277</v>
      </c>
      <c r="D1160" s="31">
        <f>'Summary by Site'!$L$120</f>
        <v>3226</v>
      </c>
    </row>
    <row r="1161" spans="1:4" x14ac:dyDescent="0.25">
      <c r="A1161" s="28" t="s">
        <v>21</v>
      </c>
      <c r="B1161" s="25" t="s">
        <v>50</v>
      </c>
      <c r="C1161" s="12" t="s">
        <v>278</v>
      </c>
      <c r="D1161" s="31">
        <f>'Summary by Site'!$L$121</f>
        <v>458</v>
      </c>
    </row>
    <row r="1162" spans="1:4" x14ac:dyDescent="0.25">
      <c r="A1162" s="28" t="s">
        <v>21</v>
      </c>
      <c r="B1162" s="25" t="s">
        <v>50</v>
      </c>
      <c r="C1162" s="12" t="s">
        <v>279</v>
      </c>
      <c r="D1162" s="31">
        <f>'Summary by Site'!$L$122</f>
        <v>0</v>
      </c>
    </row>
    <row r="1163" spans="1:4" x14ac:dyDescent="0.25">
      <c r="A1163" s="28" t="s">
        <v>21</v>
      </c>
      <c r="B1163" s="25" t="s">
        <v>50</v>
      </c>
      <c r="C1163" s="12" t="s">
        <v>280</v>
      </c>
      <c r="D1163" s="31">
        <f>'Summary by Site'!$L$123</f>
        <v>1</v>
      </c>
    </row>
    <row r="1164" spans="1:4" x14ac:dyDescent="0.25">
      <c r="A1164" s="28" t="s">
        <v>21</v>
      </c>
      <c r="B1164" s="25" t="s">
        <v>50</v>
      </c>
      <c r="C1164" s="12" t="s">
        <v>281</v>
      </c>
      <c r="D1164" s="31">
        <f>'Summary by Site'!$L$124</f>
        <v>1683</v>
      </c>
    </row>
    <row r="1165" spans="1:4" x14ac:dyDescent="0.25">
      <c r="A1165" s="28" t="s">
        <v>21</v>
      </c>
      <c r="B1165" s="25" t="s">
        <v>50</v>
      </c>
      <c r="C1165" s="12" t="s">
        <v>282</v>
      </c>
      <c r="D1165" s="31">
        <f>'Summary by Site'!$L$125</f>
        <v>1</v>
      </c>
    </row>
    <row r="1166" spans="1:4" x14ac:dyDescent="0.25">
      <c r="A1166" s="28" t="s">
        <v>21</v>
      </c>
      <c r="B1166" s="25" t="s">
        <v>50</v>
      </c>
      <c r="C1166" s="12" t="s">
        <v>283</v>
      </c>
      <c r="D1166" s="31">
        <f>'Summary by Site'!$L$126</f>
        <v>1074</v>
      </c>
    </row>
    <row r="1167" spans="1:4" x14ac:dyDescent="0.25">
      <c r="A1167" s="28" t="s">
        <v>21</v>
      </c>
      <c r="B1167" s="25" t="s">
        <v>50</v>
      </c>
      <c r="C1167" s="12" t="s">
        <v>284</v>
      </c>
      <c r="D1167" s="31">
        <f>'Summary by Site'!$L$127</f>
        <v>9</v>
      </c>
    </row>
    <row r="1168" spans="1:4" x14ac:dyDescent="0.25">
      <c r="A1168" s="29" t="s">
        <v>21</v>
      </c>
      <c r="B1168" s="33" t="s">
        <v>50</v>
      </c>
      <c r="C1168" s="14" t="s">
        <v>285</v>
      </c>
      <c r="D1168" s="32">
        <f>'Summary by Site'!$L$128</f>
        <v>0.99938003719776813</v>
      </c>
    </row>
    <row r="1169" spans="1:4" x14ac:dyDescent="0.25">
      <c r="A1169" s="29" t="s">
        <v>21</v>
      </c>
      <c r="B1169" s="33" t="s">
        <v>50</v>
      </c>
      <c r="C1169" s="14" t="s">
        <v>286</v>
      </c>
      <c r="D1169" s="32">
        <f>'Summary by Site'!$L$129</f>
        <v>0.99910952804986641</v>
      </c>
    </row>
    <row r="1170" spans="1:4" x14ac:dyDescent="0.25">
      <c r="A1170" s="27" t="s">
        <v>21</v>
      </c>
      <c r="B1170" s="24" t="s">
        <v>51</v>
      </c>
      <c r="C1170" s="21" t="s">
        <v>272</v>
      </c>
      <c r="D1170" s="30">
        <f>'Summary by Site'!$M$114</f>
        <v>146</v>
      </c>
    </row>
    <row r="1171" spans="1:4" x14ac:dyDescent="0.25">
      <c r="A1171" s="28" t="s">
        <v>21</v>
      </c>
      <c r="B1171" s="25" t="s">
        <v>51</v>
      </c>
      <c r="C1171" s="12" t="s">
        <v>0</v>
      </c>
      <c r="D1171" s="31">
        <f>'Summary by Site'!$M$115</f>
        <v>144</v>
      </c>
    </row>
    <row r="1172" spans="1:4" x14ac:dyDescent="0.25">
      <c r="A1172" s="28" t="s">
        <v>21</v>
      </c>
      <c r="B1172" s="25" t="s">
        <v>51</v>
      </c>
      <c r="C1172" s="12" t="s">
        <v>273</v>
      </c>
      <c r="D1172" s="31">
        <f>'Summary by Site'!$M$116</f>
        <v>0</v>
      </c>
    </row>
    <row r="1173" spans="1:4" x14ac:dyDescent="0.25">
      <c r="A1173" s="28" t="s">
        <v>21</v>
      </c>
      <c r="B1173" s="25" t="s">
        <v>51</v>
      </c>
      <c r="C1173" s="12" t="s">
        <v>274</v>
      </c>
      <c r="D1173" s="31">
        <f>'Summary by Site'!$M$117</f>
        <v>0</v>
      </c>
    </row>
    <row r="1174" spans="1:4" x14ac:dyDescent="0.25">
      <c r="A1174" s="28" t="s">
        <v>21</v>
      </c>
      <c r="B1174" s="25" t="s">
        <v>51</v>
      </c>
      <c r="C1174" s="12" t="s">
        <v>275</v>
      </c>
      <c r="D1174" s="31">
        <f>'Summary by Site'!$M$118</f>
        <v>2</v>
      </c>
    </row>
    <row r="1175" spans="1:4" x14ac:dyDescent="0.25">
      <c r="A1175" s="29" t="s">
        <v>21</v>
      </c>
      <c r="B1175" s="33" t="s">
        <v>51</v>
      </c>
      <c r="C1175" s="14" t="s">
        <v>276</v>
      </c>
      <c r="D1175" s="32">
        <f>'Summary by Site'!$M$119</f>
        <v>0.98630136986301364</v>
      </c>
    </row>
    <row r="1176" spans="1:4" x14ac:dyDescent="0.25">
      <c r="A1176" s="28" t="s">
        <v>21</v>
      </c>
      <c r="B1176" s="25" t="s">
        <v>51</v>
      </c>
      <c r="C1176" s="12" t="s">
        <v>277</v>
      </c>
      <c r="D1176" s="31">
        <f>'Summary by Site'!$M$120</f>
        <v>3117</v>
      </c>
    </row>
    <row r="1177" spans="1:4" x14ac:dyDescent="0.25">
      <c r="A1177" s="28" t="s">
        <v>21</v>
      </c>
      <c r="B1177" s="25" t="s">
        <v>51</v>
      </c>
      <c r="C1177" s="12" t="s">
        <v>278</v>
      </c>
      <c r="D1177" s="31">
        <f>'Summary by Site'!$M$121</f>
        <v>366</v>
      </c>
    </row>
    <row r="1178" spans="1:4" x14ac:dyDescent="0.25">
      <c r="A1178" s="28" t="s">
        <v>21</v>
      </c>
      <c r="B1178" s="25" t="s">
        <v>51</v>
      </c>
      <c r="C1178" s="12" t="s">
        <v>279</v>
      </c>
      <c r="D1178" s="31">
        <f>'Summary by Site'!$M$122</f>
        <v>0</v>
      </c>
    </row>
    <row r="1179" spans="1:4" x14ac:dyDescent="0.25">
      <c r="A1179" s="28" t="s">
        <v>21</v>
      </c>
      <c r="B1179" s="25" t="s">
        <v>51</v>
      </c>
      <c r="C1179" s="12" t="s">
        <v>280</v>
      </c>
      <c r="D1179" s="31">
        <f>'Summary by Site'!$M$123</f>
        <v>5</v>
      </c>
    </row>
    <row r="1180" spans="1:4" x14ac:dyDescent="0.25">
      <c r="A1180" s="28" t="s">
        <v>21</v>
      </c>
      <c r="B1180" s="25" t="s">
        <v>51</v>
      </c>
      <c r="C1180" s="12" t="s">
        <v>281</v>
      </c>
      <c r="D1180" s="31">
        <f>'Summary by Site'!$M$124</f>
        <v>1687</v>
      </c>
    </row>
    <row r="1181" spans="1:4" x14ac:dyDescent="0.25">
      <c r="A1181" s="28" t="s">
        <v>21</v>
      </c>
      <c r="B1181" s="25" t="s">
        <v>51</v>
      </c>
      <c r="C1181" s="12" t="s">
        <v>282</v>
      </c>
      <c r="D1181" s="31">
        <f>'Summary by Site'!$M$125</f>
        <v>4</v>
      </c>
    </row>
    <row r="1182" spans="1:4" x14ac:dyDescent="0.25">
      <c r="A1182" s="28" t="s">
        <v>21</v>
      </c>
      <c r="B1182" s="25" t="s">
        <v>51</v>
      </c>
      <c r="C1182" s="12" t="s">
        <v>283</v>
      </c>
      <c r="D1182" s="31">
        <f>'Summary by Site'!$M$126</f>
        <v>1046</v>
      </c>
    </row>
    <row r="1183" spans="1:4" x14ac:dyDescent="0.25">
      <c r="A1183" s="28" t="s">
        <v>21</v>
      </c>
      <c r="B1183" s="25" t="s">
        <v>51</v>
      </c>
      <c r="C1183" s="12" t="s">
        <v>284</v>
      </c>
      <c r="D1183" s="31">
        <f>'Summary by Site'!$M$127</f>
        <v>9</v>
      </c>
    </row>
    <row r="1184" spans="1:4" x14ac:dyDescent="0.25">
      <c r="A1184" s="29" t="s">
        <v>21</v>
      </c>
      <c r="B1184" s="33" t="s">
        <v>51</v>
      </c>
      <c r="C1184" s="14" t="s">
        <v>285</v>
      </c>
      <c r="D1184" s="32">
        <f>'Summary by Site'!$M$128</f>
        <v>0.99711260827718962</v>
      </c>
    </row>
    <row r="1185" spans="1:4" x14ac:dyDescent="0.25">
      <c r="A1185" s="29" t="s">
        <v>21</v>
      </c>
      <c r="B1185" s="33" t="s">
        <v>51</v>
      </c>
      <c r="C1185" s="14" t="s">
        <v>286</v>
      </c>
      <c r="D1185" s="32">
        <f>'Summary by Site'!$M$129</f>
        <v>0.99662886913882931</v>
      </c>
    </row>
    <row r="1186" spans="1:4" x14ac:dyDescent="0.25">
      <c r="A1186" s="27" t="s">
        <v>21</v>
      </c>
      <c r="B1186" s="24" t="s">
        <v>89</v>
      </c>
      <c r="C1186" s="21" t="s">
        <v>272</v>
      </c>
      <c r="D1186" s="30">
        <f>'Summary by Site'!$N$114</f>
        <v>135</v>
      </c>
    </row>
    <row r="1187" spans="1:4" x14ac:dyDescent="0.25">
      <c r="A1187" s="28" t="s">
        <v>21</v>
      </c>
      <c r="B1187" s="25" t="s">
        <v>89</v>
      </c>
      <c r="C1187" s="12" t="s">
        <v>0</v>
      </c>
      <c r="D1187" s="31">
        <f>'Summary by Site'!$N$115</f>
        <v>133</v>
      </c>
    </row>
    <row r="1188" spans="1:4" x14ac:dyDescent="0.25">
      <c r="A1188" s="28" t="s">
        <v>21</v>
      </c>
      <c r="B1188" s="25" t="s">
        <v>89</v>
      </c>
      <c r="C1188" s="12" t="s">
        <v>273</v>
      </c>
      <c r="D1188" s="31">
        <f>'Summary by Site'!$N$116</f>
        <v>0</v>
      </c>
    </row>
    <row r="1189" spans="1:4" x14ac:dyDescent="0.25">
      <c r="A1189" s="28" t="s">
        <v>21</v>
      </c>
      <c r="B1189" s="25" t="s">
        <v>89</v>
      </c>
      <c r="C1189" s="12" t="s">
        <v>274</v>
      </c>
      <c r="D1189" s="31">
        <f>'Summary by Site'!$N$117</f>
        <v>0</v>
      </c>
    </row>
    <row r="1190" spans="1:4" x14ac:dyDescent="0.25">
      <c r="A1190" s="28" t="s">
        <v>21</v>
      </c>
      <c r="B1190" s="25" t="s">
        <v>89</v>
      </c>
      <c r="C1190" s="12" t="s">
        <v>275</v>
      </c>
      <c r="D1190" s="31">
        <f>'Summary by Site'!$N$118</f>
        <v>2</v>
      </c>
    </row>
    <row r="1191" spans="1:4" x14ac:dyDescent="0.25">
      <c r="A1191" s="29" t="s">
        <v>21</v>
      </c>
      <c r="B1191" s="33" t="s">
        <v>89</v>
      </c>
      <c r="C1191" s="14" t="s">
        <v>276</v>
      </c>
      <c r="D1191" s="32">
        <f>'Summary by Site'!$N$119</f>
        <v>0.98518518518518516</v>
      </c>
    </row>
    <row r="1192" spans="1:4" x14ac:dyDescent="0.25">
      <c r="A1192" s="28" t="s">
        <v>21</v>
      </c>
      <c r="B1192" s="25" t="s">
        <v>89</v>
      </c>
      <c r="C1192" s="12" t="s">
        <v>277</v>
      </c>
      <c r="D1192" s="31">
        <f>'Summary by Site'!$N$120</f>
        <v>2961</v>
      </c>
    </row>
    <row r="1193" spans="1:4" x14ac:dyDescent="0.25">
      <c r="A1193" s="28" t="s">
        <v>21</v>
      </c>
      <c r="B1193" s="25" t="s">
        <v>89</v>
      </c>
      <c r="C1193" s="12" t="s">
        <v>278</v>
      </c>
      <c r="D1193" s="31">
        <f>'Summary by Site'!$N$121</f>
        <v>322</v>
      </c>
    </row>
    <row r="1194" spans="1:4" x14ac:dyDescent="0.25">
      <c r="A1194" s="28" t="s">
        <v>21</v>
      </c>
      <c r="B1194" s="25" t="s">
        <v>89</v>
      </c>
      <c r="C1194" s="12" t="s">
        <v>279</v>
      </c>
      <c r="D1194" s="31">
        <f>'Summary by Site'!$N$122</f>
        <v>0</v>
      </c>
    </row>
    <row r="1195" spans="1:4" x14ac:dyDescent="0.25">
      <c r="A1195" s="28" t="s">
        <v>21</v>
      </c>
      <c r="B1195" s="25" t="s">
        <v>89</v>
      </c>
      <c r="C1195" s="12" t="s">
        <v>280</v>
      </c>
      <c r="D1195" s="31">
        <f>'Summary by Site'!$N$123</f>
        <v>2</v>
      </c>
    </row>
    <row r="1196" spans="1:4" x14ac:dyDescent="0.25">
      <c r="A1196" s="28" t="s">
        <v>21</v>
      </c>
      <c r="B1196" s="25" t="s">
        <v>89</v>
      </c>
      <c r="C1196" s="12" t="s">
        <v>281</v>
      </c>
      <c r="D1196" s="31">
        <f>'Summary by Site'!$N$124</f>
        <v>1691</v>
      </c>
    </row>
    <row r="1197" spans="1:4" x14ac:dyDescent="0.25">
      <c r="A1197" s="28" t="s">
        <v>21</v>
      </c>
      <c r="B1197" s="25" t="s">
        <v>89</v>
      </c>
      <c r="C1197" s="12" t="s">
        <v>282</v>
      </c>
      <c r="D1197" s="31">
        <f>'Summary by Site'!$N$125</f>
        <v>4</v>
      </c>
    </row>
    <row r="1198" spans="1:4" x14ac:dyDescent="0.25">
      <c r="A1198" s="28" t="s">
        <v>21</v>
      </c>
      <c r="B1198" s="25" t="s">
        <v>89</v>
      </c>
      <c r="C1198" s="12" t="s">
        <v>283</v>
      </c>
      <c r="D1198" s="31">
        <f>'Summary by Site'!$N$126</f>
        <v>936</v>
      </c>
    </row>
    <row r="1199" spans="1:4" x14ac:dyDescent="0.25">
      <c r="A1199" s="28" t="s">
        <v>21</v>
      </c>
      <c r="B1199" s="25" t="s">
        <v>89</v>
      </c>
      <c r="C1199" s="12" t="s">
        <v>284</v>
      </c>
      <c r="D1199" s="31">
        <f>'Summary by Site'!$N$127</f>
        <v>6</v>
      </c>
    </row>
    <row r="1200" spans="1:4" x14ac:dyDescent="0.25">
      <c r="A1200" s="29" t="s">
        <v>21</v>
      </c>
      <c r="B1200" s="33" t="s">
        <v>89</v>
      </c>
      <c r="C1200" s="14" t="s">
        <v>285</v>
      </c>
      <c r="D1200" s="32">
        <f>'Summary by Site'!$N$128</f>
        <v>0.99797365754812561</v>
      </c>
    </row>
    <row r="1201" spans="1:4" x14ac:dyDescent="0.25">
      <c r="A1201" s="29" t="s">
        <v>21</v>
      </c>
      <c r="B1201" s="33" t="s">
        <v>89</v>
      </c>
      <c r="C1201" s="14" t="s">
        <v>286</v>
      </c>
      <c r="D1201" s="32">
        <f>'Summary by Site'!$N$129</f>
        <v>0.99741602067183466</v>
      </c>
    </row>
    <row r="1202" spans="1:4" x14ac:dyDescent="0.25">
      <c r="A1202" s="27" t="s">
        <v>21</v>
      </c>
      <c r="B1202" s="24" t="s">
        <v>271</v>
      </c>
      <c r="C1202" s="21" t="s">
        <v>272</v>
      </c>
      <c r="D1202" s="30">
        <f>'Summary by Site'!$O$114</f>
        <v>83</v>
      </c>
    </row>
    <row r="1203" spans="1:4" x14ac:dyDescent="0.25">
      <c r="A1203" s="28" t="s">
        <v>21</v>
      </c>
      <c r="B1203" s="25" t="s">
        <v>271</v>
      </c>
      <c r="C1203" s="12" t="s">
        <v>0</v>
      </c>
      <c r="D1203" s="31">
        <f>'Summary by Site'!$O$115</f>
        <v>82</v>
      </c>
    </row>
    <row r="1204" spans="1:4" x14ac:dyDescent="0.25">
      <c r="A1204" s="28" t="s">
        <v>21</v>
      </c>
      <c r="B1204" s="25" t="s">
        <v>271</v>
      </c>
      <c r="C1204" s="12" t="s">
        <v>273</v>
      </c>
      <c r="D1204" s="31">
        <f>'Summary by Site'!$O$116</f>
        <v>0</v>
      </c>
    </row>
    <row r="1205" spans="1:4" x14ac:dyDescent="0.25">
      <c r="A1205" s="28" t="s">
        <v>21</v>
      </c>
      <c r="B1205" s="25" t="s">
        <v>271</v>
      </c>
      <c r="C1205" s="12" t="s">
        <v>274</v>
      </c>
      <c r="D1205" s="31">
        <f>'Summary by Site'!$O$117</f>
        <v>0</v>
      </c>
    </row>
    <row r="1206" spans="1:4" x14ac:dyDescent="0.25">
      <c r="A1206" s="28" t="s">
        <v>21</v>
      </c>
      <c r="B1206" s="25" t="s">
        <v>271</v>
      </c>
      <c r="C1206" s="12" t="s">
        <v>275</v>
      </c>
      <c r="D1206" s="31">
        <f>'Summary by Site'!$O$118</f>
        <v>1</v>
      </c>
    </row>
    <row r="1207" spans="1:4" x14ac:dyDescent="0.25">
      <c r="A1207" s="29" t="s">
        <v>21</v>
      </c>
      <c r="B1207" s="33" t="s">
        <v>271</v>
      </c>
      <c r="C1207" s="14" t="s">
        <v>276</v>
      </c>
      <c r="D1207" s="32">
        <f>'Summary by Site'!$O$119</f>
        <v>0.98795180722891562</v>
      </c>
    </row>
    <row r="1208" spans="1:4" x14ac:dyDescent="0.25">
      <c r="A1208" s="28" t="s">
        <v>21</v>
      </c>
      <c r="B1208" s="25" t="s">
        <v>271</v>
      </c>
      <c r="C1208" s="12" t="s">
        <v>277</v>
      </c>
      <c r="D1208" s="31">
        <f>'Summary by Site'!$O$120</f>
        <v>1964</v>
      </c>
    </row>
    <row r="1209" spans="1:4" x14ac:dyDescent="0.25">
      <c r="A1209" s="28" t="s">
        <v>21</v>
      </c>
      <c r="B1209" s="25" t="s">
        <v>271</v>
      </c>
      <c r="C1209" s="12" t="s">
        <v>278</v>
      </c>
      <c r="D1209" s="31">
        <f>'Summary by Site'!$O$121</f>
        <v>220</v>
      </c>
    </row>
    <row r="1210" spans="1:4" x14ac:dyDescent="0.25">
      <c r="A1210" s="28" t="s">
        <v>21</v>
      </c>
      <c r="B1210" s="25" t="s">
        <v>271</v>
      </c>
      <c r="C1210" s="12" t="s">
        <v>279</v>
      </c>
      <c r="D1210" s="31">
        <f>'Summary by Site'!$O$122</f>
        <v>0</v>
      </c>
    </row>
    <row r="1211" spans="1:4" x14ac:dyDescent="0.25">
      <c r="A1211" s="28" t="s">
        <v>21</v>
      </c>
      <c r="B1211" s="25" t="s">
        <v>271</v>
      </c>
      <c r="C1211" s="12" t="s">
        <v>280</v>
      </c>
      <c r="D1211" s="31">
        <f>'Summary by Site'!$O$123</f>
        <v>1</v>
      </c>
    </row>
    <row r="1212" spans="1:4" x14ac:dyDescent="0.25">
      <c r="A1212" s="28" t="s">
        <v>21</v>
      </c>
      <c r="B1212" s="25" t="s">
        <v>271</v>
      </c>
      <c r="C1212" s="12" t="s">
        <v>281</v>
      </c>
      <c r="D1212" s="31">
        <f>'Summary by Site'!$O$124</f>
        <v>1087</v>
      </c>
    </row>
    <row r="1213" spans="1:4" x14ac:dyDescent="0.25">
      <c r="A1213" s="28" t="s">
        <v>21</v>
      </c>
      <c r="B1213" s="25" t="s">
        <v>271</v>
      </c>
      <c r="C1213" s="12" t="s">
        <v>282</v>
      </c>
      <c r="D1213" s="31">
        <f>'Summary by Site'!$O$125</f>
        <v>3</v>
      </c>
    </row>
    <row r="1214" spans="1:4" x14ac:dyDescent="0.25">
      <c r="A1214" s="28" t="s">
        <v>21</v>
      </c>
      <c r="B1214" s="25" t="s">
        <v>271</v>
      </c>
      <c r="C1214" s="12" t="s">
        <v>283</v>
      </c>
      <c r="D1214" s="31">
        <f>'Summary by Site'!$O$126</f>
        <v>649</v>
      </c>
    </row>
    <row r="1215" spans="1:4" x14ac:dyDescent="0.25">
      <c r="A1215" s="28" t="s">
        <v>21</v>
      </c>
      <c r="B1215" s="25" t="s">
        <v>271</v>
      </c>
      <c r="C1215" s="12" t="s">
        <v>284</v>
      </c>
      <c r="D1215" s="31">
        <f>'Summary by Site'!$O$127</f>
        <v>4</v>
      </c>
    </row>
    <row r="1216" spans="1:4" x14ac:dyDescent="0.25">
      <c r="A1216" s="29" t="s">
        <v>21</v>
      </c>
      <c r="B1216" s="33" t="s">
        <v>271</v>
      </c>
      <c r="C1216" s="14" t="s">
        <v>285</v>
      </c>
      <c r="D1216" s="32">
        <f>'Summary by Site'!$O$128</f>
        <v>0.99796334012219956</v>
      </c>
    </row>
    <row r="1217" spans="1:4" x14ac:dyDescent="0.25">
      <c r="A1217" s="29" t="s">
        <v>21</v>
      </c>
      <c r="B1217" s="33" t="s">
        <v>271</v>
      </c>
      <c r="C1217" s="14" t="s">
        <v>286</v>
      </c>
      <c r="D1217" s="32">
        <f>'Summary by Site'!$O$129</f>
        <v>0.99755740107474355</v>
      </c>
    </row>
    <row r="1218" spans="1:4" x14ac:dyDescent="0.25">
      <c r="A1218" s="27" t="s">
        <v>324</v>
      </c>
      <c r="B1218" s="24" t="s">
        <v>19</v>
      </c>
      <c r="C1218" s="21" t="s">
        <v>272</v>
      </c>
      <c r="D1218" s="30">
        <f>'Summary by Site'!$D$132</f>
        <v>1177</v>
      </c>
    </row>
    <row r="1219" spans="1:4" x14ac:dyDescent="0.25">
      <c r="A1219" s="28" t="s">
        <v>324</v>
      </c>
      <c r="B1219" s="25" t="s">
        <v>19</v>
      </c>
      <c r="C1219" s="12" t="s">
        <v>0</v>
      </c>
      <c r="D1219" s="31">
        <f>'Summary by Site'!$D$133</f>
        <v>1175</v>
      </c>
    </row>
    <row r="1220" spans="1:4" x14ac:dyDescent="0.25">
      <c r="A1220" s="28" t="s">
        <v>324</v>
      </c>
      <c r="B1220" s="25" t="s">
        <v>19</v>
      </c>
      <c r="C1220" s="12" t="s">
        <v>273</v>
      </c>
      <c r="D1220" s="31">
        <f>'Summary by Site'!$D$134</f>
        <v>0</v>
      </c>
    </row>
    <row r="1221" spans="1:4" x14ac:dyDescent="0.25">
      <c r="A1221" s="28" t="s">
        <v>324</v>
      </c>
      <c r="B1221" s="25" t="s">
        <v>19</v>
      </c>
      <c r="C1221" s="12" t="s">
        <v>274</v>
      </c>
      <c r="D1221" s="31">
        <f>'Summary by Site'!$D$135</f>
        <v>0</v>
      </c>
    </row>
    <row r="1222" spans="1:4" x14ac:dyDescent="0.25">
      <c r="A1222" s="28" t="s">
        <v>324</v>
      </c>
      <c r="B1222" s="25" t="s">
        <v>19</v>
      </c>
      <c r="C1222" s="12" t="s">
        <v>275</v>
      </c>
      <c r="D1222" s="31">
        <f>'Summary by Site'!$D$136</f>
        <v>2</v>
      </c>
    </row>
    <row r="1223" spans="1:4" x14ac:dyDescent="0.25">
      <c r="A1223" s="29" t="s">
        <v>324</v>
      </c>
      <c r="B1223" s="26" t="s">
        <v>19</v>
      </c>
      <c r="C1223" s="14" t="s">
        <v>276</v>
      </c>
      <c r="D1223" s="32">
        <f>'Summary by Site'!$D$137</f>
        <v>0.99830076465590489</v>
      </c>
    </row>
    <row r="1224" spans="1:4" x14ac:dyDescent="0.25">
      <c r="A1224" s="28" t="s">
        <v>324</v>
      </c>
      <c r="B1224" s="25" t="s">
        <v>19</v>
      </c>
      <c r="C1224" s="12" t="s">
        <v>277</v>
      </c>
      <c r="D1224" s="31">
        <f>'Summary by Site'!$D$138</f>
        <v>16623</v>
      </c>
    </row>
    <row r="1225" spans="1:4" x14ac:dyDescent="0.25">
      <c r="A1225" s="28" t="s">
        <v>324</v>
      </c>
      <c r="B1225" s="25" t="s">
        <v>19</v>
      </c>
      <c r="C1225" s="12" t="s">
        <v>278</v>
      </c>
      <c r="D1225" s="31">
        <f>'Summary by Site'!$D$139</f>
        <v>4196</v>
      </c>
    </row>
    <row r="1226" spans="1:4" x14ac:dyDescent="0.25">
      <c r="A1226" s="28" t="s">
        <v>324</v>
      </c>
      <c r="B1226" s="25" t="s">
        <v>19</v>
      </c>
      <c r="C1226" s="12" t="s">
        <v>279</v>
      </c>
      <c r="D1226" s="31">
        <f>'Summary by Site'!$D$140</f>
        <v>1421</v>
      </c>
    </row>
    <row r="1227" spans="1:4" x14ac:dyDescent="0.25">
      <c r="A1227" s="28" t="s">
        <v>324</v>
      </c>
      <c r="B1227" s="25" t="s">
        <v>19</v>
      </c>
      <c r="C1227" s="12" t="s">
        <v>280</v>
      </c>
      <c r="D1227" s="31">
        <f>'Summary by Site'!$D$141</f>
        <v>18</v>
      </c>
    </row>
    <row r="1228" spans="1:4" x14ac:dyDescent="0.25">
      <c r="A1228" s="28" t="s">
        <v>324</v>
      </c>
      <c r="B1228" s="25" t="s">
        <v>19</v>
      </c>
      <c r="C1228" s="12" t="s">
        <v>281</v>
      </c>
      <c r="D1228" s="31">
        <f>'Summary by Site'!$D$142</f>
        <v>10828</v>
      </c>
    </row>
    <row r="1229" spans="1:4" x14ac:dyDescent="0.25">
      <c r="A1229" s="28" t="s">
        <v>324</v>
      </c>
      <c r="B1229" s="25" t="s">
        <v>19</v>
      </c>
      <c r="C1229" s="12" t="s">
        <v>282</v>
      </c>
      <c r="D1229" s="31">
        <f>'Summary by Site'!$D$143</f>
        <v>161</v>
      </c>
    </row>
    <row r="1230" spans="1:4" x14ac:dyDescent="0.25">
      <c r="A1230" s="28" t="s">
        <v>324</v>
      </c>
      <c r="B1230" s="25" t="s">
        <v>19</v>
      </c>
      <c r="C1230" s="12" t="s">
        <v>283</v>
      </c>
      <c r="D1230" s="31">
        <f>'Summary by Site'!$D$144</f>
        <v>0</v>
      </c>
    </row>
    <row r="1231" spans="1:4" x14ac:dyDescent="0.25">
      <c r="A1231" s="28" t="s">
        <v>324</v>
      </c>
      <c r="B1231" s="25" t="s">
        <v>19</v>
      </c>
      <c r="C1231" s="12" t="s">
        <v>284</v>
      </c>
      <c r="D1231" s="31">
        <f>'Summary by Site'!$D$145</f>
        <v>0</v>
      </c>
    </row>
    <row r="1232" spans="1:4" x14ac:dyDescent="0.25">
      <c r="A1232" s="29" t="s">
        <v>324</v>
      </c>
      <c r="B1232" s="26" t="s">
        <v>19</v>
      </c>
      <c r="C1232" s="14" t="s">
        <v>285</v>
      </c>
      <c r="D1232" s="32">
        <f>'Summary by Site'!$D$146</f>
        <v>0.98929194489562655</v>
      </c>
    </row>
    <row r="1233" spans="1:4" x14ac:dyDescent="0.25">
      <c r="A1233" s="29" t="s">
        <v>324</v>
      </c>
      <c r="B1233" s="26" t="s">
        <v>19</v>
      </c>
      <c r="C1233" s="14" t="s">
        <v>286</v>
      </c>
      <c r="D1233" s="32">
        <f>'Summary by Site'!$D$147</f>
        <v>0.98988764044943822</v>
      </c>
    </row>
    <row r="1234" spans="1:4" x14ac:dyDescent="0.25">
      <c r="A1234" s="27" t="s">
        <v>324</v>
      </c>
      <c r="B1234" s="24" t="s">
        <v>25</v>
      </c>
      <c r="C1234" s="21" t="s">
        <v>272</v>
      </c>
      <c r="D1234" s="30">
        <f>'Summary by Site'!$E$132</f>
        <v>1520</v>
      </c>
    </row>
    <row r="1235" spans="1:4" x14ac:dyDescent="0.25">
      <c r="A1235" s="28" t="s">
        <v>324</v>
      </c>
      <c r="B1235" s="25" t="s">
        <v>25</v>
      </c>
      <c r="C1235" s="12" t="s">
        <v>0</v>
      </c>
      <c r="D1235" s="31">
        <f>'Summary by Site'!$E$133</f>
        <v>1502</v>
      </c>
    </row>
    <row r="1236" spans="1:4" x14ac:dyDescent="0.25">
      <c r="A1236" s="28" t="s">
        <v>324</v>
      </c>
      <c r="B1236" s="25" t="s">
        <v>25</v>
      </c>
      <c r="C1236" s="12" t="s">
        <v>273</v>
      </c>
      <c r="D1236" s="31">
        <f>'Summary by Site'!$E$134</f>
        <v>11</v>
      </c>
    </row>
    <row r="1237" spans="1:4" x14ac:dyDescent="0.25">
      <c r="A1237" s="28" t="s">
        <v>324</v>
      </c>
      <c r="B1237" s="25" t="s">
        <v>25</v>
      </c>
      <c r="C1237" s="12" t="s">
        <v>274</v>
      </c>
      <c r="D1237" s="31">
        <f>'Summary by Site'!$E$135</f>
        <v>1</v>
      </c>
    </row>
    <row r="1238" spans="1:4" x14ac:dyDescent="0.25">
      <c r="A1238" s="28" t="s">
        <v>324</v>
      </c>
      <c r="B1238" s="25" t="s">
        <v>25</v>
      </c>
      <c r="C1238" s="12" t="s">
        <v>275</v>
      </c>
      <c r="D1238" s="31">
        <f>'Summary by Site'!$E$136</f>
        <v>6</v>
      </c>
    </row>
    <row r="1239" spans="1:4" x14ac:dyDescent="0.25">
      <c r="A1239" s="29" t="s">
        <v>324</v>
      </c>
      <c r="B1239" s="33" t="s">
        <v>25</v>
      </c>
      <c r="C1239" s="14" t="s">
        <v>276</v>
      </c>
      <c r="D1239" s="32">
        <f>'Summary by Site'!$E$137</f>
        <v>0.99605263157894741</v>
      </c>
    </row>
    <row r="1240" spans="1:4" x14ac:dyDescent="0.25">
      <c r="A1240" s="28" t="s">
        <v>324</v>
      </c>
      <c r="B1240" s="25" t="s">
        <v>25</v>
      </c>
      <c r="C1240" s="12" t="s">
        <v>277</v>
      </c>
      <c r="D1240" s="31">
        <f>'Summary by Site'!$E$138</f>
        <v>26358</v>
      </c>
    </row>
    <row r="1241" spans="1:4" x14ac:dyDescent="0.25">
      <c r="A1241" s="28" t="s">
        <v>324</v>
      </c>
      <c r="B1241" s="25" t="s">
        <v>25</v>
      </c>
      <c r="C1241" s="12" t="s">
        <v>278</v>
      </c>
      <c r="D1241" s="31">
        <f>'Summary by Site'!$E$139</f>
        <v>4659</v>
      </c>
    </row>
    <row r="1242" spans="1:4" x14ac:dyDescent="0.25">
      <c r="A1242" s="28" t="s">
        <v>324</v>
      </c>
      <c r="B1242" s="25" t="s">
        <v>25</v>
      </c>
      <c r="C1242" s="12" t="s">
        <v>279</v>
      </c>
      <c r="D1242" s="31">
        <f>'Summary by Site'!$E$140</f>
        <v>0</v>
      </c>
    </row>
    <row r="1243" spans="1:4" x14ac:dyDescent="0.25">
      <c r="A1243" s="28" t="s">
        <v>324</v>
      </c>
      <c r="B1243" s="25" t="s">
        <v>25</v>
      </c>
      <c r="C1243" s="12" t="s">
        <v>280</v>
      </c>
      <c r="D1243" s="31">
        <f>'Summary by Site'!$E$141</f>
        <v>28</v>
      </c>
    </row>
    <row r="1244" spans="1:4" x14ac:dyDescent="0.25">
      <c r="A1244" s="28" t="s">
        <v>324</v>
      </c>
      <c r="B1244" s="25" t="s">
        <v>25</v>
      </c>
      <c r="C1244" s="12" t="s">
        <v>281</v>
      </c>
      <c r="D1244" s="31">
        <f>'Summary by Site'!$E$142</f>
        <v>11698</v>
      </c>
    </row>
    <row r="1245" spans="1:4" x14ac:dyDescent="0.25">
      <c r="A1245" s="28" t="s">
        <v>324</v>
      </c>
      <c r="B1245" s="25" t="s">
        <v>25</v>
      </c>
      <c r="C1245" s="12" t="s">
        <v>282</v>
      </c>
      <c r="D1245" s="31">
        <f>'Summary by Site'!$E$143</f>
        <v>97</v>
      </c>
    </row>
    <row r="1246" spans="1:4" x14ac:dyDescent="0.25">
      <c r="A1246" s="28" t="s">
        <v>324</v>
      </c>
      <c r="B1246" s="25" t="s">
        <v>25</v>
      </c>
      <c r="C1246" s="12" t="s">
        <v>283</v>
      </c>
      <c r="D1246" s="31">
        <f>'Summary by Site'!$E$144</f>
        <v>9641</v>
      </c>
    </row>
    <row r="1247" spans="1:4" x14ac:dyDescent="0.25">
      <c r="A1247" s="28" t="s">
        <v>324</v>
      </c>
      <c r="B1247" s="25" t="s">
        <v>25</v>
      </c>
      <c r="C1247" s="12" t="s">
        <v>284</v>
      </c>
      <c r="D1247" s="31">
        <f>'Summary by Site'!$E$145</f>
        <v>235</v>
      </c>
    </row>
    <row r="1248" spans="1:4" x14ac:dyDescent="0.25">
      <c r="A1248" s="29" t="s">
        <v>324</v>
      </c>
      <c r="B1248" s="33" t="s">
        <v>25</v>
      </c>
      <c r="C1248" s="14" t="s">
        <v>285</v>
      </c>
      <c r="D1248" s="32">
        <f>'Summary by Site'!$E$146</f>
        <v>0.9952576067986949</v>
      </c>
    </row>
    <row r="1249" spans="1:4" x14ac:dyDescent="0.25">
      <c r="A1249" s="29" t="s">
        <v>324</v>
      </c>
      <c r="B1249" s="33" t="s">
        <v>25</v>
      </c>
      <c r="C1249" s="14" t="s">
        <v>286</v>
      </c>
      <c r="D1249" s="32">
        <f>'Summary by Site'!$E$147</f>
        <v>0.99530095415740005</v>
      </c>
    </row>
    <row r="1250" spans="1:4" x14ac:dyDescent="0.25">
      <c r="A1250" s="27" t="s">
        <v>324</v>
      </c>
      <c r="B1250" s="24" t="s">
        <v>26</v>
      </c>
      <c r="C1250" s="21" t="s">
        <v>272</v>
      </c>
      <c r="D1250" s="30">
        <f>'Summary by Site'!$F$132</f>
        <v>1642</v>
      </c>
    </row>
    <row r="1251" spans="1:4" x14ac:dyDescent="0.25">
      <c r="A1251" s="28" t="s">
        <v>324</v>
      </c>
      <c r="B1251" s="25" t="s">
        <v>26</v>
      </c>
      <c r="C1251" s="12" t="s">
        <v>0</v>
      </c>
      <c r="D1251" s="31">
        <f>'Summary by Site'!$F$133</f>
        <v>1638</v>
      </c>
    </row>
    <row r="1252" spans="1:4" x14ac:dyDescent="0.25">
      <c r="A1252" s="28" t="s">
        <v>324</v>
      </c>
      <c r="B1252" s="25" t="s">
        <v>26</v>
      </c>
      <c r="C1252" s="12" t="s">
        <v>273</v>
      </c>
      <c r="D1252" s="31">
        <f>'Summary by Site'!$F$134</f>
        <v>0</v>
      </c>
    </row>
    <row r="1253" spans="1:4" x14ac:dyDescent="0.25">
      <c r="A1253" s="28" t="s">
        <v>324</v>
      </c>
      <c r="B1253" s="25" t="s">
        <v>26</v>
      </c>
      <c r="C1253" s="12" t="s">
        <v>274</v>
      </c>
      <c r="D1253" s="31">
        <f>'Summary by Site'!$F$135</f>
        <v>0</v>
      </c>
    </row>
    <row r="1254" spans="1:4" x14ac:dyDescent="0.25">
      <c r="A1254" s="28" t="s">
        <v>324</v>
      </c>
      <c r="B1254" s="25" t="s">
        <v>26</v>
      </c>
      <c r="C1254" s="12" t="s">
        <v>275</v>
      </c>
      <c r="D1254" s="31">
        <f>'Summary by Site'!$F$136</f>
        <v>4</v>
      </c>
    </row>
    <row r="1255" spans="1:4" x14ac:dyDescent="0.25">
      <c r="A1255" s="29" t="s">
        <v>324</v>
      </c>
      <c r="B1255" s="33" t="s">
        <v>26</v>
      </c>
      <c r="C1255" s="14" t="s">
        <v>276</v>
      </c>
      <c r="D1255" s="32">
        <f>'Summary by Site'!$F$137</f>
        <v>0.997563946406821</v>
      </c>
    </row>
    <row r="1256" spans="1:4" x14ac:dyDescent="0.25">
      <c r="A1256" s="28" t="s">
        <v>324</v>
      </c>
      <c r="B1256" s="25" t="s">
        <v>26</v>
      </c>
      <c r="C1256" s="12" t="s">
        <v>277</v>
      </c>
      <c r="D1256" s="31">
        <f>'Summary by Site'!$F$138</f>
        <v>27667</v>
      </c>
    </row>
    <row r="1257" spans="1:4" x14ac:dyDescent="0.25">
      <c r="A1257" s="28" t="s">
        <v>324</v>
      </c>
      <c r="B1257" s="25" t="s">
        <v>26</v>
      </c>
      <c r="C1257" s="12" t="s">
        <v>278</v>
      </c>
      <c r="D1257" s="31">
        <f>'Summary by Site'!$F$139</f>
        <v>4835</v>
      </c>
    </row>
    <row r="1258" spans="1:4" x14ac:dyDescent="0.25">
      <c r="A1258" s="28" t="s">
        <v>324</v>
      </c>
      <c r="B1258" s="25" t="s">
        <v>26</v>
      </c>
      <c r="C1258" s="12" t="s">
        <v>279</v>
      </c>
      <c r="D1258" s="31">
        <f>'Summary by Site'!$F$140</f>
        <v>0</v>
      </c>
    </row>
    <row r="1259" spans="1:4" x14ac:dyDescent="0.25">
      <c r="A1259" s="28" t="s">
        <v>324</v>
      </c>
      <c r="B1259" s="25" t="s">
        <v>26</v>
      </c>
      <c r="C1259" s="12" t="s">
        <v>280</v>
      </c>
      <c r="D1259" s="31">
        <f>'Summary by Site'!$F$141</f>
        <v>22</v>
      </c>
    </row>
    <row r="1260" spans="1:4" x14ac:dyDescent="0.25">
      <c r="A1260" s="28" t="s">
        <v>324</v>
      </c>
      <c r="B1260" s="25" t="s">
        <v>26</v>
      </c>
      <c r="C1260" s="12" t="s">
        <v>281</v>
      </c>
      <c r="D1260" s="31">
        <f>'Summary by Site'!$F$142</f>
        <v>11467</v>
      </c>
    </row>
    <row r="1261" spans="1:4" x14ac:dyDescent="0.25">
      <c r="A1261" s="28" t="s">
        <v>324</v>
      </c>
      <c r="B1261" s="25" t="s">
        <v>26</v>
      </c>
      <c r="C1261" s="12" t="s">
        <v>282</v>
      </c>
      <c r="D1261" s="31">
        <f>'Summary by Site'!$F$143</f>
        <v>99</v>
      </c>
    </row>
    <row r="1262" spans="1:4" x14ac:dyDescent="0.25">
      <c r="A1262" s="28" t="s">
        <v>324</v>
      </c>
      <c r="B1262" s="25" t="s">
        <v>26</v>
      </c>
      <c r="C1262" s="12" t="s">
        <v>283</v>
      </c>
      <c r="D1262" s="31">
        <f>'Summary by Site'!$F$144</f>
        <v>11043</v>
      </c>
    </row>
    <row r="1263" spans="1:4" x14ac:dyDescent="0.25">
      <c r="A1263" s="28" t="s">
        <v>324</v>
      </c>
      <c r="B1263" s="25" t="s">
        <v>26</v>
      </c>
      <c r="C1263" s="12" t="s">
        <v>284</v>
      </c>
      <c r="D1263" s="31">
        <f>'Summary by Site'!$F$145</f>
        <v>201</v>
      </c>
    </row>
    <row r="1264" spans="1:4" x14ac:dyDescent="0.25">
      <c r="A1264" s="29" t="s">
        <v>324</v>
      </c>
      <c r="B1264" s="33" t="s">
        <v>26</v>
      </c>
      <c r="C1264" s="14" t="s">
        <v>285</v>
      </c>
      <c r="D1264" s="32">
        <f>'Summary by Site'!$F$146</f>
        <v>0.99562655871616002</v>
      </c>
    </row>
    <row r="1265" spans="1:4" x14ac:dyDescent="0.25">
      <c r="A1265" s="29" t="s">
        <v>324</v>
      </c>
      <c r="B1265" s="33" t="s">
        <v>26</v>
      </c>
      <c r="C1265" s="14" t="s">
        <v>286</v>
      </c>
      <c r="D1265" s="32">
        <f>'Summary by Site'!$F$147</f>
        <v>0.99573509843392816</v>
      </c>
    </row>
    <row r="1266" spans="1:4" x14ac:dyDescent="0.25">
      <c r="A1266" s="27" t="s">
        <v>324</v>
      </c>
      <c r="B1266" s="24" t="s">
        <v>38</v>
      </c>
      <c r="C1266" s="21" t="s">
        <v>272</v>
      </c>
      <c r="D1266" s="30">
        <f>'Summary by Site'!$G$132</f>
        <v>1491</v>
      </c>
    </row>
    <row r="1267" spans="1:4" x14ac:dyDescent="0.25">
      <c r="A1267" s="28" t="s">
        <v>324</v>
      </c>
      <c r="B1267" s="25" t="s">
        <v>38</v>
      </c>
      <c r="C1267" s="12" t="s">
        <v>0</v>
      </c>
      <c r="D1267" s="31">
        <f>'Summary by Site'!$G$133</f>
        <v>1487</v>
      </c>
    </row>
    <row r="1268" spans="1:4" x14ac:dyDescent="0.25">
      <c r="A1268" s="28" t="s">
        <v>324</v>
      </c>
      <c r="B1268" s="25" t="s">
        <v>38</v>
      </c>
      <c r="C1268" s="12" t="s">
        <v>273</v>
      </c>
      <c r="D1268" s="31">
        <f>'Summary by Site'!$G$134</f>
        <v>0</v>
      </c>
    </row>
    <row r="1269" spans="1:4" x14ac:dyDescent="0.25">
      <c r="A1269" s="28" t="s">
        <v>324</v>
      </c>
      <c r="B1269" s="25" t="s">
        <v>38</v>
      </c>
      <c r="C1269" s="12" t="s">
        <v>274</v>
      </c>
      <c r="D1269" s="31">
        <f>'Summary by Site'!$G$135</f>
        <v>2</v>
      </c>
    </row>
    <row r="1270" spans="1:4" x14ac:dyDescent="0.25">
      <c r="A1270" s="28" t="s">
        <v>324</v>
      </c>
      <c r="B1270" s="25" t="s">
        <v>38</v>
      </c>
      <c r="C1270" s="12" t="s">
        <v>275</v>
      </c>
      <c r="D1270" s="31">
        <f>'Summary by Site'!$G$136</f>
        <v>2</v>
      </c>
    </row>
    <row r="1271" spans="1:4" x14ac:dyDescent="0.25">
      <c r="A1271" s="29" t="s">
        <v>324</v>
      </c>
      <c r="B1271" s="33" t="s">
        <v>38</v>
      </c>
      <c r="C1271" s="14" t="s">
        <v>276</v>
      </c>
      <c r="D1271" s="32">
        <f>'Summary by Site'!$G$137</f>
        <v>0.99865861837692826</v>
      </c>
    </row>
    <row r="1272" spans="1:4" x14ac:dyDescent="0.25">
      <c r="A1272" s="28" t="s">
        <v>324</v>
      </c>
      <c r="B1272" s="25" t="s">
        <v>38</v>
      </c>
      <c r="C1272" s="12" t="s">
        <v>277</v>
      </c>
      <c r="D1272" s="31">
        <f>'Summary by Site'!$G$138</f>
        <v>25843</v>
      </c>
    </row>
    <row r="1273" spans="1:4" x14ac:dyDescent="0.25">
      <c r="A1273" s="28" t="s">
        <v>324</v>
      </c>
      <c r="B1273" s="25" t="s">
        <v>38</v>
      </c>
      <c r="C1273" s="12" t="s">
        <v>278</v>
      </c>
      <c r="D1273" s="31">
        <f>'Summary by Site'!$G$139</f>
        <v>5243</v>
      </c>
    </row>
    <row r="1274" spans="1:4" x14ac:dyDescent="0.25">
      <c r="A1274" s="28" t="s">
        <v>324</v>
      </c>
      <c r="B1274" s="25" t="s">
        <v>38</v>
      </c>
      <c r="C1274" s="12" t="s">
        <v>279</v>
      </c>
      <c r="D1274" s="31">
        <f>'Summary by Site'!$G$140</f>
        <v>0</v>
      </c>
    </row>
    <row r="1275" spans="1:4" x14ac:dyDescent="0.25">
      <c r="A1275" s="28" t="s">
        <v>324</v>
      </c>
      <c r="B1275" s="25" t="s">
        <v>38</v>
      </c>
      <c r="C1275" s="12" t="s">
        <v>280</v>
      </c>
      <c r="D1275" s="31">
        <f>'Summary by Site'!$G$141</f>
        <v>22</v>
      </c>
    </row>
    <row r="1276" spans="1:4" x14ac:dyDescent="0.25">
      <c r="A1276" s="28" t="s">
        <v>324</v>
      </c>
      <c r="B1276" s="25" t="s">
        <v>38</v>
      </c>
      <c r="C1276" s="12" t="s">
        <v>281</v>
      </c>
      <c r="D1276" s="31">
        <f>'Summary by Site'!$G$142</f>
        <v>10521</v>
      </c>
    </row>
    <row r="1277" spans="1:4" x14ac:dyDescent="0.25">
      <c r="A1277" s="28" t="s">
        <v>324</v>
      </c>
      <c r="B1277" s="25" t="s">
        <v>38</v>
      </c>
      <c r="C1277" s="12" t="s">
        <v>282</v>
      </c>
      <c r="D1277" s="31">
        <f>'Summary by Site'!$G$143</f>
        <v>134</v>
      </c>
    </row>
    <row r="1278" spans="1:4" x14ac:dyDescent="0.25">
      <c r="A1278" s="28" t="s">
        <v>324</v>
      </c>
      <c r="B1278" s="25" t="s">
        <v>38</v>
      </c>
      <c r="C1278" s="12" t="s">
        <v>283</v>
      </c>
      <c r="D1278" s="31">
        <f>'Summary by Site'!$G$144</f>
        <v>9746</v>
      </c>
    </row>
    <row r="1279" spans="1:4" x14ac:dyDescent="0.25">
      <c r="A1279" s="28" t="s">
        <v>324</v>
      </c>
      <c r="B1279" s="25" t="s">
        <v>38</v>
      </c>
      <c r="C1279" s="12" t="s">
        <v>284</v>
      </c>
      <c r="D1279" s="31">
        <f>'Summary by Site'!$G$145</f>
        <v>177</v>
      </c>
    </row>
    <row r="1280" spans="1:4" x14ac:dyDescent="0.25">
      <c r="A1280" s="29" t="s">
        <v>324</v>
      </c>
      <c r="B1280" s="33" t="s">
        <v>38</v>
      </c>
      <c r="C1280" s="14" t="s">
        <v>285</v>
      </c>
      <c r="D1280" s="32">
        <f>'Summary by Site'!$G$146</f>
        <v>0.99396354912355378</v>
      </c>
    </row>
    <row r="1281" spans="1:4" x14ac:dyDescent="0.25">
      <c r="A1281" s="29" t="s">
        <v>324</v>
      </c>
      <c r="B1281" s="33" t="s">
        <v>38</v>
      </c>
      <c r="C1281" s="14" t="s">
        <v>286</v>
      </c>
      <c r="D1281" s="32">
        <f>'Summary by Site'!$G$147</f>
        <v>0.9942196531791907</v>
      </c>
    </row>
    <row r="1282" spans="1:4" x14ac:dyDescent="0.25">
      <c r="A1282" s="27" t="s">
        <v>324</v>
      </c>
      <c r="B1282" s="24" t="s">
        <v>44</v>
      </c>
      <c r="C1282" s="21" t="s">
        <v>272</v>
      </c>
      <c r="D1282" s="30">
        <f>'Summary by Site'!$H$132</f>
        <v>1764</v>
      </c>
    </row>
    <row r="1283" spans="1:4" x14ac:dyDescent="0.25">
      <c r="A1283" s="28" t="s">
        <v>324</v>
      </c>
      <c r="B1283" s="25" t="s">
        <v>44</v>
      </c>
      <c r="C1283" s="12" t="s">
        <v>0</v>
      </c>
      <c r="D1283" s="31">
        <f>'Summary by Site'!$H$133</f>
        <v>1753</v>
      </c>
    </row>
    <row r="1284" spans="1:4" x14ac:dyDescent="0.25">
      <c r="A1284" s="28" t="s">
        <v>324</v>
      </c>
      <c r="B1284" s="25" t="s">
        <v>44</v>
      </c>
      <c r="C1284" s="12" t="s">
        <v>273</v>
      </c>
      <c r="D1284" s="31">
        <f>'Summary by Site'!$H$134</f>
        <v>3</v>
      </c>
    </row>
    <row r="1285" spans="1:4" x14ac:dyDescent="0.25">
      <c r="A1285" s="28" t="s">
        <v>324</v>
      </c>
      <c r="B1285" s="25" t="s">
        <v>44</v>
      </c>
      <c r="C1285" s="12" t="s">
        <v>274</v>
      </c>
      <c r="D1285" s="31">
        <f>'Summary by Site'!$H$135</f>
        <v>1</v>
      </c>
    </row>
    <row r="1286" spans="1:4" x14ac:dyDescent="0.25">
      <c r="A1286" s="28" t="s">
        <v>324</v>
      </c>
      <c r="B1286" s="25" t="s">
        <v>44</v>
      </c>
      <c r="C1286" s="12" t="s">
        <v>275</v>
      </c>
      <c r="D1286" s="31">
        <f>'Summary by Site'!$H$136</f>
        <v>7</v>
      </c>
    </row>
    <row r="1287" spans="1:4" x14ac:dyDescent="0.25">
      <c r="A1287" s="29" t="s">
        <v>324</v>
      </c>
      <c r="B1287" s="33" t="s">
        <v>44</v>
      </c>
      <c r="C1287" s="14" t="s">
        <v>276</v>
      </c>
      <c r="D1287" s="32">
        <f>'Summary by Site'!$H$137</f>
        <v>0.99603174603174605</v>
      </c>
    </row>
    <row r="1288" spans="1:4" x14ac:dyDescent="0.25">
      <c r="A1288" s="28" t="s">
        <v>324</v>
      </c>
      <c r="B1288" s="25" t="s">
        <v>44</v>
      </c>
      <c r="C1288" s="12" t="s">
        <v>277</v>
      </c>
      <c r="D1288" s="31">
        <f>'Summary by Site'!$H$138</f>
        <v>27011</v>
      </c>
    </row>
    <row r="1289" spans="1:4" x14ac:dyDescent="0.25">
      <c r="A1289" s="28" t="s">
        <v>324</v>
      </c>
      <c r="B1289" s="25" t="s">
        <v>44</v>
      </c>
      <c r="C1289" s="12" t="s">
        <v>278</v>
      </c>
      <c r="D1289" s="31">
        <f>'Summary by Site'!$H$139</f>
        <v>4802</v>
      </c>
    </row>
    <row r="1290" spans="1:4" x14ac:dyDescent="0.25">
      <c r="A1290" s="28" t="s">
        <v>324</v>
      </c>
      <c r="B1290" s="25" t="s">
        <v>44</v>
      </c>
      <c r="C1290" s="12" t="s">
        <v>279</v>
      </c>
      <c r="D1290" s="31">
        <f>'Summary by Site'!$H$140</f>
        <v>0</v>
      </c>
    </row>
    <row r="1291" spans="1:4" x14ac:dyDescent="0.25">
      <c r="A1291" s="28" t="s">
        <v>324</v>
      </c>
      <c r="B1291" s="25" t="s">
        <v>44</v>
      </c>
      <c r="C1291" s="12" t="s">
        <v>280</v>
      </c>
      <c r="D1291" s="31">
        <f>'Summary by Site'!$H$141</f>
        <v>62</v>
      </c>
    </row>
    <row r="1292" spans="1:4" x14ac:dyDescent="0.25">
      <c r="A1292" s="28" t="s">
        <v>324</v>
      </c>
      <c r="B1292" s="25" t="s">
        <v>44</v>
      </c>
      <c r="C1292" s="12" t="s">
        <v>281</v>
      </c>
      <c r="D1292" s="31">
        <f>'Summary by Site'!$H$142</f>
        <v>12121</v>
      </c>
    </row>
    <row r="1293" spans="1:4" x14ac:dyDescent="0.25">
      <c r="A1293" s="28" t="s">
        <v>324</v>
      </c>
      <c r="B1293" s="25" t="s">
        <v>44</v>
      </c>
      <c r="C1293" s="12" t="s">
        <v>282</v>
      </c>
      <c r="D1293" s="31">
        <f>'Summary by Site'!$H$143</f>
        <v>99</v>
      </c>
    </row>
    <row r="1294" spans="1:4" x14ac:dyDescent="0.25">
      <c r="A1294" s="28" t="s">
        <v>324</v>
      </c>
      <c r="B1294" s="25" t="s">
        <v>44</v>
      </c>
      <c r="C1294" s="12" t="s">
        <v>283</v>
      </c>
      <c r="D1294" s="31">
        <f>'Summary by Site'!$H$144</f>
        <v>9791</v>
      </c>
    </row>
    <row r="1295" spans="1:4" x14ac:dyDescent="0.25">
      <c r="A1295" s="28" t="s">
        <v>324</v>
      </c>
      <c r="B1295" s="25" t="s">
        <v>44</v>
      </c>
      <c r="C1295" s="12" t="s">
        <v>284</v>
      </c>
      <c r="D1295" s="31">
        <f>'Summary by Site'!$H$145</f>
        <v>136</v>
      </c>
    </row>
    <row r="1296" spans="1:4" x14ac:dyDescent="0.25">
      <c r="A1296" s="29" t="s">
        <v>324</v>
      </c>
      <c r="B1296" s="33" t="s">
        <v>44</v>
      </c>
      <c r="C1296" s="14" t="s">
        <v>285</v>
      </c>
      <c r="D1296" s="32">
        <f>'Summary by Site'!$H$146</f>
        <v>0.99403946540298393</v>
      </c>
    </row>
    <row r="1297" spans="1:4" x14ac:dyDescent="0.25">
      <c r="A1297" s="29" t="s">
        <v>324</v>
      </c>
      <c r="B1297" s="33" t="s">
        <v>44</v>
      </c>
      <c r="C1297" s="14" t="s">
        <v>286</v>
      </c>
      <c r="D1297" s="32">
        <f>'Summary by Site'!$H$147</f>
        <v>0.99416159860990438</v>
      </c>
    </row>
    <row r="1298" spans="1:4" x14ac:dyDescent="0.25">
      <c r="A1298" s="27" t="s">
        <v>324</v>
      </c>
      <c r="B1298" s="24" t="s">
        <v>45</v>
      </c>
      <c r="C1298" s="21" t="s">
        <v>272</v>
      </c>
      <c r="D1298" s="30">
        <f>'Summary by Site'!$I$132</f>
        <v>1542</v>
      </c>
    </row>
    <row r="1299" spans="1:4" x14ac:dyDescent="0.25">
      <c r="A1299" s="28" t="s">
        <v>324</v>
      </c>
      <c r="B1299" s="25" t="s">
        <v>45</v>
      </c>
      <c r="C1299" s="12" t="s">
        <v>0</v>
      </c>
      <c r="D1299" s="31">
        <f>'Summary by Site'!$I$133</f>
        <v>1532</v>
      </c>
    </row>
    <row r="1300" spans="1:4" x14ac:dyDescent="0.25">
      <c r="A1300" s="28" t="s">
        <v>324</v>
      </c>
      <c r="B1300" s="25" t="s">
        <v>45</v>
      </c>
      <c r="C1300" s="12" t="s">
        <v>273</v>
      </c>
      <c r="D1300" s="31">
        <f>'Summary by Site'!$I$134</f>
        <v>0</v>
      </c>
    </row>
    <row r="1301" spans="1:4" x14ac:dyDescent="0.25">
      <c r="A1301" s="28" t="s">
        <v>324</v>
      </c>
      <c r="B1301" s="25" t="s">
        <v>45</v>
      </c>
      <c r="C1301" s="12" t="s">
        <v>274</v>
      </c>
      <c r="D1301" s="31">
        <f>'Summary by Site'!$I$135</f>
        <v>1</v>
      </c>
    </row>
    <row r="1302" spans="1:4" x14ac:dyDescent="0.25">
      <c r="A1302" s="28" t="s">
        <v>324</v>
      </c>
      <c r="B1302" s="25" t="s">
        <v>45</v>
      </c>
      <c r="C1302" s="12" t="s">
        <v>275</v>
      </c>
      <c r="D1302" s="31">
        <f>'Summary by Site'!$I$136</f>
        <v>10</v>
      </c>
    </row>
    <row r="1303" spans="1:4" x14ac:dyDescent="0.25">
      <c r="A1303" s="29" t="s">
        <v>324</v>
      </c>
      <c r="B1303" s="33" t="s">
        <v>45</v>
      </c>
      <c r="C1303" s="14" t="s">
        <v>276</v>
      </c>
      <c r="D1303" s="32">
        <f>'Summary by Site'!$I$137</f>
        <v>0.99416342412451364</v>
      </c>
    </row>
    <row r="1304" spans="1:4" x14ac:dyDescent="0.25">
      <c r="A1304" s="28" t="s">
        <v>324</v>
      </c>
      <c r="B1304" s="25" t="s">
        <v>45</v>
      </c>
      <c r="C1304" s="12" t="s">
        <v>277</v>
      </c>
      <c r="D1304" s="31">
        <f>'Summary by Site'!$I$138</f>
        <v>24278</v>
      </c>
    </row>
    <row r="1305" spans="1:4" x14ac:dyDescent="0.25">
      <c r="A1305" s="28" t="s">
        <v>324</v>
      </c>
      <c r="B1305" s="25" t="s">
        <v>45</v>
      </c>
      <c r="C1305" s="12" t="s">
        <v>278</v>
      </c>
      <c r="D1305" s="31">
        <f>'Summary by Site'!$I$139</f>
        <v>3903</v>
      </c>
    </row>
    <row r="1306" spans="1:4" x14ac:dyDescent="0.25">
      <c r="A1306" s="28" t="s">
        <v>324</v>
      </c>
      <c r="B1306" s="25" t="s">
        <v>45</v>
      </c>
      <c r="C1306" s="12" t="s">
        <v>279</v>
      </c>
      <c r="D1306" s="31">
        <f>'Summary by Site'!$I$140</f>
        <v>1</v>
      </c>
    </row>
    <row r="1307" spans="1:4" x14ac:dyDescent="0.25">
      <c r="A1307" s="28" t="s">
        <v>324</v>
      </c>
      <c r="B1307" s="25" t="s">
        <v>45</v>
      </c>
      <c r="C1307" s="12" t="s">
        <v>280</v>
      </c>
      <c r="D1307" s="31">
        <f>'Summary by Site'!$I$141</f>
        <v>2353</v>
      </c>
    </row>
    <row r="1308" spans="1:4" x14ac:dyDescent="0.25">
      <c r="A1308" s="28" t="s">
        <v>324</v>
      </c>
      <c r="B1308" s="25" t="s">
        <v>45</v>
      </c>
      <c r="C1308" s="12" t="s">
        <v>281</v>
      </c>
      <c r="D1308" s="31">
        <f>'Summary by Site'!$I$142</f>
        <v>8853</v>
      </c>
    </row>
    <row r="1309" spans="1:4" x14ac:dyDescent="0.25">
      <c r="A1309" s="28" t="s">
        <v>324</v>
      </c>
      <c r="B1309" s="25" t="s">
        <v>45</v>
      </c>
      <c r="C1309" s="12" t="s">
        <v>282</v>
      </c>
      <c r="D1309" s="31">
        <f>'Summary by Site'!$I$143</f>
        <v>1909</v>
      </c>
    </row>
    <row r="1310" spans="1:4" x14ac:dyDescent="0.25">
      <c r="A1310" s="28" t="s">
        <v>324</v>
      </c>
      <c r="B1310" s="25" t="s">
        <v>45</v>
      </c>
      <c r="C1310" s="12" t="s">
        <v>283</v>
      </c>
      <c r="D1310" s="31">
        <f>'Summary by Site'!$I$144</f>
        <v>7209</v>
      </c>
    </row>
    <row r="1311" spans="1:4" x14ac:dyDescent="0.25">
      <c r="A1311" s="28" t="s">
        <v>324</v>
      </c>
      <c r="B1311" s="25" t="s">
        <v>45</v>
      </c>
      <c r="C1311" s="12" t="s">
        <v>284</v>
      </c>
      <c r="D1311" s="31">
        <f>'Summary by Site'!$I$145</f>
        <v>77.753831035597443</v>
      </c>
    </row>
    <row r="1312" spans="1:4" x14ac:dyDescent="0.25">
      <c r="A1312" s="29" t="s">
        <v>324</v>
      </c>
      <c r="B1312" s="33" t="s">
        <v>45</v>
      </c>
      <c r="C1312" s="14" t="s">
        <v>285</v>
      </c>
      <c r="D1312" s="32">
        <f>'Summary by Site'!$I$146</f>
        <v>0.8255932873809867</v>
      </c>
    </row>
    <row r="1313" spans="1:4" x14ac:dyDescent="0.25">
      <c r="A1313" s="29" t="s">
        <v>324</v>
      </c>
      <c r="B1313" s="33" t="s">
        <v>45</v>
      </c>
      <c r="C1313" s="14" t="s">
        <v>286</v>
      </c>
      <c r="D1313" s="32">
        <f>'Summary by Site'!$I$147</f>
        <v>0.83566048919580149</v>
      </c>
    </row>
    <row r="1314" spans="1:4" x14ac:dyDescent="0.25">
      <c r="A1314" s="27" t="s">
        <v>324</v>
      </c>
      <c r="B1314" s="24" t="s">
        <v>46</v>
      </c>
      <c r="C1314" s="21" t="s">
        <v>272</v>
      </c>
      <c r="D1314" s="30">
        <f>'Summary by Site'!$J$132</f>
        <v>1755</v>
      </c>
    </row>
    <row r="1315" spans="1:4" x14ac:dyDescent="0.25">
      <c r="A1315" s="28" t="s">
        <v>324</v>
      </c>
      <c r="B1315" s="25" t="s">
        <v>46</v>
      </c>
      <c r="C1315" s="12" t="s">
        <v>0</v>
      </c>
      <c r="D1315" s="31">
        <f>'Summary by Site'!$J$133</f>
        <v>1749</v>
      </c>
    </row>
    <row r="1316" spans="1:4" x14ac:dyDescent="0.25">
      <c r="A1316" s="28" t="s">
        <v>324</v>
      </c>
      <c r="B1316" s="25" t="s">
        <v>46</v>
      </c>
      <c r="C1316" s="12" t="s">
        <v>273</v>
      </c>
      <c r="D1316" s="31">
        <f>'Summary by Site'!$J$134</f>
        <v>0</v>
      </c>
    </row>
    <row r="1317" spans="1:4" x14ac:dyDescent="0.25">
      <c r="A1317" s="28" t="s">
        <v>324</v>
      </c>
      <c r="B1317" s="25" t="s">
        <v>46</v>
      </c>
      <c r="C1317" s="12" t="s">
        <v>274</v>
      </c>
      <c r="D1317" s="31">
        <f>'Summary by Site'!$J$135</f>
        <v>0</v>
      </c>
    </row>
    <row r="1318" spans="1:4" x14ac:dyDescent="0.25">
      <c r="A1318" s="28" t="s">
        <v>324</v>
      </c>
      <c r="B1318" s="25" t="s">
        <v>46</v>
      </c>
      <c r="C1318" s="12" t="s">
        <v>275</v>
      </c>
      <c r="D1318" s="31">
        <f>'Summary by Site'!$J$136</f>
        <v>6</v>
      </c>
    </row>
    <row r="1319" spans="1:4" x14ac:dyDescent="0.25">
      <c r="A1319" s="29" t="s">
        <v>324</v>
      </c>
      <c r="B1319" s="33" t="s">
        <v>46</v>
      </c>
      <c r="C1319" s="14" t="s">
        <v>276</v>
      </c>
      <c r="D1319" s="32">
        <f>'Summary by Site'!$J$137</f>
        <v>0.99658119658119659</v>
      </c>
    </row>
    <row r="1320" spans="1:4" x14ac:dyDescent="0.25">
      <c r="A1320" s="28" t="s">
        <v>324</v>
      </c>
      <c r="B1320" s="25" t="s">
        <v>46</v>
      </c>
      <c r="C1320" s="12" t="s">
        <v>277</v>
      </c>
      <c r="D1320" s="31">
        <f>'Summary by Site'!$J$138</f>
        <v>26685</v>
      </c>
    </row>
    <row r="1321" spans="1:4" x14ac:dyDescent="0.25">
      <c r="A1321" s="28" t="s">
        <v>324</v>
      </c>
      <c r="B1321" s="25" t="s">
        <v>46</v>
      </c>
      <c r="C1321" s="12" t="s">
        <v>278</v>
      </c>
      <c r="D1321" s="31">
        <f>'Summary by Site'!$J$139</f>
        <v>4208</v>
      </c>
    </row>
    <row r="1322" spans="1:4" x14ac:dyDescent="0.25">
      <c r="A1322" s="28" t="s">
        <v>324</v>
      </c>
      <c r="B1322" s="25" t="s">
        <v>46</v>
      </c>
      <c r="C1322" s="12" t="s">
        <v>279</v>
      </c>
      <c r="D1322" s="31">
        <f>'Summary by Site'!$J$140</f>
        <v>0</v>
      </c>
    </row>
    <row r="1323" spans="1:4" x14ac:dyDescent="0.25">
      <c r="A1323" s="28" t="s">
        <v>324</v>
      </c>
      <c r="B1323" s="25" t="s">
        <v>46</v>
      </c>
      <c r="C1323" s="12" t="s">
        <v>280</v>
      </c>
      <c r="D1323" s="31">
        <f>'Summary by Site'!$J$141</f>
        <v>34</v>
      </c>
    </row>
    <row r="1324" spans="1:4" x14ac:dyDescent="0.25">
      <c r="A1324" s="28" t="s">
        <v>324</v>
      </c>
      <c r="B1324" s="25" t="s">
        <v>46</v>
      </c>
      <c r="C1324" s="12" t="s">
        <v>281</v>
      </c>
      <c r="D1324" s="31">
        <f>'Summary by Site'!$J$142</f>
        <v>12251</v>
      </c>
    </row>
    <row r="1325" spans="1:4" x14ac:dyDescent="0.25">
      <c r="A1325" s="28" t="s">
        <v>324</v>
      </c>
      <c r="B1325" s="25" t="s">
        <v>46</v>
      </c>
      <c r="C1325" s="12" t="s">
        <v>282</v>
      </c>
      <c r="D1325" s="31">
        <f>'Summary by Site'!$J$143</f>
        <v>94</v>
      </c>
    </row>
    <row r="1326" spans="1:4" x14ac:dyDescent="0.25">
      <c r="A1326" s="28" t="s">
        <v>324</v>
      </c>
      <c r="B1326" s="25" t="s">
        <v>46</v>
      </c>
      <c r="C1326" s="12" t="s">
        <v>283</v>
      </c>
      <c r="D1326" s="31">
        <f>'Summary by Site'!$J$144</f>
        <v>10013</v>
      </c>
    </row>
    <row r="1327" spans="1:4" x14ac:dyDescent="0.25">
      <c r="A1327" s="28" t="s">
        <v>324</v>
      </c>
      <c r="B1327" s="25" t="s">
        <v>46</v>
      </c>
      <c r="C1327" s="12" t="s">
        <v>284</v>
      </c>
      <c r="D1327" s="31">
        <f>'Summary by Site'!$J$145</f>
        <v>85</v>
      </c>
    </row>
    <row r="1328" spans="1:4" x14ac:dyDescent="0.25">
      <c r="A1328" s="29" t="s">
        <v>324</v>
      </c>
      <c r="B1328" s="33" t="s">
        <v>46</v>
      </c>
      <c r="C1328" s="14" t="s">
        <v>285</v>
      </c>
      <c r="D1328" s="32">
        <f>'Summary by Site'!$J$146</f>
        <v>0.99520329773280869</v>
      </c>
    </row>
    <row r="1329" spans="1:4" x14ac:dyDescent="0.25">
      <c r="A1329" s="29" t="s">
        <v>324</v>
      </c>
      <c r="B1329" s="33" t="s">
        <v>46</v>
      </c>
      <c r="C1329" s="14" t="s">
        <v>286</v>
      </c>
      <c r="D1329" s="32">
        <f>'Summary by Site'!$J$147</f>
        <v>0.99528832630098452</v>
      </c>
    </row>
    <row r="1330" spans="1:4" x14ac:dyDescent="0.25">
      <c r="A1330" s="27" t="s">
        <v>324</v>
      </c>
      <c r="B1330" s="24" t="s">
        <v>47</v>
      </c>
      <c r="C1330" s="21" t="s">
        <v>272</v>
      </c>
      <c r="D1330" s="30">
        <f>'Summary by Site'!$K$132</f>
        <v>1647</v>
      </c>
    </row>
    <row r="1331" spans="1:4" x14ac:dyDescent="0.25">
      <c r="A1331" s="28" t="s">
        <v>324</v>
      </c>
      <c r="B1331" s="25" t="s">
        <v>47</v>
      </c>
      <c r="C1331" s="12" t="s">
        <v>0</v>
      </c>
      <c r="D1331" s="31">
        <f>'Summary by Site'!$K$133</f>
        <v>1640</v>
      </c>
    </row>
    <row r="1332" spans="1:4" x14ac:dyDescent="0.25">
      <c r="A1332" s="28" t="s">
        <v>324</v>
      </c>
      <c r="B1332" s="25" t="s">
        <v>47</v>
      </c>
      <c r="C1332" s="12" t="s">
        <v>273</v>
      </c>
      <c r="D1332" s="31">
        <f>'Summary by Site'!$K$134</f>
        <v>3</v>
      </c>
    </row>
    <row r="1333" spans="1:4" x14ac:dyDescent="0.25">
      <c r="A1333" s="28" t="s">
        <v>324</v>
      </c>
      <c r="B1333" s="25" t="s">
        <v>47</v>
      </c>
      <c r="C1333" s="12" t="s">
        <v>274</v>
      </c>
      <c r="D1333" s="31">
        <f>'Summary by Site'!$K$135</f>
        <v>1</v>
      </c>
    </row>
    <row r="1334" spans="1:4" x14ac:dyDescent="0.25">
      <c r="A1334" s="28" t="s">
        <v>324</v>
      </c>
      <c r="B1334" s="25" t="s">
        <v>47</v>
      </c>
      <c r="C1334" s="12" t="s">
        <v>275</v>
      </c>
      <c r="D1334" s="31">
        <f>'Summary by Site'!$K$136</f>
        <v>3</v>
      </c>
    </row>
    <row r="1335" spans="1:4" x14ac:dyDescent="0.25">
      <c r="A1335" s="29" t="s">
        <v>324</v>
      </c>
      <c r="B1335" s="33" t="s">
        <v>47</v>
      </c>
      <c r="C1335" s="14" t="s">
        <v>276</v>
      </c>
      <c r="D1335" s="32">
        <f>'Summary by Site'!$K$137</f>
        <v>0.99817850637522765</v>
      </c>
    </row>
    <row r="1336" spans="1:4" x14ac:dyDescent="0.25">
      <c r="A1336" s="28" t="s">
        <v>324</v>
      </c>
      <c r="B1336" s="25" t="s">
        <v>47</v>
      </c>
      <c r="C1336" s="12" t="s">
        <v>277</v>
      </c>
      <c r="D1336" s="31">
        <f>'Summary by Site'!$K$138</f>
        <v>25923</v>
      </c>
    </row>
    <row r="1337" spans="1:4" x14ac:dyDescent="0.25">
      <c r="A1337" s="28" t="s">
        <v>324</v>
      </c>
      <c r="B1337" s="25" t="s">
        <v>47</v>
      </c>
      <c r="C1337" s="12" t="s">
        <v>278</v>
      </c>
      <c r="D1337" s="31">
        <f>'Summary by Site'!$K$139</f>
        <v>4069</v>
      </c>
    </row>
    <row r="1338" spans="1:4" x14ac:dyDescent="0.25">
      <c r="A1338" s="28" t="s">
        <v>324</v>
      </c>
      <c r="B1338" s="25" t="s">
        <v>47</v>
      </c>
      <c r="C1338" s="12" t="s">
        <v>279</v>
      </c>
      <c r="D1338" s="31">
        <f>'Summary by Site'!$K$140</f>
        <v>0</v>
      </c>
    </row>
    <row r="1339" spans="1:4" x14ac:dyDescent="0.25">
      <c r="A1339" s="28" t="s">
        <v>324</v>
      </c>
      <c r="B1339" s="25" t="s">
        <v>47</v>
      </c>
      <c r="C1339" s="12" t="s">
        <v>280</v>
      </c>
      <c r="D1339" s="31">
        <f>'Summary by Site'!$K$141</f>
        <v>24</v>
      </c>
    </row>
    <row r="1340" spans="1:4" x14ac:dyDescent="0.25">
      <c r="A1340" s="28" t="s">
        <v>324</v>
      </c>
      <c r="B1340" s="25" t="s">
        <v>47</v>
      </c>
      <c r="C1340" s="12" t="s">
        <v>281</v>
      </c>
      <c r="D1340" s="31">
        <f>'Summary by Site'!$K$142</f>
        <v>12061</v>
      </c>
    </row>
    <row r="1341" spans="1:4" x14ac:dyDescent="0.25">
      <c r="A1341" s="28" t="s">
        <v>324</v>
      </c>
      <c r="B1341" s="25" t="s">
        <v>47</v>
      </c>
      <c r="C1341" s="12" t="s">
        <v>282</v>
      </c>
      <c r="D1341" s="31">
        <f>'Summary by Site'!$K$143</f>
        <v>75</v>
      </c>
    </row>
    <row r="1342" spans="1:4" x14ac:dyDescent="0.25">
      <c r="A1342" s="28" t="s">
        <v>324</v>
      </c>
      <c r="B1342" s="25" t="s">
        <v>47</v>
      </c>
      <c r="C1342" s="12" t="s">
        <v>283</v>
      </c>
      <c r="D1342" s="31">
        <f>'Summary by Site'!$K$144</f>
        <v>9624</v>
      </c>
    </row>
    <row r="1343" spans="1:4" x14ac:dyDescent="0.25">
      <c r="A1343" s="28" t="s">
        <v>324</v>
      </c>
      <c r="B1343" s="25" t="s">
        <v>47</v>
      </c>
      <c r="C1343" s="12" t="s">
        <v>284</v>
      </c>
      <c r="D1343" s="31">
        <f>'Summary by Site'!$K$145</f>
        <v>70</v>
      </c>
    </row>
    <row r="1344" spans="1:4" x14ac:dyDescent="0.25">
      <c r="A1344" s="29" t="s">
        <v>324</v>
      </c>
      <c r="B1344" s="33" t="s">
        <v>47</v>
      </c>
      <c r="C1344" s="14" t="s">
        <v>285</v>
      </c>
      <c r="D1344" s="32">
        <f>'Summary by Site'!$K$146</f>
        <v>0.99618099756972578</v>
      </c>
    </row>
    <row r="1345" spans="1:4" x14ac:dyDescent="0.25">
      <c r="A1345" s="29" t="s">
        <v>324</v>
      </c>
      <c r="B1345" s="33" t="s">
        <v>47</v>
      </c>
      <c r="C1345" s="14" t="s">
        <v>286</v>
      </c>
      <c r="D1345" s="32">
        <f>'Summary by Site'!$K$147</f>
        <v>0.99630032644178457</v>
      </c>
    </row>
    <row r="1346" spans="1:4" x14ac:dyDescent="0.25">
      <c r="A1346" s="27" t="s">
        <v>324</v>
      </c>
      <c r="B1346" s="24" t="s">
        <v>50</v>
      </c>
      <c r="C1346" s="21" t="s">
        <v>272</v>
      </c>
      <c r="D1346" s="30">
        <f>'Summary by Site'!$L$132</f>
        <v>1475</v>
      </c>
    </row>
    <row r="1347" spans="1:4" x14ac:dyDescent="0.25">
      <c r="A1347" s="28" t="s">
        <v>324</v>
      </c>
      <c r="B1347" s="25" t="s">
        <v>50</v>
      </c>
      <c r="C1347" s="12" t="s">
        <v>0</v>
      </c>
      <c r="D1347" s="31">
        <f>'Summary by Site'!$L$133</f>
        <v>1468</v>
      </c>
    </row>
    <row r="1348" spans="1:4" x14ac:dyDescent="0.25">
      <c r="A1348" s="28" t="s">
        <v>324</v>
      </c>
      <c r="B1348" s="25" t="s">
        <v>50</v>
      </c>
      <c r="C1348" s="12" t="s">
        <v>273</v>
      </c>
      <c r="D1348" s="31">
        <f>'Summary by Site'!$L$134</f>
        <v>0</v>
      </c>
    </row>
    <row r="1349" spans="1:4" x14ac:dyDescent="0.25">
      <c r="A1349" s="28" t="s">
        <v>324</v>
      </c>
      <c r="B1349" s="25" t="s">
        <v>50</v>
      </c>
      <c r="C1349" s="12" t="s">
        <v>274</v>
      </c>
      <c r="D1349" s="31">
        <f>'Summary by Site'!$L$135</f>
        <v>1</v>
      </c>
    </row>
    <row r="1350" spans="1:4" x14ac:dyDescent="0.25">
      <c r="A1350" s="28" t="s">
        <v>324</v>
      </c>
      <c r="B1350" s="25" t="s">
        <v>50</v>
      </c>
      <c r="C1350" s="12" t="s">
        <v>275</v>
      </c>
      <c r="D1350" s="31">
        <f>'Summary by Site'!$L$136</f>
        <v>6</v>
      </c>
    </row>
    <row r="1351" spans="1:4" x14ac:dyDescent="0.25">
      <c r="A1351" s="29" t="s">
        <v>324</v>
      </c>
      <c r="B1351" s="33" t="s">
        <v>50</v>
      </c>
      <c r="C1351" s="14" t="s">
        <v>276</v>
      </c>
      <c r="D1351" s="32">
        <f>'Summary by Site'!$L$137</f>
        <v>0.99593220338983046</v>
      </c>
    </row>
    <row r="1352" spans="1:4" x14ac:dyDescent="0.25">
      <c r="A1352" s="28" t="s">
        <v>324</v>
      </c>
      <c r="B1352" s="25" t="s">
        <v>50</v>
      </c>
      <c r="C1352" s="12" t="s">
        <v>277</v>
      </c>
      <c r="D1352" s="31">
        <f>'Summary by Site'!$L$138</f>
        <v>25308</v>
      </c>
    </row>
    <row r="1353" spans="1:4" x14ac:dyDescent="0.25">
      <c r="A1353" s="28" t="s">
        <v>324</v>
      </c>
      <c r="B1353" s="25" t="s">
        <v>50</v>
      </c>
      <c r="C1353" s="12" t="s">
        <v>278</v>
      </c>
      <c r="D1353" s="31">
        <f>'Summary by Site'!$L$139</f>
        <v>4128</v>
      </c>
    </row>
    <row r="1354" spans="1:4" x14ac:dyDescent="0.25">
      <c r="A1354" s="28" t="s">
        <v>324</v>
      </c>
      <c r="B1354" s="25" t="s">
        <v>50</v>
      </c>
      <c r="C1354" s="12" t="s">
        <v>279</v>
      </c>
      <c r="D1354" s="31">
        <f>'Summary by Site'!$L$140</f>
        <v>0</v>
      </c>
    </row>
    <row r="1355" spans="1:4" x14ac:dyDescent="0.25">
      <c r="A1355" s="28" t="s">
        <v>324</v>
      </c>
      <c r="B1355" s="25" t="s">
        <v>50</v>
      </c>
      <c r="C1355" s="12" t="s">
        <v>280</v>
      </c>
      <c r="D1355" s="31">
        <f>'Summary by Site'!$L$141</f>
        <v>19</v>
      </c>
    </row>
    <row r="1356" spans="1:4" x14ac:dyDescent="0.25">
      <c r="A1356" s="28" t="s">
        <v>324</v>
      </c>
      <c r="B1356" s="25" t="s">
        <v>50</v>
      </c>
      <c r="C1356" s="12" t="s">
        <v>281</v>
      </c>
      <c r="D1356" s="31">
        <f>'Summary by Site'!$L$142</f>
        <v>11493</v>
      </c>
    </row>
    <row r="1357" spans="1:4" x14ac:dyDescent="0.25">
      <c r="A1357" s="28" t="s">
        <v>324</v>
      </c>
      <c r="B1357" s="25" t="s">
        <v>50</v>
      </c>
      <c r="C1357" s="12" t="s">
        <v>282</v>
      </c>
      <c r="D1357" s="31">
        <f>'Summary by Site'!$L$143</f>
        <v>76</v>
      </c>
    </row>
    <row r="1358" spans="1:4" x14ac:dyDescent="0.25">
      <c r="A1358" s="28" t="s">
        <v>324</v>
      </c>
      <c r="B1358" s="25" t="s">
        <v>50</v>
      </c>
      <c r="C1358" s="12" t="s">
        <v>283</v>
      </c>
      <c r="D1358" s="31">
        <f>'Summary by Site'!$L$144</f>
        <v>9498</v>
      </c>
    </row>
    <row r="1359" spans="1:4" x14ac:dyDescent="0.25">
      <c r="A1359" s="28" t="s">
        <v>324</v>
      </c>
      <c r="B1359" s="25" t="s">
        <v>50</v>
      </c>
      <c r="C1359" s="12" t="s">
        <v>284</v>
      </c>
      <c r="D1359" s="31">
        <f>'Summary by Site'!$L$145</f>
        <v>94</v>
      </c>
    </row>
    <row r="1360" spans="1:4" x14ac:dyDescent="0.25">
      <c r="A1360" s="29" t="s">
        <v>324</v>
      </c>
      <c r="B1360" s="33" t="s">
        <v>50</v>
      </c>
      <c r="C1360" s="14" t="s">
        <v>285</v>
      </c>
      <c r="D1360" s="32">
        <f>'Summary by Site'!$L$146</f>
        <v>0.99624624624624625</v>
      </c>
    </row>
    <row r="1361" spans="1:4" x14ac:dyDescent="0.25">
      <c r="A1361" s="29" t="s">
        <v>324</v>
      </c>
      <c r="B1361" s="33" t="s">
        <v>50</v>
      </c>
      <c r="C1361" s="14" t="s">
        <v>286</v>
      </c>
      <c r="D1361" s="32">
        <f>'Summary by Site'!$L$147</f>
        <v>0.99622895120038835</v>
      </c>
    </row>
    <row r="1362" spans="1:4" x14ac:dyDescent="0.25">
      <c r="A1362" s="27" t="s">
        <v>324</v>
      </c>
      <c r="B1362" s="24" t="s">
        <v>51</v>
      </c>
      <c r="C1362" s="21" t="s">
        <v>272</v>
      </c>
      <c r="D1362" s="30">
        <f>'Summary by Site'!$M$132</f>
        <v>1632</v>
      </c>
    </row>
    <row r="1363" spans="1:4" x14ac:dyDescent="0.25">
      <c r="A1363" s="28" t="s">
        <v>324</v>
      </c>
      <c r="B1363" s="25" t="s">
        <v>51</v>
      </c>
      <c r="C1363" s="12" t="s">
        <v>0</v>
      </c>
      <c r="D1363" s="31">
        <f>'Summary by Site'!$M$133</f>
        <v>1623</v>
      </c>
    </row>
    <row r="1364" spans="1:4" x14ac:dyDescent="0.25">
      <c r="A1364" s="28" t="s">
        <v>324</v>
      </c>
      <c r="B1364" s="25" t="s">
        <v>51</v>
      </c>
      <c r="C1364" s="12" t="s">
        <v>273</v>
      </c>
      <c r="D1364" s="31">
        <f>'Summary by Site'!$M$134</f>
        <v>0</v>
      </c>
    </row>
    <row r="1365" spans="1:4" x14ac:dyDescent="0.25">
      <c r="A1365" s="28" t="s">
        <v>324</v>
      </c>
      <c r="B1365" s="25" t="s">
        <v>51</v>
      </c>
      <c r="C1365" s="12" t="s">
        <v>274</v>
      </c>
      <c r="D1365" s="31">
        <f>'Summary by Site'!$M$135</f>
        <v>0</v>
      </c>
    </row>
    <row r="1366" spans="1:4" x14ac:dyDescent="0.25">
      <c r="A1366" s="28" t="s">
        <v>324</v>
      </c>
      <c r="B1366" s="25" t="s">
        <v>51</v>
      </c>
      <c r="C1366" s="12" t="s">
        <v>275</v>
      </c>
      <c r="D1366" s="31">
        <f>'Summary by Site'!$M$136</f>
        <v>9</v>
      </c>
    </row>
    <row r="1367" spans="1:4" x14ac:dyDescent="0.25">
      <c r="A1367" s="29" t="s">
        <v>324</v>
      </c>
      <c r="B1367" s="33" t="s">
        <v>51</v>
      </c>
      <c r="C1367" s="14" t="s">
        <v>276</v>
      </c>
      <c r="D1367" s="32">
        <f>'Summary by Site'!$M$137</f>
        <v>0.99448529411764708</v>
      </c>
    </row>
    <row r="1368" spans="1:4" x14ac:dyDescent="0.25">
      <c r="A1368" s="28" t="s">
        <v>324</v>
      </c>
      <c r="B1368" s="25" t="s">
        <v>51</v>
      </c>
      <c r="C1368" s="12" t="s">
        <v>277</v>
      </c>
      <c r="D1368" s="31">
        <f>'Summary by Site'!$M$138</f>
        <v>25466</v>
      </c>
    </row>
    <row r="1369" spans="1:4" x14ac:dyDescent="0.25">
      <c r="A1369" s="28" t="s">
        <v>324</v>
      </c>
      <c r="B1369" s="25" t="s">
        <v>51</v>
      </c>
      <c r="C1369" s="12" t="s">
        <v>278</v>
      </c>
      <c r="D1369" s="31">
        <f>'Summary by Site'!$M$139</f>
        <v>4093</v>
      </c>
    </row>
    <row r="1370" spans="1:4" x14ac:dyDescent="0.25">
      <c r="A1370" s="28" t="s">
        <v>324</v>
      </c>
      <c r="B1370" s="25" t="s">
        <v>51</v>
      </c>
      <c r="C1370" s="12" t="s">
        <v>279</v>
      </c>
      <c r="D1370" s="31">
        <f>'Summary by Site'!$M$140</f>
        <v>0</v>
      </c>
    </row>
    <row r="1371" spans="1:4" x14ac:dyDescent="0.25">
      <c r="A1371" s="28" t="s">
        <v>324</v>
      </c>
      <c r="B1371" s="25" t="s">
        <v>51</v>
      </c>
      <c r="C1371" s="12" t="s">
        <v>280</v>
      </c>
      <c r="D1371" s="31">
        <f>'Summary by Site'!$M$141</f>
        <v>35</v>
      </c>
    </row>
    <row r="1372" spans="1:4" x14ac:dyDescent="0.25">
      <c r="A1372" s="28" t="s">
        <v>324</v>
      </c>
      <c r="B1372" s="25" t="s">
        <v>51</v>
      </c>
      <c r="C1372" s="12" t="s">
        <v>281</v>
      </c>
      <c r="D1372" s="31">
        <f>'Summary by Site'!$M$142</f>
        <v>11648</v>
      </c>
    </row>
    <row r="1373" spans="1:4" x14ac:dyDescent="0.25">
      <c r="A1373" s="28" t="s">
        <v>324</v>
      </c>
      <c r="B1373" s="25" t="s">
        <v>51</v>
      </c>
      <c r="C1373" s="12" t="s">
        <v>282</v>
      </c>
      <c r="D1373" s="31">
        <f>'Summary by Site'!$M$143</f>
        <v>35</v>
      </c>
    </row>
    <row r="1374" spans="1:4" x14ac:dyDescent="0.25">
      <c r="A1374" s="28" t="s">
        <v>324</v>
      </c>
      <c r="B1374" s="25" t="s">
        <v>51</v>
      </c>
      <c r="C1374" s="12" t="s">
        <v>283</v>
      </c>
      <c r="D1374" s="31">
        <f>'Summary by Site'!$M$144</f>
        <v>9576</v>
      </c>
    </row>
    <row r="1375" spans="1:4" x14ac:dyDescent="0.25">
      <c r="A1375" s="28" t="s">
        <v>324</v>
      </c>
      <c r="B1375" s="25" t="s">
        <v>51</v>
      </c>
      <c r="C1375" s="12" t="s">
        <v>284</v>
      </c>
      <c r="D1375" s="31">
        <f>'Summary by Site'!$M$145</f>
        <v>79</v>
      </c>
    </row>
    <row r="1376" spans="1:4" x14ac:dyDescent="0.25">
      <c r="A1376" s="29" t="s">
        <v>324</v>
      </c>
      <c r="B1376" s="33" t="s">
        <v>51</v>
      </c>
      <c r="C1376" s="14" t="s">
        <v>285</v>
      </c>
      <c r="D1376" s="32">
        <f>'Summary by Site'!$M$146</f>
        <v>0.99725123694337547</v>
      </c>
    </row>
    <row r="1377" spans="1:4" x14ac:dyDescent="0.25">
      <c r="A1377" s="29" t="s">
        <v>324</v>
      </c>
      <c r="B1377" s="33" t="s">
        <v>51</v>
      </c>
      <c r="C1377" s="14" t="s">
        <v>286</v>
      </c>
      <c r="D1377" s="32">
        <f>'Summary by Site'!$M$147</f>
        <v>0.99708465569414717</v>
      </c>
    </row>
    <row r="1378" spans="1:4" x14ac:dyDescent="0.25">
      <c r="A1378" s="27" t="s">
        <v>324</v>
      </c>
      <c r="B1378" s="24" t="s">
        <v>89</v>
      </c>
      <c r="C1378" s="21" t="s">
        <v>272</v>
      </c>
      <c r="D1378" s="30">
        <f>'Summary by Site'!$N$132</f>
        <v>1285</v>
      </c>
    </row>
    <row r="1379" spans="1:4" x14ac:dyDescent="0.25">
      <c r="A1379" s="28" t="s">
        <v>324</v>
      </c>
      <c r="B1379" s="25" t="s">
        <v>89</v>
      </c>
      <c r="C1379" s="12" t="s">
        <v>0</v>
      </c>
      <c r="D1379" s="31">
        <f>'Summary by Site'!$N$133</f>
        <v>1275</v>
      </c>
    </row>
    <row r="1380" spans="1:4" x14ac:dyDescent="0.25">
      <c r="A1380" s="28" t="s">
        <v>324</v>
      </c>
      <c r="B1380" s="25" t="s">
        <v>89</v>
      </c>
      <c r="C1380" s="12" t="s">
        <v>273</v>
      </c>
      <c r="D1380" s="31">
        <f>'Summary by Site'!$N$134</f>
        <v>1</v>
      </c>
    </row>
    <row r="1381" spans="1:4" x14ac:dyDescent="0.25">
      <c r="A1381" s="28" t="s">
        <v>324</v>
      </c>
      <c r="B1381" s="25" t="s">
        <v>89</v>
      </c>
      <c r="C1381" s="12" t="s">
        <v>274</v>
      </c>
      <c r="D1381" s="31">
        <f>'Summary by Site'!$N$135</f>
        <v>0</v>
      </c>
    </row>
    <row r="1382" spans="1:4" x14ac:dyDescent="0.25">
      <c r="A1382" s="28" t="s">
        <v>324</v>
      </c>
      <c r="B1382" s="25" t="s">
        <v>89</v>
      </c>
      <c r="C1382" s="12" t="s">
        <v>275</v>
      </c>
      <c r="D1382" s="31">
        <f>'Summary by Site'!$N$136</f>
        <v>9</v>
      </c>
    </row>
    <row r="1383" spans="1:4" x14ac:dyDescent="0.25">
      <c r="A1383" s="29" t="s">
        <v>324</v>
      </c>
      <c r="B1383" s="33" t="s">
        <v>89</v>
      </c>
      <c r="C1383" s="14" t="s">
        <v>276</v>
      </c>
      <c r="D1383" s="32">
        <f>'Summary by Site'!$N$137</f>
        <v>0.99299610894941637</v>
      </c>
    </row>
    <row r="1384" spans="1:4" x14ac:dyDescent="0.25">
      <c r="A1384" s="28" t="s">
        <v>324</v>
      </c>
      <c r="B1384" s="25" t="s">
        <v>89</v>
      </c>
      <c r="C1384" s="12" t="s">
        <v>277</v>
      </c>
      <c r="D1384" s="31">
        <f>'Summary by Site'!$N$138</f>
        <v>21478</v>
      </c>
    </row>
    <row r="1385" spans="1:4" x14ac:dyDescent="0.25">
      <c r="A1385" s="28" t="s">
        <v>324</v>
      </c>
      <c r="B1385" s="25" t="s">
        <v>89</v>
      </c>
      <c r="C1385" s="12" t="s">
        <v>278</v>
      </c>
      <c r="D1385" s="31">
        <f>'Summary by Site'!$N$139</f>
        <v>3519</v>
      </c>
    </row>
    <row r="1386" spans="1:4" x14ac:dyDescent="0.25">
      <c r="A1386" s="28" t="s">
        <v>324</v>
      </c>
      <c r="B1386" s="25" t="s">
        <v>89</v>
      </c>
      <c r="C1386" s="12" t="s">
        <v>279</v>
      </c>
      <c r="D1386" s="31">
        <f>'Summary by Site'!$N$140</f>
        <v>0</v>
      </c>
    </row>
    <row r="1387" spans="1:4" x14ac:dyDescent="0.25">
      <c r="A1387" s="28" t="s">
        <v>324</v>
      </c>
      <c r="B1387" s="25" t="s">
        <v>89</v>
      </c>
      <c r="C1387" s="12" t="s">
        <v>280</v>
      </c>
      <c r="D1387" s="31">
        <f>'Summary by Site'!$N$141</f>
        <v>33</v>
      </c>
    </row>
    <row r="1388" spans="1:4" x14ac:dyDescent="0.25">
      <c r="A1388" s="28" t="s">
        <v>324</v>
      </c>
      <c r="B1388" s="25" t="s">
        <v>89</v>
      </c>
      <c r="C1388" s="12" t="s">
        <v>281</v>
      </c>
      <c r="D1388" s="31">
        <f>'Summary by Site'!$N$142</f>
        <v>9856</v>
      </c>
    </row>
    <row r="1389" spans="1:4" x14ac:dyDescent="0.25">
      <c r="A1389" s="28" t="s">
        <v>324</v>
      </c>
      <c r="B1389" s="25" t="s">
        <v>89</v>
      </c>
      <c r="C1389" s="12" t="s">
        <v>282</v>
      </c>
      <c r="D1389" s="31">
        <f>'Summary by Site'!$N$143</f>
        <v>67</v>
      </c>
    </row>
    <row r="1390" spans="1:4" x14ac:dyDescent="0.25">
      <c r="A1390" s="28" t="s">
        <v>324</v>
      </c>
      <c r="B1390" s="25" t="s">
        <v>89</v>
      </c>
      <c r="C1390" s="12" t="s">
        <v>283</v>
      </c>
      <c r="D1390" s="31">
        <f>'Summary by Site'!$N$144</f>
        <v>7922</v>
      </c>
    </row>
    <row r="1391" spans="1:4" x14ac:dyDescent="0.25">
      <c r="A1391" s="28" t="s">
        <v>324</v>
      </c>
      <c r="B1391" s="25" t="s">
        <v>89</v>
      </c>
      <c r="C1391" s="12" t="s">
        <v>284</v>
      </c>
      <c r="D1391" s="31">
        <f>'Summary by Site'!$N$145</f>
        <v>81</v>
      </c>
    </row>
    <row r="1392" spans="1:4" x14ac:dyDescent="0.25">
      <c r="A1392" s="29" t="s">
        <v>324</v>
      </c>
      <c r="B1392" s="33" t="s">
        <v>89</v>
      </c>
      <c r="C1392" s="14" t="s">
        <v>285</v>
      </c>
      <c r="D1392" s="32">
        <f>'Summary by Site'!$N$146</f>
        <v>0.99534407300493533</v>
      </c>
    </row>
    <row r="1393" spans="1:4" x14ac:dyDescent="0.25">
      <c r="A1393" s="29" t="s">
        <v>324</v>
      </c>
      <c r="B1393" s="33" t="s">
        <v>89</v>
      </c>
      <c r="C1393" s="14" t="s">
        <v>286</v>
      </c>
      <c r="D1393" s="32">
        <f>'Summary by Site'!$N$147</f>
        <v>0.99521152747880337</v>
      </c>
    </row>
    <row r="1394" spans="1:4" x14ac:dyDescent="0.25">
      <c r="A1394" s="27" t="s">
        <v>324</v>
      </c>
      <c r="B1394" s="24" t="s">
        <v>271</v>
      </c>
      <c r="C1394" s="21" t="s">
        <v>272</v>
      </c>
      <c r="D1394" s="30">
        <f>'Summary by Site'!$O$132</f>
        <v>855</v>
      </c>
    </row>
    <row r="1395" spans="1:4" x14ac:dyDescent="0.25">
      <c r="A1395" s="28" t="s">
        <v>324</v>
      </c>
      <c r="B1395" s="25" t="s">
        <v>271</v>
      </c>
      <c r="C1395" s="12" t="s">
        <v>0</v>
      </c>
      <c r="D1395" s="31">
        <f>'Summary by Site'!$O$133</f>
        <v>853</v>
      </c>
    </row>
    <row r="1396" spans="1:4" x14ac:dyDescent="0.25">
      <c r="A1396" s="28" t="s">
        <v>324</v>
      </c>
      <c r="B1396" s="25" t="s">
        <v>271</v>
      </c>
      <c r="C1396" s="12" t="s">
        <v>273</v>
      </c>
      <c r="D1396" s="31">
        <f>'Summary by Site'!$O$134</f>
        <v>0</v>
      </c>
    </row>
    <row r="1397" spans="1:4" x14ac:dyDescent="0.25">
      <c r="A1397" s="28" t="s">
        <v>324</v>
      </c>
      <c r="B1397" s="25" t="s">
        <v>271</v>
      </c>
      <c r="C1397" s="12" t="s">
        <v>274</v>
      </c>
      <c r="D1397" s="31">
        <f>'Summary by Site'!$O$135</f>
        <v>0</v>
      </c>
    </row>
    <row r="1398" spans="1:4" x14ac:dyDescent="0.25">
      <c r="A1398" s="28" t="s">
        <v>324</v>
      </c>
      <c r="B1398" s="25" t="s">
        <v>271</v>
      </c>
      <c r="C1398" s="12" t="s">
        <v>275</v>
      </c>
      <c r="D1398" s="31">
        <f>'Summary by Site'!$O$136</f>
        <v>2</v>
      </c>
    </row>
    <row r="1399" spans="1:4" x14ac:dyDescent="0.25">
      <c r="A1399" s="29" t="s">
        <v>324</v>
      </c>
      <c r="B1399" s="33" t="s">
        <v>271</v>
      </c>
      <c r="C1399" s="14" t="s">
        <v>276</v>
      </c>
      <c r="D1399" s="32">
        <f>'Summary by Site'!$O$137</f>
        <v>0.99766081871345025</v>
      </c>
    </row>
    <row r="1400" spans="1:4" x14ac:dyDescent="0.25">
      <c r="A1400" s="28" t="s">
        <v>324</v>
      </c>
      <c r="B1400" s="25" t="s">
        <v>271</v>
      </c>
      <c r="C1400" s="12" t="s">
        <v>277</v>
      </c>
      <c r="D1400" s="31">
        <f>'Summary by Site'!$O$138</f>
        <v>15510</v>
      </c>
    </row>
    <row r="1401" spans="1:4" x14ac:dyDescent="0.25">
      <c r="A1401" s="28" t="s">
        <v>324</v>
      </c>
      <c r="B1401" s="25" t="s">
        <v>271</v>
      </c>
      <c r="C1401" s="12" t="s">
        <v>278</v>
      </c>
      <c r="D1401" s="31">
        <f>'Summary by Site'!$O$139</f>
        <v>2286</v>
      </c>
    </row>
    <row r="1402" spans="1:4" x14ac:dyDescent="0.25">
      <c r="A1402" s="28" t="s">
        <v>324</v>
      </c>
      <c r="B1402" s="25" t="s">
        <v>271</v>
      </c>
      <c r="C1402" s="12" t="s">
        <v>279</v>
      </c>
      <c r="D1402" s="31">
        <f>'Summary by Site'!$O$140</f>
        <v>0</v>
      </c>
    </row>
    <row r="1403" spans="1:4" x14ac:dyDescent="0.25">
      <c r="A1403" s="28" t="s">
        <v>324</v>
      </c>
      <c r="B1403" s="25" t="s">
        <v>271</v>
      </c>
      <c r="C1403" s="12" t="s">
        <v>280</v>
      </c>
      <c r="D1403" s="31">
        <f>'Summary by Site'!$O$141</f>
        <v>224</v>
      </c>
    </row>
    <row r="1404" spans="1:4" x14ac:dyDescent="0.25">
      <c r="A1404" s="28" t="s">
        <v>324</v>
      </c>
      <c r="B1404" s="25" t="s">
        <v>271</v>
      </c>
      <c r="C1404" s="12" t="s">
        <v>281</v>
      </c>
      <c r="D1404" s="31">
        <f>'Summary by Site'!$O$142</f>
        <v>6539</v>
      </c>
    </row>
    <row r="1405" spans="1:4" x14ac:dyDescent="0.25">
      <c r="A1405" s="28" t="s">
        <v>324</v>
      </c>
      <c r="B1405" s="25" t="s">
        <v>271</v>
      </c>
      <c r="C1405" s="12" t="s">
        <v>282</v>
      </c>
      <c r="D1405" s="31">
        <f>'Summary by Site'!$O$143</f>
        <v>723</v>
      </c>
    </row>
    <row r="1406" spans="1:4" x14ac:dyDescent="0.25">
      <c r="A1406" s="28" t="s">
        <v>324</v>
      </c>
      <c r="B1406" s="25" t="s">
        <v>271</v>
      </c>
      <c r="C1406" s="12" t="s">
        <v>283</v>
      </c>
      <c r="D1406" s="31">
        <f>'Summary by Site'!$O$144</f>
        <v>5189</v>
      </c>
    </row>
    <row r="1407" spans="1:4" x14ac:dyDescent="0.25">
      <c r="A1407" s="28" t="s">
        <v>324</v>
      </c>
      <c r="B1407" s="25" t="s">
        <v>271</v>
      </c>
      <c r="C1407" s="12" t="s">
        <v>284</v>
      </c>
      <c r="D1407" s="31">
        <f>'Summary by Site'!$O$145</f>
        <v>756</v>
      </c>
    </row>
    <row r="1408" spans="1:4" x14ac:dyDescent="0.25">
      <c r="A1408" s="29" t="s">
        <v>324</v>
      </c>
      <c r="B1408" s="33" t="s">
        <v>271</v>
      </c>
      <c r="C1408" s="14" t="s">
        <v>285</v>
      </c>
      <c r="D1408" s="32">
        <f>'Summary by Site'!$O$146</f>
        <v>0.95228884590586715</v>
      </c>
    </row>
    <row r="1409" spans="1:4" x14ac:dyDescent="0.25">
      <c r="A1409" s="29" t="s">
        <v>324</v>
      </c>
      <c r="B1409" s="33" t="s">
        <v>271</v>
      </c>
      <c r="C1409" s="14" t="s">
        <v>286</v>
      </c>
      <c r="D1409" s="32">
        <f>'Summary by Site'!$O$147</f>
        <v>0.95465933394439351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03"/>
  <sheetViews>
    <sheetView zoomScale="80" zoomScaleNormal="80" workbookViewId="0">
      <pane xSplit="6" ySplit="1" topLeftCell="G2" activePane="bottomRight" state="frozen"/>
      <selection activeCell="F1" sqref="F1"/>
      <selection pane="topRight" activeCell="F1" sqref="F1"/>
      <selection pane="bottomLeft" activeCell="F1" sqref="F1"/>
      <selection pane="bottomRight" activeCell="F6" sqref="F6"/>
    </sheetView>
  </sheetViews>
  <sheetFormatPr defaultRowHeight="15" x14ac:dyDescent="0.25"/>
  <cols>
    <col min="3" max="3" width="15.5703125" customWidth="1"/>
    <col min="4" max="4" width="6.7109375" style="2" customWidth="1"/>
    <col min="5" max="5" width="11.42578125" style="2" customWidth="1"/>
    <col min="6" max="6" width="37.7109375" bestFit="1" customWidth="1"/>
    <col min="7" max="7" width="18.42578125" customWidth="1"/>
    <col min="8" max="11" width="9.85546875" customWidth="1"/>
    <col min="12" max="12" width="18.5703125" customWidth="1"/>
    <col min="13" max="13" width="14.140625" customWidth="1"/>
    <col min="14" max="14" width="15.28515625" customWidth="1"/>
    <col min="15" max="15" width="20" customWidth="1"/>
    <col min="16" max="16" width="14.5703125" customWidth="1"/>
    <col min="17" max="17" width="19.42578125" customWidth="1"/>
    <col min="18" max="18" width="17.85546875" customWidth="1"/>
    <col min="19" max="21" width="13.5703125" customWidth="1"/>
    <col min="22" max="22" width="15.28515625" customWidth="1"/>
  </cols>
  <sheetData>
    <row r="1" spans="1:22" ht="105" x14ac:dyDescent="0.25">
      <c r="A1" t="s">
        <v>17</v>
      </c>
      <c r="B1" t="s">
        <v>18</v>
      </c>
      <c r="C1" s="7" t="s">
        <v>16</v>
      </c>
      <c r="D1" s="7" t="s">
        <v>59</v>
      </c>
      <c r="E1" s="7" t="s">
        <v>58</v>
      </c>
      <c r="F1" s="1" t="s">
        <v>60</v>
      </c>
      <c r="G1" s="4" t="s">
        <v>5</v>
      </c>
      <c r="H1" s="4" t="s">
        <v>0</v>
      </c>
      <c r="I1" s="4" t="s">
        <v>2</v>
      </c>
      <c r="J1" s="4" t="s">
        <v>3</v>
      </c>
      <c r="K1" s="4" t="s">
        <v>4</v>
      </c>
      <c r="L1" s="4" t="s">
        <v>6</v>
      </c>
      <c r="M1" s="4" t="s">
        <v>7</v>
      </c>
      <c r="N1" s="4" t="s">
        <v>61</v>
      </c>
      <c r="O1" s="4" t="s">
        <v>12</v>
      </c>
      <c r="P1" s="4" t="s">
        <v>8</v>
      </c>
      <c r="Q1" s="4" t="s">
        <v>9</v>
      </c>
      <c r="R1" s="1" t="s">
        <v>10</v>
      </c>
      <c r="S1" s="1" t="s">
        <v>11</v>
      </c>
      <c r="T1" s="1" t="s">
        <v>13</v>
      </c>
      <c r="U1" s="1" t="s">
        <v>14</v>
      </c>
      <c r="V1" s="1" t="s">
        <v>15</v>
      </c>
    </row>
    <row r="2" spans="1:22" x14ac:dyDescent="0.25">
      <c r="A2" s="2">
        <v>2017</v>
      </c>
      <c r="B2" t="s">
        <v>19</v>
      </c>
      <c r="C2" t="s">
        <v>1</v>
      </c>
      <c r="D2" s="2">
        <v>53</v>
      </c>
      <c r="E2" s="2">
        <v>4713</v>
      </c>
      <c r="F2" t="s">
        <v>470</v>
      </c>
      <c r="G2" s="5">
        <v>2</v>
      </c>
      <c r="H2" s="5">
        <v>2</v>
      </c>
      <c r="I2" s="5">
        <v>0</v>
      </c>
      <c r="J2" s="5">
        <v>0</v>
      </c>
      <c r="K2" s="5">
        <v>0</v>
      </c>
      <c r="L2" s="6">
        <f t="shared" ref="L2:L65" si="0">IF(G2=0,0,SUM(H2:J2)/G2)</f>
        <v>1</v>
      </c>
      <c r="M2" s="5">
        <v>155</v>
      </c>
      <c r="N2" s="5">
        <v>40</v>
      </c>
      <c r="O2" s="5">
        <v>10</v>
      </c>
      <c r="P2" s="5">
        <v>0</v>
      </c>
      <c r="Q2" s="5">
        <v>104</v>
      </c>
      <c r="R2">
        <v>1</v>
      </c>
      <c r="S2" s="9">
        <v>0</v>
      </c>
      <c r="T2" s="9">
        <v>0</v>
      </c>
      <c r="U2" s="3">
        <f>(N2+O2+Q2)/M2</f>
        <v>0.99354838709677418</v>
      </c>
      <c r="V2" s="3">
        <f>(H2+I2+J2+N2+O2+Q2)/(G2+M2)</f>
        <v>0.99363057324840764</v>
      </c>
    </row>
    <row r="3" spans="1:22" x14ac:dyDescent="0.25">
      <c r="A3" s="2">
        <v>2017</v>
      </c>
      <c r="B3" t="s">
        <v>19</v>
      </c>
      <c r="C3" t="s">
        <v>1</v>
      </c>
      <c r="D3" s="2">
        <v>243</v>
      </c>
      <c r="E3" s="2">
        <v>4498</v>
      </c>
      <c r="F3" t="s">
        <v>471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6">
        <f t="shared" si="0"/>
        <v>0</v>
      </c>
      <c r="M3" s="5">
        <v>57</v>
      </c>
      <c r="N3">
        <v>16</v>
      </c>
      <c r="O3">
        <v>1</v>
      </c>
      <c r="P3">
        <v>0</v>
      </c>
      <c r="Q3">
        <v>40</v>
      </c>
      <c r="R3">
        <v>0</v>
      </c>
      <c r="S3" s="9">
        <v>0</v>
      </c>
      <c r="T3" s="9">
        <v>0</v>
      </c>
      <c r="U3" s="3">
        <f t="shared" ref="U3:U33" si="1">(N3+O3+Q3)/M3</f>
        <v>1</v>
      </c>
      <c r="V3" s="3">
        <f t="shared" ref="V3:V33" si="2">(H3+I3+J3+N3+O3+Q3)/(G3+M3)</f>
        <v>1</v>
      </c>
    </row>
    <row r="4" spans="1:22" x14ac:dyDescent="0.25">
      <c r="A4" s="2">
        <v>2017</v>
      </c>
      <c r="B4" t="s">
        <v>19</v>
      </c>
      <c r="C4" t="s">
        <v>1</v>
      </c>
      <c r="D4" s="2">
        <v>16594</v>
      </c>
      <c r="E4" s="2">
        <v>119329</v>
      </c>
      <c r="F4" t="s">
        <v>472</v>
      </c>
      <c r="G4">
        <v>0</v>
      </c>
      <c r="H4">
        <v>0</v>
      </c>
      <c r="I4">
        <v>0</v>
      </c>
      <c r="J4">
        <v>0</v>
      </c>
      <c r="K4">
        <v>0</v>
      </c>
      <c r="L4" s="6">
        <f t="shared" si="0"/>
        <v>0</v>
      </c>
      <c r="M4">
        <v>77</v>
      </c>
      <c r="N4">
        <v>21</v>
      </c>
      <c r="O4">
        <v>6</v>
      </c>
      <c r="P4">
        <v>0</v>
      </c>
      <c r="Q4">
        <v>49</v>
      </c>
      <c r="R4">
        <v>1</v>
      </c>
      <c r="S4" s="9">
        <v>0</v>
      </c>
      <c r="T4" s="9">
        <v>0</v>
      </c>
      <c r="U4" s="3">
        <f t="shared" si="1"/>
        <v>0.98701298701298701</v>
      </c>
      <c r="V4" s="3">
        <f t="shared" si="2"/>
        <v>0.98701298701298701</v>
      </c>
    </row>
    <row r="5" spans="1:22" x14ac:dyDescent="0.25">
      <c r="A5" s="2">
        <v>2017</v>
      </c>
      <c r="B5" t="s">
        <v>19</v>
      </c>
      <c r="C5" t="s">
        <v>1</v>
      </c>
      <c r="D5" s="2">
        <v>335</v>
      </c>
      <c r="E5" s="2">
        <v>2726</v>
      </c>
      <c r="F5" t="s">
        <v>473</v>
      </c>
      <c r="G5">
        <v>16</v>
      </c>
      <c r="H5">
        <v>16</v>
      </c>
      <c r="I5">
        <v>0</v>
      </c>
      <c r="J5">
        <v>0</v>
      </c>
      <c r="K5">
        <v>0</v>
      </c>
      <c r="L5" s="6">
        <f t="shared" si="0"/>
        <v>1</v>
      </c>
      <c r="M5">
        <v>103</v>
      </c>
      <c r="N5">
        <v>24</v>
      </c>
      <c r="O5">
        <v>4</v>
      </c>
      <c r="P5">
        <v>0</v>
      </c>
      <c r="Q5">
        <v>75</v>
      </c>
      <c r="R5">
        <v>0</v>
      </c>
      <c r="S5" s="9">
        <v>0</v>
      </c>
      <c r="T5" s="9">
        <v>0</v>
      </c>
      <c r="U5" s="3">
        <f t="shared" si="1"/>
        <v>1</v>
      </c>
      <c r="V5" s="3">
        <f t="shared" si="2"/>
        <v>1</v>
      </c>
    </row>
    <row r="6" spans="1:22" x14ac:dyDescent="0.25">
      <c r="A6" s="2">
        <v>2017</v>
      </c>
      <c r="B6" t="s">
        <v>19</v>
      </c>
      <c r="C6" t="s">
        <v>1</v>
      </c>
      <c r="D6" s="2">
        <v>473</v>
      </c>
      <c r="E6" s="2">
        <v>5243</v>
      </c>
      <c r="F6" t="s">
        <v>474</v>
      </c>
      <c r="G6">
        <v>3</v>
      </c>
      <c r="H6">
        <v>3</v>
      </c>
      <c r="I6">
        <v>0</v>
      </c>
      <c r="J6">
        <v>0</v>
      </c>
      <c r="K6">
        <v>0</v>
      </c>
      <c r="L6" s="6">
        <f t="shared" si="0"/>
        <v>1</v>
      </c>
      <c r="M6">
        <v>120</v>
      </c>
      <c r="N6">
        <v>44</v>
      </c>
      <c r="O6">
        <v>5</v>
      </c>
      <c r="P6">
        <v>0</v>
      </c>
      <c r="Q6">
        <v>71</v>
      </c>
      <c r="R6">
        <v>0</v>
      </c>
      <c r="S6" s="9">
        <v>0</v>
      </c>
      <c r="T6" s="9">
        <v>0</v>
      </c>
      <c r="U6" s="3">
        <f t="shared" si="1"/>
        <v>1</v>
      </c>
      <c r="V6" s="3">
        <f t="shared" si="2"/>
        <v>1</v>
      </c>
    </row>
    <row r="7" spans="1:22" x14ac:dyDescent="0.25">
      <c r="A7" s="2">
        <v>2017</v>
      </c>
      <c r="B7" t="s">
        <v>19</v>
      </c>
      <c r="C7" t="s">
        <v>1</v>
      </c>
      <c r="D7" s="2">
        <v>67</v>
      </c>
      <c r="E7" s="2">
        <v>2833</v>
      </c>
      <c r="F7" t="s">
        <v>475</v>
      </c>
      <c r="G7">
        <v>3</v>
      </c>
      <c r="H7">
        <v>3</v>
      </c>
      <c r="I7">
        <v>0</v>
      </c>
      <c r="J7">
        <v>0</v>
      </c>
      <c r="K7">
        <v>0</v>
      </c>
      <c r="L7" s="6">
        <f t="shared" si="0"/>
        <v>1</v>
      </c>
      <c r="M7">
        <v>24</v>
      </c>
      <c r="N7">
        <v>10</v>
      </c>
      <c r="O7">
        <v>0</v>
      </c>
      <c r="P7">
        <v>0</v>
      </c>
      <c r="Q7">
        <v>14</v>
      </c>
      <c r="R7">
        <v>0</v>
      </c>
      <c r="S7" s="9">
        <v>0</v>
      </c>
      <c r="T7" s="9">
        <v>0</v>
      </c>
      <c r="U7" s="3">
        <f t="shared" si="1"/>
        <v>1</v>
      </c>
      <c r="V7" s="3">
        <f t="shared" si="2"/>
        <v>1</v>
      </c>
    </row>
    <row r="8" spans="1:22" x14ac:dyDescent="0.25">
      <c r="A8" s="2">
        <v>2017</v>
      </c>
      <c r="B8" t="s">
        <v>19</v>
      </c>
      <c r="C8" t="s">
        <v>1</v>
      </c>
      <c r="D8" s="2">
        <v>3621</v>
      </c>
      <c r="E8" s="2">
        <v>9748</v>
      </c>
      <c r="F8" t="s">
        <v>476</v>
      </c>
      <c r="G8">
        <v>1</v>
      </c>
      <c r="H8">
        <v>1</v>
      </c>
      <c r="I8">
        <v>0</v>
      </c>
      <c r="J8">
        <v>0</v>
      </c>
      <c r="K8">
        <v>0</v>
      </c>
      <c r="L8" s="6">
        <f t="shared" si="0"/>
        <v>1</v>
      </c>
      <c r="M8">
        <v>69</v>
      </c>
      <c r="N8">
        <v>13</v>
      </c>
      <c r="O8">
        <v>4</v>
      </c>
      <c r="P8">
        <v>0</v>
      </c>
      <c r="Q8">
        <v>52</v>
      </c>
      <c r="R8">
        <v>0</v>
      </c>
      <c r="S8" s="9">
        <v>0</v>
      </c>
      <c r="T8" s="9">
        <v>0</v>
      </c>
      <c r="U8" s="3">
        <f t="shared" si="1"/>
        <v>1</v>
      </c>
      <c r="V8" s="3">
        <f t="shared" si="2"/>
        <v>1</v>
      </c>
    </row>
    <row r="9" spans="1:22" x14ac:dyDescent="0.25">
      <c r="A9" s="2">
        <v>2017</v>
      </c>
      <c r="B9" t="s">
        <v>19</v>
      </c>
      <c r="C9" t="s">
        <v>1</v>
      </c>
      <c r="D9" s="2">
        <v>567</v>
      </c>
      <c r="E9" s="2">
        <v>3218</v>
      </c>
      <c r="F9" t="s">
        <v>477</v>
      </c>
      <c r="G9">
        <v>10</v>
      </c>
      <c r="H9">
        <v>10</v>
      </c>
      <c r="I9">
        <v>0</v>
      </c>
      <c r="J9">
        <v>0</v>
      </c>
      <c r="K9">
        <v>0</v>
      </c>
      <c r="L9" s="6">
        <f t="shared" si="0"/>
        <v>1</v>
      </c>
      <c r="M9">
        <v>179</v>
      </c>
      <c r="N9">
        <v>48</v>
      </c>
      <c r="O9">
        <v>3</v>
      </c>
      <c r="P9">
        <v>0</v>
      </c>
      <c r="Q9">
        <v>128</v>
      </c>
      <c r="R9">
        <v>0</v>
      </c>
      <c r="S9" s="9">
        <v>0</v>
      </c>
      <c r="T9" s="9">
        <v>0</v>
      </c>
      <c r="U9" s="3">
        <f t="shared" si="1"/>
        <v>1</v>
      </c>
      <c r="V9" s="3">
        <f t="shared" si="2"/>
        <v>1</v>
      </c>
    </row>
    <row r="10" spans="1:22" x14ac:dyDescent="0.25">
      <c r="A10" s="2">
        <v>2017</v>
      </c>
      <c r="B10" t="s">
        <v>19</v>
      </c>
      <c r="C10" t="s">
        <v>1</v>
      </c>
      <c r="D10" s="2">
        <v>627</v>
      </c>
      <c r="E10" s="2">
        <v>3693</v>
      </c>
      <c r="F10" t="s">
        <v>478</v>
      </c>
      <c r="G10">
        <v>38</v>
      </c>
      <c r="H10">
        <v>38</v>
      </c>
      <c r="I10">
        <v>0</v>
      </c>
      <c r="J10">
        <v>0</v>
      </c>
      <c r="K10">
        <v>0</v>
      </c>
      <c r="L10" s="6">
        <f t="shared" si="0"/>
        <v>1</v>
      </c>
      <c r="M10">
        <v>179</v>
      </c>
      <c r="N10">
        <v>56</v>
      </c>
      <c r="O10">
        <v>8</v>
      </c>
      <c r="P10">
        <v>0</v>
      </c>
      <c r="Q10">
        <v>115</v>
      </c>
      <c r="R10">
        <v>0</v>
      </c>
      <c r="S10" s="9">
        <v>0</v>
      </c>
      <c r="T10" s="9">
        <v>0</v>
      </c>
      <c r="U10" s="3">
        <f t="shared" si="1"/>
        <v>1</v>
      </c>
      <c r="V10" s="3">
        <f t="shared" si="2"/>
        <v>1</v>
      </c>
    </row>
    <row r="11" spans="1:22" x14ac:dyDescent="0.25">
      <c r="A11" s="2">
        <v>2017</v>
      </c>
      <c r="B11" t="s">
        <v>19</v>
      </c>
      <c r="C11" t="s">
        <v>1</v>
      </c>
      <c r="D11" s="2">
        <v>130</v>
      </c>
      <c r="E11" s="2">
        <v>5419</v>
      </c>
      <c r="F11" t="s">
        <v>479</v>
      </c>
      <c r="G11">
        <v>4</v>
      </c>
      <c r="H11">
        <v>4</v>
      </c>
      <c r="I11">
        <v>0</v>
      </c>
      <c r="J11">
        <v>0</v>
      </c>
      <c r="K11">
        <v>0</v>
      </c>
      <c r="L11" s="6">
        <f t="shared" si="0"/>
        <v>1</v>
      </c>
      <c r="M11">
        <v>89</v>
      </c>
      <c r="N11">
        <v>27</v>
      </c>
      <c r="O11">
        <v>5</v>
      </c>
      <c r="P11">
        <v>1</v>
      </c>
      <c r="Q11">
        <v>57</v>
      </c>
      <c r="R11">
        <v>0</v>
      </c>
      <c r="S11" s="9">
        <v>0</v>
      </c>
      <c r="T11" s="9">
        <v>0</v>
      </c>
      <c r="U11" s="3">
        <f t="shared" si="1"/>
        <v>1</v>
      </c>
      <c r="V11" s="3">
        <f t="shared" si="2"/>
        <v>1</v>
      </c>
    </row>
    <row r="12" spans="1:22" x14ac:dyDescent="0.25">
      <c r="A12" s="2">
        <v>2017</v>
      </c>
      <c r="B12" t="s">
        <v>19</v>
      </c>
      <c r="C12" t="s">
        <v>1</v>
      </c>
      <c r="D12" s="2">
        <v>1397</v>
      </c>
      <c r="E12" s="2">
        <v>3661</v>
      </c>
      <c r="F12" t="s">
        <v>480</v>
      </c>
      <c r="G12">
        <v>2</v>
      </c>
      <c r="H12">
        <v>2</v>
      </c>
      <c r="I12">
        <v>0</v>
      </c>
      <c r="J12">
        <v>0</v>
      </c>
      <c r="K12">
        <v>0</v>
      </c>
      <c r="L12" s="6">
        <f t="shared" si="0"/>
        <v>1</v>
      </c>
      <c r="M12">
        <v>68</v>
      </c>
      <c r="N12">
        <v>15</v>
      </c>
      <c r="O12">
        <v>4</v>
      </c>
      <c r="P12">
        <v>0</v>
      </c>
      <c r="Q12">
        <v>49</v>
      </c>
      <c r="R12">
        <v>0</v>
      </c>
      <c r="S12" s="9">
        <v>0</v>
      </c>
      <c r="T12" s="9">
        <v>0</v>
      </c>
      <c r="U12" s="3">
        <f t="shared" si="1"/>
        <v>1</v>
      </c>
      <c r="V12" s="3">
        <f t="shared" si="2"/>
        <v>1</v>
      </c>
    </row>
    <row r="13" spans="1:22" x14ac:dyDescent="0.25">
      <c r="A13" s="2">
        <v>2017</v>
      </c>
      <c r="B13" t="s">
        <v>19</v>
      </c>
      <c r="C13" t="s">
        <v>1</v>
      </c>
      <c r="D13" s="2">
        <v>1508</v>
      </c>
      <c r="E13" s="2">
        <v>3157</v>
      </c>
      <c r="F13" t="s">
        <v>481</v>
      </c>
      <c r="G13">
        <v>0</v>
      </c>
      <c r="H13">
        <v>0</v>
      </c>
      <c r="I13">
        <v>0</v>
      </c>
      <c r="J13">
        <v>0</v>
      </c>
      <c r="K13">
        <v>0</v>
      </c>
      <c r="L13" s="6">
        <f t="shared" si="0"/>
        <v>0</v>
      </c>
      <c r="M13">
        <v>46</v>
      </c>
      <c r="N13">
        <v>18</v>
      </c>
      <c r="O13">
        <v>3</v>
      </c>
      <c r="P13">
        <v>0</v>
      </c>
      <c r="Q13">
        <v>25</v>
      </c>
      <c r="R13">
        <v>0</v>
      </c>
      <c r="S13" s="9">
        <v>0</v>
      </c>
      <c r="T13" s="9">
        <v>0</v>
      </c>
      <c r="U13" s="3">
        <f t="shared" si="1"/>
        <v>1</v>
      </c>
      <c r="V13" s="3">
        <f t="shared" si="2"/>
        <v>1</v>
      </c>
    </row>
    <row r="14" spans="1:22" x14ac:dyDescent="0.25">
      <c r="A14" s="2">
        <v>2017</v>
      </c>
      <c r="B14" t="s">
        <v>19</v>
      </c>
      <c r="C14" t="s">
        <v>1</v>
      </c>
      <c r="D14" s="2">
        <v>136</v>
      </c>
      <c r="E14" s="2">
        <v>2834</v>
      </c>
      <c r="F14" t="s">
        <v>482</v>
      </c>
      <c r="G14">
        <v>4</v>
      </c>
      <c r="H14">
        <v>4</v>
      </c>
      <c r="I14">
        <v>0</v>
      </c>
      <c r="J14">
        <v>0</v>
      </c>
      <c r="K14">
        <v>0</v>
      </c>
      <c r="L14" s="6">
        <f t="shared" si="0"/>
        <v>1</v>
      </c>
      <c r="M14">
        <v>62</v>
      </c>
      <c r="N14">
        <v>16</v>
      </c>
      <c r="O14">
        <v>3</v>
      </c>
      <c r="P14">
        <v>0</v>
      </c>
      <c r="Q14">
        <v>43</v>
      </c>
      <c r="R14">
        <v>0</v>
      </c>
      <c r="S14" s="9">
        <v>0</v>
      </c>
      <c r="T14" s="9">
        <v>0</v>
      </c>
      <c r="U14" s="3">
        <f t="shared" si="1"/>
        <v>1</v>
      </c>
      <c r="V14" s="3">
        <f t="shared" si="2"/>
        <v>1</v>
      </c>
    </row>
    <row r="15" spans="1:22" x14ac:dyDescent="0.25">
      <c r="A15" s="2">
        <v>2017</v>
      </c>
      <c r="B15" t="s">
        <v>19</v>
      </c>
      <c r="C15" t="s">
        <v>1</v>
      </c>
      <c r="D15" s="2">
        <v>138</v>
      </c>
      <c r="E15" s="2">
        <v>2741</v>
      </c>
      <c r="F15" t="s">
        <v>483</v>
      </c>
      <c r="G15">
        <v>1</v>
      </c>
      <c r="H15">
        <v>1</v>
      </c>
      <c r="I15">
        <v>0</v>
      </c>
      <c r="J15">
        <v>0</v>
      </c>
      <c r="K15">
        <v>0</v>
      </c>
      <c r="L15" s="6">
        <f t="shared" si="0"/>
        <v>1</v>
      </c>
      <c r="M15">
        <v>57</v>
      </c>
      <c r="N15">
        <v>16</v>
      </c>
      <c r="O15">
        <v>5</v>
      </c>
      <c r="P15">
        <v>0</v>
      </c>
      <c r="Q15">
        <v>36</v>
      </c>
      <c r="R15">
        <v>0</v>
      </c>
      <c r="S15" s="9">
        <v>0</v>
      </c>
      <c r="T15" s="9">
        <v>0</v>
      </c>
      <c r="U15" s="3">
        <f t="shared" si="1"/>
        <v>1</v>
      </c>
      <c r="V15" s="3">
        <f t="shared" si="2"/>
        <v>1</v>
      </c>
    </row>
    <row r="16" spans="1:22" x14ac:dyDescent="0.25">
      <c r="A16" s="2">
        <v>2017</v>
      </c>
      <c r="B16" t="s">
        <v>19</v>
      </c>
      <c r="C16" t="s">
        <v>1</v>
      </c>
      <c r="D16" s="2">
        <v>19352</v>
      </c>
      <c r="E16" s="2">
        <v>122191</v>
      </c>
      <c r="F16" t="s">
        <v>484</v>
      </c>
      <c r="G16">
        <v>6</v>
      </c>
      <c r="H16">
        <v>6</v>
      </c>
      <c r="I16">
        <v>0</v>
      </c>
      <c r="J16">
        <v>0</v>
      </c>
      <c r="K16">
        <v>0</v>
      </c>
      <c r="L16" s="6">
        <f t="shared" si="0"/>
        <v>1</v>
      </c>
      <c r="M16">
        <v>149</v>
      </c>
      <c r="N16">
        <v>40</v>
      </c>
      <c r="O16">
        <v>9</v>
      </c>
      <c r="P16">
        <v>0</v>
      </c>
      <c r="Q16">
        <v>100</v>
      </c>
      <c r="R16">
        <v>0</v>
      </c>
      <c r="S16" s="9">
        <v>0</v>
      </c>
      <c r="T16" s="9">
        <v>0</v>
      </c>
      <c r="U16" s="3">
        <f t="shared" si="1"/>
        <v>1</v>
      </c>
      <c r="V16" s="3">
        <f t="shared" si="2"/>
        <v>1</v>
      </c>
    </row>
    <row r="17" spans="1:22" x14ac:dyDescent="0.25">
      <c r="A17" s="2">
        <v>2017</v>
      </c>
      <c r="B17" t="s">
        <v>19</v>
      </c>
      <c r="C17" t="s">
        <v>1</v>
      </c>
      <c r="D17" s="2">
        <v>1632</v>
      </c>
      <c r="E17" s="2">
        <v>2953</v>
      </c>
      <c r="F17" t="s">
        <v>485</v>
      </c>
      <c r="G17">
        <v>1</v>
      </c>
      <c r="H17">
        <v>1</v>
      </c>
      <c r="I17">
        <v>0</v>
      </c>
      <c r="J17">
        <v>0</v>
      </c>
      <c r="K17">
        <v>0</v>
      </c>
      <c r="L17" s="6">
        <f t="shared" si="0"/>
        <v>1</v>
      </c>
      <c r="M17">
        <v>71</v>
      </c>
      <c r="N17">
        <v>17</v>
      </c>
      <c r="O17">
        <v>3</v>
      </c>
      <c r="P17">
        <v>0</v>
      </c>
      <c r="Q17">
        <v>51</v>
      </c>
      <c r="R17">
        <v>0</v>
      </c>
      <c r="S17" s="9">
        <v>0</v>
      </c>
      <c r="T17" s="9">
        <v>0</v>
      </c>
      <c r="U17" s="3">
        <f t="shared" si="1"/>
        <v>1</v>
      </c>
      <c r="V17" s="3">
        <f t="shared" si="2"/>
        <v>1</v>
      </c>
    </row>
    <row r="18" spans="1:22" x14ac:dyDescent="0.25">
      <c r="A18" s="2">
        <v>2017</v>
      </c>
      <c r="B18" t="s">
        <v>19</v>
      </c>
      <c r="C18" t="s">
        <v>1</v>
      </c>
      <c r="D18" s="2">
        <v>1661</v>
      </c>
      <c r="E18" s="2">
        <v>104</v>
      </c>
      <c r="F18" t="s">
        <v>486</v>
      </c>
      <c r="G18">
        <v>0</v>
      </c>
      <c r="H18">
        <v>0</v>
      </c>
      <c r="I18">
        <v>0</v>
      </c>
      <c r="J18">
        <v>0</v>
      </c>
      <c r="K18">
        <v>0</v>
      </c>
      <c r="L18" s="6">
        <f t="shared" si="0"/>
        <v>0</v>
      </c>
      <c r="M18">
        <v>27</v>
      </c>
      <c r="N18">
        <v>8</v>
      </c>
      <c r="O18">
        <v>2</v>
      </c>
      <c r="P18">
        <v>0</v>
      </c>
      <c r="Q18">
        <v>17</v>
      </c>
      <c r="R18">
        <v>0</v>
      </c>
      <c r="S18" s="9">
        <v>0</v>
      </c>
      <c r="T18" s="9">
        <v>0</v>
      </c>
      <c r="U18" s="3">
        <f t="shared" si="1"/>
        <v>1</v>
      </c>
      <c r="V18" s="3">
        <f t="shared" si="2"/>
        <v>1</v>
      </c>
    </row>
    <row r="19" spans="1:22" x14ac:dyDescent="0.25">
      <c r="A19" s="2">
        <v>2017</v>
      </c>
      <c r="B19" t="s">
        <v>19</v>
      </c>
      <c r="C19" t="s">
        <v>1</v>
      </c>
      <c r="D19" s="2">
        <v>1667</v>
      </c>
      <c r="E19" s="2">
        <v>4727</v>
      </c>
      <c r="F19" t="s">
        <v>487</v>
      </c>
      <c r="G19">
        <v>0</v>
      </c>
      <c r="H19">
        <v>0</v>
      </c>
      <c r="I19">
        <v>0</v>
      </c>
      <c r="J19">
        <v>0</v>
      </c>
      <c r="K19">
        <v>0</v>
      </c>
      <c r="L19" s="6">
        <f t="shared" si="0"/>
        <v>0</v>
      </c>
      <c r="M19">
        <v>114</v>
      </c>
      <c r="N19">
        <v>22</v>
      </c>
      <c r="O19">
        <v>8</v>
      </c>
      <c r="P19">
        <v>0</v>
      </c>
      <c r="Q19">
        <v>84</v>
      </c>
      <c r="R19">
        <v>0</v>
      </c>
      <c r="S19" s="9">
        <v>0</v>
      </c>
      <c r="T19" s="9">
        <v>0</v>
      </c>
      <c r="U19" s="3">
        <f t="shared" si="1"/>
        <v>1</v>
      </c>
      <c r="V19" s="3">
        <f t="shared" si="2"/>
        <v>1</v>
      </c>
    </row>
    <row r="20" spans="1:22" x14ac:dyDescent="0.25">
      <c r="A20" s="2">
        <v>2017</v>
      </c>
      <c r="B20" t="s">
        <v>19</v>
      </c>
      <c r="C20" t="s">
        <v>1</v>
      </c>
      <c r="D20" s="2">
        <v>20010</v>
      </c>
      <c r="E20" s="2">
        <v>119432</v>
      </c>
      <c r="F20" t="s">
        <v>488</v>
      </c>
      <c r="G20">
        <v>6</v>
      </c>
      <c r="H20">
        <v>6</v>
      </c>
      <c r="I20">
        <v>0</v>
      </c>
      <c r="J20">
        <v>0</v>
      </c>
      <c r="K20">
        <v>0</v>
      </c>
      <c r="L20" s="6">
        <f t="shared" si="0"/>
        <v>1</v>
      </c>
      <c r="M20">
        <v>109</v>
      </c>
      <c r="N20">
        <v>30</v>
      </c>
      <c r="O20">
        <v>5</v>
      </c>
      <c r="P20">
        <v>0</v>
      </c>
      <c r="Q20">
        <v>74</v>
      </c>
      <c r="R20">
        <v>0</v>
      </c>
      <c r="S20" s="9">
        <v>0</v>
      </c>
      <c r="T20" s="9">
        <v>0</v>
      </c>
      <c r="U20" s="3">
        <f t="shared" si="1"/>
        <v>1</v>
      </c>
      <c r="V20" s="3">
        <f t="shared" si="2"/>
        <v>1</v>
      </c>
    </row>
    <row r="21" spans="1:22" x14ac:dyDescent="0.25">
      <c r="A21" s="2">
        <v>2017</v>
      </c>
      <c r="B21" t="s">
        <v>19</v>
      </c>
      <c r="C21" t="s">
        <v>1</v>
      </c>
      <c r="D21" s="2">
        <v>639</v>
      </c>
      <c r="E21" s="2">
        <v>4723</v>
      </c>
      <c r="F21" t="s">
        <v>489</v>
      </c>
      <c r="G21">
        <v>5</v>
      </c>
      <c r="H21">
        <v>5</v>
      </c>
      <c r="I21">
        <v>0</v>
      </c>
      <c r="J21">
        <v>0</v>
      </c>
      <c r="K21">
        <v>0</v>
      </c>
      <c r="L21" s="6">
        <f t="shared" si="0"/>
        <v>1</v>
      </c>
      <c r="M21">
        <v>89</v>
      </c>
      <c r="N21">
        <v>19</v>
      </c>
      <c r="O21">
        <v>7</v>
      </c>
      <c r="P21">
        <v>0</v>
      </c>
      <c r="Q21">
        <v>63</v>
      </c>
      <c r="R21">
        <v>0</v>
      </c>
      <c r="S21" s="9">
        <v>0</v>
      </c>
      <c r="T21" s="9">
        <v>0</v>
      </c>
      <c r="U21" s="3">
        <f t="shared" si="1"/>
        <v>1</v>
      </c>
      <c r="V21" s="3">
        <f t="shared" si="2"/>
        <v>1</v>
      </c>
    </row>
    <row r="22" spans="1:22" x14ac:dyDescent="0.25">
      <c r="A22" s="2">
        <v>2017</v>
      </c>
      <c r="B22" t="s">
        <v>19</v>
      </c>
      <c r="C22" t="s">
        <v>1</v>
      </c>
      <c r="D22" s="2">
        <v>1909</v>
      </c>
      <c r="E22" s="2">
        <v>5437</v>
      </c>
      <c r="F22" t="s">
        <v>490</v>
      </c>
      <c r="G22">
        <v>6</v>
      </c>
      <c r="H22">
        <v>6</v>
      </c>
      <c r="I22">
        <v>0</v>
      </c>
      <c r="J22">
        <v>0</v>
      </c>
      <c r="K22">
        <v>0</v>
      </c>
      <c r="L22" s="6">
        <f t="shared" si="0"/>
        <v>1</v>
      </c>
      <c r="M22">
        <v>87</v>
      </c>
      <c r="N22">
        <v>23</v>
      </c>
      <c r="O22">
        <v>4</v>
      </c>
      <c r="P22">
        <v>0</v>
      </c>
      <c r="Q22">
        <v>59</v>
      </c>
      <c r="R22">
        <v>1</v>
      </c>
      <c r="S22" s="9">
        <v>0</v>
      </c>
      <c r="T22" s="9">
        <v>0</v>
      </c>
      <c r="U22" s="3">
        <f t="shared" si="1"/>
        <v>0.9885057471264368</v>
      </c>
      <c r="V22" s="3">
        <f t="shared" si="2"/>
        <v>0.989247311827957</v>
      </c>
    </row>
    <row r="23" spans="1:22" x14ac:dyDescent="0.25">
      <c r="A23" s="2">
        <v>2017</v>
      </c>
      <c r="B23" t="s">
        <v>19</v>
      </c>
      <c r="C23" t="s">
        <v>1</v>
      </c>
      <c r="D23" s="2">
        <v>3622</v>
      </c>
      <c r="E23" s="2">
        <v>5670</v>
      </c>
      <c r="F23" t="s">
        <v>491</v>
      </c>
      <c r="G23">
        <v>5</v>
      </c>
      <c r="H23">
        <v>5</v>
      </c>
      <c r="I23">
        <v>0</v>
      </c>
      <c r="J23">
        <v>0</v>
      </c>
      <c r="K23">
        <v>0</v>
      </c>
      <c r="L23" s="6">
        <f t="shared" si="0"/>
        <v>1</v>
      </c>
      <c r="M23">
        <v>206</v>
      </c>
      <c r="N23">
        <v>60</v>
      </c>
      <c r="O23">
        <v>12</v>
      </c>
      <c r="P23">
        <v>0</v>
      </c>
      <c r="Q23">
        <v>134</v>
      </c>
      <c r="R23">
        <v>0</v>
      </c>
      <c r="S23" s="9">
        <v>0</v>
      </c>
      <c r="T23" s="9">
        <v>0</v>
      </c>
      <c r="U23" s="3">
        <f t="shared" si="1"/>
        <v>1</v>
      </c>
      <c r="V23" s="3">
        <f t="shared" si="2"/>
        <v>1</v>
      </c>
    </row>
    <row r="24" spans="1:22" x14ac:dyDescent="0.25">
      <c r="A24" s="2">
        <v>2017</v>
      </c>
      <c r="B24" t="s">
        <v>19</v>
      </c>
      <c r="C24" t="s">
        <v>1</v>
      </c>
      <c r="D24" s="2">
        <v>15555</v>
      </c>
      <c r="E24" s="2">
        <v>9514</v>
      </c>
      <c r="F24" t="s">
        <v>492</v>
      </c>
      <c r="G24">
        <v>7</v>
      </c>
      <c r="H24">
        <v>7</v>
      </c>
      <c r="I24">
        <v>0</v>
      </c>
      <c r="J24">
        <v>0</v>
      </c>
      <c r="K24">
        <v>0</v>
      </c>
      <c r="L24" s="6">
        <f t="shared" si="0"/>
        <v>1</v>
      </c>
      <c r="M24">
        <v>82</v>
      </c>
      <c r="N24">
        <v>21</v>
      </c>
      <c r="O24">
        <v>6</v>
      </c>
      <c r="P24">
        <v>0</v>
      </c>
      <c r="Q24">
        <v>55</v>
      </c>
      <c r="R24">
        <v>0</v>
      </c>
      <c r="S24" s="9">
        <v>0</v>
      </c>
      <c r="T24" s="9">
        <v>0</v>
      </c>
      <c r="U24" s="3">
        <f t="shared" si="1"/>
        <v>1</v>
      </c>
      <c r="V24" s="3">
        <f t="shared" si="2"/>
        <v>1</v>
      </c>
    </row>
    <row r="25" spans="1:22" x14ac:dyDescent="0.25">
      <c r="A25" s="2">
        <v>2017</v>
      </c>
      <c r="B25" t="s">
        <v>19</v>
      </c>
      <c r="C25" t="s">
        <v>1</v>
      </c>
      <c r="D25" s="2">
        <v>820</v>
      </c>
      <c r="E25" s="2">
        <v>5431</v>
      </c>
      <c r="F25" t="s">
        <v>493</v>
      </c>
      <c r="G25">
        <v>3</v>
      </c>
      <c r="H25">
        <v>3</v>
      </c>
      <c r="I25">
        <v>0</v>
      </c>
      <c r="J25">
        <v>0</v>
      </c>
      <c r="K25">
        <v>0</v>
      </c>
      <c r="L25" s="6">
        <f t="shared" si="0"/>
        <v>1</v>
      </c>
      <c r="M25">
        <v>96</v>
      </c>
      <c r="N25">
        <v>20</v>
      </c>
      <c r="O25">
        <v>1</v>
      </c>
      <c r="P25">
        <v>0</v>
      </c>
      <c r="Q25">
        <v>72</v>
      </c>
      <c r="R25">
        <v>3</v>
      </c>
      <c r="S25" s="9">
        <v>0</v>
      </c>
      <c r="T25" s="9">
        <v>0</v>
      </c>
      <c r="U25" s="3">
        <f t="shared" si="1"/>
        <v>0.96875</v>
      </c>
      <c r="V25" s="3">
        <f t="shared" si="2"/>
        <v>0.96969696969696972</v>
      </c>
    </row>
    <row r="26" spans="1:22" x14ac:dyDescent="0.25">
      <c r="A26" s="2">
        <v>2017</v>
      </c>
      <c r="B26" t="s">
        <v>19</v>
      </c>
      <c r="C26" t="s">
        <v>1</v>
      </c>
      <c r="D26" s="2">
        <v>853</v>
      </c>
      <c r="E26" s="2">
        <v>4717</v>
      </c>
      <c r="F26" t="s">
        <v>494</v>
      </c>
      <c r="G26">
        <v>1</v>
      </c>
      <c r="H26">
        <v>1</v>
      </c>
      <c r="I26">
        <v>0</v>
      </c>
      <c r="J26">
        <v>0</v>
      </c>
      <c r="K26">
        <v>0</v>
      </c>
      <c r="L26" s="6">
        <f t="shared" si="0"/>
        <v>1</v>
      </c>
      <c r="M26">
        <v>4</v>
      </c>
      <c r="N26">
        <v>2</v>
      </c>
      <c r="O26">
        <v>0</v>
      </c>
      <c r="P26">
        <v>0</v>
      </c>
      <c r="Q26">
        <v>2</v>
      </c>
      <c r="R26">
        <v>0</v>
      </c>
      <c r="S26" s="9">
        <v>0</v>
      </c>
      <c r="T26" s="9">
        <v>0</v>
      </c>
      <c r="U26" s="3">
        <f t="shared" si="1"/>
        <v>1</v>
      </c>
      <c r="V26" s="3">
        <f t="shared" si="2"/>
        <v>1</v>
      </c>
    </row>
    <row r="27" spans="1:22" x14ac:dyDescent="0.25">
      <c r="A27" s="2">
        <v>2017</v>
      </c>
      <c r="B27" t="s">
        <v>19</v>
      </c>
      <c r="C27" t="s">
        <v>1</v>
      </c>
      <c r="D27" s="2">
        <v>3595</v>
      </c>
      <c r="E27" s="2">
        <v>9918</v>
      </c>
      <c r="F27" t="s">
        <v>495</v>
      </c>
      <c r="G27">
        <v>0</v>
      </c>
      <c r="H27">
        <v>0</v>
      </c>
      <c r="I27">
        <v>0</v>
      </c>
      <c r="J27">
        <v>0</v>
      </c>
      <c r="K27">
        <v>0</v>
      </c>
      <c r="L27" s="6">
        <f t="shared" si="0"/>
        <v>0</v>
      </c>
      <c r="M27">
        <v>92</v>
      </c>
      <c r="N27">
        <v>23</v>
      </c>
      <c r="O27">
        <v>9</v>
      </c>
      <c r="P27">
        <v>0</v>
      </c>
      <c r="Q27">
        <v>60</v>
      </c>
      <c r="R27">
        <v>0</v>
      </c>
      <c r="S27" s="9">
        <v>0</v>
      </c>
      <c r="T27" s="9">
        <v>0</v>
      </c>
      <c r="U27" s="3">
        <f t="shared" si="1"/>
        <v>1</v>
      </c>
      <c r="V27" s="3">
        <f t="shared" si="2"/>
        <v>1</v>
      </c>
    </row>
    <row r="28" spans="1:22" x14ac:dyDescent="0.25">
      <c r="A28" s="2">
        <v>2017</v>
      </c>
      <c r="B28" t="s">
        <v>19</v>
      </c>
      <c r="C28" t="s">
        <v>1</v>
      </c>
      <c r="D28" s="2">
        <v>1016</v>
      </c>
      <c r="E28" s="2">
        <v>2749</v>
      </c>
      <c r="F28" t="s">
        <v>496</v>
      </c>
      <c r="G28">
        <v>5</v>
      </c>
      <c r="H28">
        <v>5</v>
      </c>
      <c r="I28">
        <v>0</v>
      </c>
      <c r="J28">
        <v>0</v>
      </c>
      <c r="K28">
        <v>0</v>
      </c>
      <c r="L28" s="6">
        <f t="shared" si="0"/>
        <v>1</v>
      </c>
      <c r="M28">
        <v>61</v>
      </c>
      <c r="N28">
        <v>17</v>
      </c>
      <c r="O28">
        <v>1</v>
      </c>
      <c r="P28">
        <v>0</v>
      </c>
      <c r="Q28">
        <v>41</v>
      </c>
      <c r="R28">
        <v>2</v>
      </c>
      <c r="S28" s="9">
        <v>0</v>
      </c>
      <c r="T28" s="9">
        <v>0</v>
      </c>
      <c r="U28" s="3">
        <f t="shared" si="1"/>
        <v>0.96721311475409832</v>
      </c>
      <c r="V28" s="3">
        <f t="shared" si="2"/>
        <v>0.96969696969696972</v>
      </c>
    </row>
    <row r="29" spans="1:22" x14ac:dyDescent="0.25">
      <c r="A29" s="2">
        <v>2017</v>
      </c>
      <c r="B29" t="s">
        <v>19</v>
      </c>
      <c r="C29" t="s">
        <v>1</v>
      </c>
      <c r="D29" s="2">
        <v>1050</v>
      </c>
      <c r="E29" s="2">
        <v>5302</v>
      </c>
      <c r="F29" t="s">
        <v>497</v>
      </c>
      <c r="G29">
        <v>0</v>
      </c>
      <c r="H29">
        <v>0</v>
      </c>
      <c r="I29">
        <v>0</v>
      </c>
      <c r="J29">
        <v>0</v>
      </c>
      <c r="K29">
        <v>0</v>
      </c>
      <c r="L29" s="6">
        <f t="shared" si="0"/>
        <v>0</v>
      </c>
      <c r="M29">
        <v>73</v>
      </c>
      <c r="N29">
        <v>18</v>
      </c>
      <c r="O29">
        <v>4</v>
      </c>
      <c r="P29">
        <v>0</v>
      </c>
      <c r="Q29">
        <v>51</v>
      </c>
      <c r="R29">
        <v>0</v>
      </c>
      <c r="S29" s="9">
        <v>0</v>
      </c>
      <c r="T29" s="9">
        <v>0</v>
      </c>
      <c r="U29" s="3">
        <f t="shared" si="1"/>
        <v>1</v>
      </c>
      <c r="V29" s="3">
        <f t="shared" si="2"/>
        <v>1</v>
      </c>
    </row>
    <row r="30" spans="1:22" x14ac:dyDescent="0.25">
      <c r="A30" s="2">
        <v>2017</v>
      </c>
      <c r="B30" t="s">
        <v>19</v>
      </c>
      <c r="C30" t="s">
        <v>1</v>
      </c>
      <c r="D30" s="2">
        <v>1108</v>
      </c>
      <c r="E30" s="2">
        <v>4332</v>
      </c>
      <c r="F30" t="s">
        <v>498</v>
      </c>
      <c r="G30">
        <v>4</v>
      </c>
      <c r="H30">
        <v>4</v>
      </c>
      <c r="I30">
        <v>0</v>
      </c>
      <c r="J30">
        <v>0</v>
      </c>
      <c r="K30">
        <v>0</v>
      </c>
      <c r="L30" s="6">
        <f t="shared" si="0"/>
        <v>1</v>
      </c>
      <c r="M30">
        <v>66</v>
      </c>
      <c r="N30">
        <v>32</v>
      </c>
      <c r="O30">
        <v>1</v>
      </c>
      <c r="P30">
        <v>0</v>
      </c>
      <c r="Q30">
        <v>33</v>
      </c>
      <c r="R30">
        <v>0</v>
      </c>
      <c r="S30" s="9">
        <v>0</v>
      </c>
      <c r="T30" s="9">
        <v>0</v>
      </c>
      <c r="U30" s="3">
        <f t="shared" si="1"/>
        <v>1</v>
      </c>
      <c r="V30" s="3">
        <f t="shared" si="2"/>
        <v>1</v>
      </c>
    </row>
    <row r="31" spans="1:22" x14ac:dyDescent="0.25">
      <c r="A31" s="2">
        <v>2017</v>
      </c>
      <c r="B31" t="s">
        <v>19</v>
      </c>
      <c r="C31" t="s">
        <v>1</v>
      </c>
      <c r="D31" s="2">
        <v>3623</v>
      </c>
      <c r="E31" s="2">
        <v>6046</v>
      </c>
      <c r="F31" t="s">
        <v>499</v>
      </c>
      <c r="G31">
        <v>2</v>
      </c>
      <c r="H31">
        <v>2</v>
      </c>
      <c r="I31">
        <v>0</v>
      </c>
      <c r="J31">
        <v>0</v>
      </c>
      <c r="K31">
        <v>0</v>
      </c>
      <c r="L31" s="6">
        <f t="shared" si="0"/>
        <v>1</v>
      </c>
      <c r="M31">
        <v>105</v>
      </c>
      <c r="N31">
        <v>38</v>
      </c>
      <c r="O31">
        <v>0</v>
      </c>
      <c r="P31">
        <v>0</v>
      </c>
      <c r="Q31">
        <v>67</v>
      </c>
      <c r="R31">
        <v>0</v>
      </c>
      <c r="S31" s="9">
        <v>0</v>
      </c>
      <c r="T31" s="9">
        <v>0</v>
      </c>
      <c r="U31" s="3">
        <f t="shared" si="1"/>
        <v>1</v>
      </c>
      <c r="V31" s="3">
        <f t="shared" si="2"/>
        <v>1</v>
      </c>
    </row>
    <row r="32" spans="1:22" x14ac:dyDescent="0.25">
      <c r="A32" s="2">
        <v>2017</v>
      </c>
      <c r="B32" t="s">
        <v>19</v>
      </c>
      <c r="C32" t="s">
        <v>1</v>
      </c>
      <c r="D32" s="2">
        <v>14791</v>
      </c>
      <c r="E32" s="2">
        <v>118895</v>
      </c>
      <c r="F32" t="s">
        <v>500</v>
      </c>
      <c r="G32">
        <v>3</v>
      </c>
      <c r="H32">
        <v>3</v>
      </c>
      <c r="I32">
        <v>0</v>
      </c>
      <c r="J32">
        <v>0</v>
      </c>
      <c r="K32">
        <v>0</v>
      </c>
      <c r="L32" s="6">
        <f t="shared" si="0"/>
        <v>1</v>
      </c>
      <c r="M32">
        <v>29</v>
      </c>
      <c r="N32">
        <v>7</v>
      </c>
      <c r="O32">
        <v>0</v>
      </c>
      <c r="P32">
        <v>0</v>
      </c>
      <c r="Q32">
        <v>22</v>
      </c>
      <c r="R32">
        <v>0</v>
      </c>
      <c r="S32" s="9">
        <v>0</v>
      </c>
      <c r="T32" s="9">
        <v>0</v>
      </c>
      <c r="U32" s="3">
        <f t="shared" si="1"/>
        <v>1</v>
      </c>
      <c r="V32" s="3">
        <f t="shared" si="2"/>
        <v>1</v>
      </c>
    </row>
    <row r="33" spans="1:22" x14ac:dyDescent="0.25">
      <c r="A33" s="2">
        <v>2017</v>
      </c>
      <c r="B33" t="s">
        <v>19</v>
      </c>
      <c r="C33" t="s">
        <v>1</v>
      </c>
      <c r="D33" s="2">
        <v>15880</v>
      </c>
      <c r="E33" s="2">
        <v>9708</v>
      </c>
      <c r="F33" t="s">
        <v>501</v>
      </c>
      <c r="G33">
        <v>3</v>
      </c>
      <c r="H33">
        <v>3</v>
      </c>
      <c r="I33">
        <v>0</v>
      </c>
      <c r="J33">
        <v>0</v>
      </c>
      <c r="K33">
        <v>0</v>
      </c>
      <c r="L33" s="6">
        <f t="shared" si="0"/>
        <v>1</v>
      </c>
      <c r="M33">
        <v>85</v>
      </c>
      <c r="N33">
        <v>20</v>
      </c>
      <c r="O33">
        <v>7</v>
      </c>
      <c r="P33">
        <v>0</v>
      </c>
      <c r="Q33">
        <v>57</v>
      </c>
      <c r="R33">
        <v>1</v>
      </c>
      <c r="S33" s="9">
        <v>0</v>
      </c>
      <c r="T33" s="9">
        <v>0</v>
      </c>
      <c r="U33" s="3">
        <f t="shared" si="1"/>
        <v>0.9882352941176471</v>
      </c>
      <c r="V33" s="3">
        <f t="shared" si="2"/>
        <v>0.98863636363636365</v>
      </c>
    </row>
    <row r="34" spans="1:22" x14ac:dyDescent="0.25">
      <c r="A34" s="2">
        <v>2017</v>
      </c>
      <c r="B34" t="s">
        <v>19</v>
      </c>
      <c r="C34" t="s">
        <v>20</v>
      </c>
      <c r="D34" s="2">
        <v>574</v>
      </c>
      <c r="E34" s="2">
        <v>121277</v>
      </c>
      <c r="F34" t="s">
        <v>330</v>
      </c>
      <c r="G34">
        <v>5</v>
      </c>
      <c r="H34">
        <v>5</v>
      </c>
      <c r="I34">
        <v>0</v>
      </c>
      <c r="J34">
        <v>0</v>
      </c>
      <c r="K34">
        <v>0</v>
      </c>
      <c r="L34" s="6">
        <f t="shared" si="0"/>
        <v>1</v>
      </c>
      <c r="M34">
        <v>31</v>
      </c>
      <c r="N34">
        <v>6</v>
      </c>
      <c r="O34">
        <v>2</v>
      </c>
      <c r="P34">
        <v>0</v>
      </c>
      <c r="Q34">
        <v>22</v>
      </c>
      <c r="R34">
        <v>1</v>
      </c>
      <c r="S34" s="9">
        <v>0</v>
      </c>
      <c r="T34" s="9">
        <v>0</v>
      </c>
      <c r="U34" s="3">
        <f t="shared" ref="U34:U55" si="3">(N34+O34+Q34)/M34</f>
        <v>0.967741935483871</v>
      </c>
      <c r="V34" s="3">
        <f t="shared" ref="V34:V55" si="4">(H34+I34+J34+N34+O34+Q34)/(G34+M34)</f>
        <v>0.97222222222222221</v>
      </c>
    </row>
    <row r="35" spans="1:22" x14ac:dyDescent="0.25">
      <c r="A35" s="2">
        <v>2017</v>
      </c>
      <c r="B35" t="s">
        <v>19</v>
      </c>
      <c r="C35" t="s">
        <v>20</v>
      </c>
      <c r="D35" s="2">
        <v>772</v>
      </c>
      <c r="E35" s="2">
        <v>5384</v>
      </c>
      <c r="F35" t="s">
        <v>331</v>
      </c>
      <c r="G35">
        <v>1</v>
      </c>
      <c r="H35">
        <v>1</v>
      </c>
      <c r="I35">
        <v>0</v>
      </c>
      <c r="J35">
        <v>0</v>
      </c>
      <c r="K35">
        <v>0</v>
      </c>
      <c r="L35" s="6">
        <f t="shared" si="0"/>
        <v>1</v>
      </c>
      <c r="M35">
        <v>2</v>
      </c>
      <c r="N35">
        <v>0</v>
      </c>
      <c r="O35">
        <v>0</v>
      </c>
      <c r="P35">
        <v>0</v>
      </c>
      <c r="Q35">
        <v>2</v>
      </c>
      <c r="R35">
        <v>0</v>
      </c>
      <c r="S35" s="9">
        <v>0</v>
      </c>
      <c r="T35" s="9">
        <v>0</v>
      </c>
      <c r="U35" s="3">
        <f t="shared" si="3"/>
        <v>1</v>
      </c>
      <c r="V35" s="3">
        <f t="shared" si="4"/>
        <v>1</v>
      </c>
    </row>
    <row r="36" spans="1:22" x14ac:dyDescent="0.25">
      <c r="A36" s="2">
        <v>2017</v>
      </c>
      <c r="B36" t="s">
        <v>19</v>
      </c>
      <c r="C36" t="s">
        <v>20</v>
      </c>
      <c r="D36" s="2">
        <v>585</v>
      </c>
      <c r="E36" s="2">
        <v>122955</v>
      </c>
      <c r="F36" t="s">
        <v>332</v>
      </c>
      <c r="G36">
        <v>0</v>
      </c>
      <c r="H36">
        <v>0</v>
      </c>
      <c r="I36">
        <v>0</v>
      </c>
      <c r="J36">
        <v>0</v>
      </c>
      <c r="K36">
        <v>0</v>
      </c>
      <c r="L36" s="6">
        <f t="shared" si="0"/>
        <v>0</v>
      </c>
      <c r="M36">
        <v>4</v>
      </c>
      <c r="N36">
        <v>0</v>
      </c>
      <c r="O36">
        <v>1</v>
      </c>
      <c r="P36">
        <v>0</v>
      </c>
      <c r="Q36">
        <v>3</v>
      </c>
      <c r="R36">
        <v>0</v>
      </c>
      <c r="S36" s="9">
        <v>0</v>
      </c>
      <c r="T36" s="9">
        <v>0</v>
      </c>
      <c r="U36" s="3">
        <f t="shared" si="3"/>
        <v>1</v>
      </c>
      <c r="V36" s="3">
        <f t="shared" si="4"/>
        <v>1</v>
      </c>
    </row>
    <row r="37" spans="1:22" x14ac:dyDescent="0.25">
      <c r="A37" s="2">
        <v>2017</v>
      </c>
      <c r="B37" t="s">
        <v>19</v>
      </c>
      <c r="C37" t="s">
        <v>20</v>
      </c>
      <c r="D37" s="2">
        <v>819</v>
      </c>
      <c r="E37" s="2">
        <v>5952</v>
      </c>
      <c r="F37" t="s">
        <v>333</v>
      </c>
      <c r="G37">
        <v>10</v>
      </c>
      <c r="H37">
        <v>10</v>
      </c>
      <c r="I37">
        <v>0</v>
      </c>
      <c r="J37">
        <v>0</v>
      </c>
      <c r="K37">
        <v>0</v>
      </c>
      <c r="L37" s="6">
        <f t="shared" si="0"/>
        <v>1</v>
      </c>
      <c r="M37">
        <v>84</v>
      </c>
      <c r="N37">
        <v>13</v>
      </c>
      <c r="O37">
        <v>1</v>
      </c>
      <c r="P37">
        <v>0</v>
      </c>
      <c r="Q37">
        <v>69</v>
      </c>
      <c r="R37">
        <v>1</v>
      </c>
      <c r="S37" s="9">
        <v>0</v>
      </c>
      <c r="T37" s="9">
        <v>0</v>
      </c>
      <c r="U37" s="3">
        <f t="shared" si="3"/>
        <v>0.98809523809523814</v>
      </c>
      <c r="V37" s="3">
        <f t="shared" si="4"/>
        <v>0.98936170212765961</v>
      </c>
    </row>
    <row r="38" spans="1:22" x14ac:dyDescent="0.25">
      <c r="A38" s="2">
        <v>2017</v>
      </c>
      <c r="B38" t="s">
        <v>19</v>
      </c>
      <c r="C38" t="s">
        <v>20</v>
      </c>
      <c r="D38" s="2">
        <v>590</v>
      </c>
      <c r="E38" s="2">
        <v>122682</v>
      </c>
      <c r="F38" t="s">
        <v>334</v>
      </c>
      <c r="G38">
        <v>3</v>
      </c>
      <c r="H38">
        <v>3</v>
      </c>
      <c r="I38">
        <v>0</v>
      </c>
      <c r="J38">
        <v>0</v>
      </c>
      <c r="K38">
        <v>0</v>
      </c>
      <c r="L38" s="6">
        <f t="shared" si="0"/>
        <v>1</v>
      </c>
      <c r="M38">
        <v>100</v>
      </c>
      <c r="N38">
        <v>17</v>
      </c>
      <c r="O38">
        <v>6</v>
      </c>
      <c r="P38">
        <v>0</v>
      </c>
      <c r="Q38">
        <v>76</v>
      </c>
      <c r="R38">
        <v>1</v>
      </c>
      <c r="S38" s="9">
        <v>0</v>
      </c>
      <c r="T38" s="9">
        <v>0</v>
      </c>
      <c r="U38" s="3">
        <f t="shared" si="3"/>
        <v>0.99</v>
      </c>
      <c r="V38" s="3">
        <f t="shared" si="4"/>
        <v>0.99029126213592233</v>
      </c>
    </row>
    <row r="39" spans="1:22" x14ac:dyDescent="0.25">
      <c r="A39" s="2">
        <v>2017</v>
      </c>
      <c r="B39" t="s">
        <v>19</v>
      </c>
      <c r="C39" t="s">
        <v>20</v>
      </c>
      <c r="D39" s="2">
        <v>586</v>
      </c>
      <c r="E39" s="2">
        <v>122754</v>
      </c>
      <c r="F39" t="s">
        <v>335</v>
      </c>
      <c r="G39">
        <v>9</v>
      </c>
      <c r="H39">
        <v>9</v>
      </c>
      <c r="I39">
        <v>0</v>
      </c>
      <c r="J39">
        <v>0</v>
      </c>
      <c r="K39">
        <v>0</v>
      </c>
      <c r="L39" s="6">
        <f t="shared" si="0"/>
        <v>1</v>
      </c>
      <c r="M39">
        <v>141</v>
      </c>
      <c r="N39">
        <v>24</v>
      </c>
      <c r="O39">
        <v>6</v>
      </c>
      <c r="P39">
        <v>0</v>
      </c>
      <c r="Q39">
        <v>111</v>
      </c>
      <c r="R39">
        <v>0</v>
      </c>
      <c r="S39" s="9">
        <v>0</v>
      </c>
      <c r="T39" s="9">
        <v>0</v>
      </c>
      <c r="U39" s="3">
        <f t="shared" si="3"/>
        <v>1</v>
      </c>
      <c r="V39" s="3">
        <f t="shared" si="4"/>
        <v>1</v>
      </c>
    </row>
    <row r="40" spans="1:22" x14ac:dyDescent="0.25">
      <c r="A40" s="2">
        <v>2017</v>
      </c>
      <c r="B40" t="s">
        <v>19</v>
      </c>
      <c r="C40" t="s">
        <v>20</v>
      </c>
      <c r="D40" s="2">
        <v>560</v>
      </c>
      <c r="E40" s="2">
        <v>119664</v>
      </c>
      <c r="F40" t="s">
        <v>336</v>
      </c>
      <c r="G40">
        <v>2</v>
      </c>
      <c r="H40">
        <v>2</v>
      </c>
      <c r="I40">
        <v>0</v>
      </c>
      <c r="J40">
        <v>0</v>
      </c>
      <c r="K40">
        <v>0</v>
      </c>
      <c r="L40" s="6">
        <f t="shared" si="0"/>
        <v>1</v>
      </c>
      <c r="M40">
        <v>93</v>
      </c>
      <c r="N40">
        <v>10</v>
      </c>
      <c r="O40">
        <v>5</v>
      </c>
      <c r="P40">
        <v>0</v>
      </c>
      <c r="Q40">
        <v>48</v>
      </c>
      <c r="R40">
        <v>30</v>
      </c>
      <c r="S40" s="9">
        <v>0</v>
      </c>
      <c r="T40" s="9">
        <v>0</v>
      </c>
      <c r="U40" s="3">
        <f t="shared" si="3"/>
        <v>0.67741935483870963</v>
      </c>
      <c r="V40" s="3">
        <f t="shared" si="4"/>
        <v>0.68421052631578949</v>
      </c>
    </row>
    <row r="41" spans="1:22" x14ac:dyDescent="0.25">
      <c r="A41" s="2">
        <v>2017</v>
      </c>
      <c r="B41" t="s">
        <v>19</v>
      </c>
      <c r="C41" t="s">
        <v>20</v>
      </c>
      <c r="D41" s="2">
        <v>530</v>
      </c>
      <c r="E41" s="2">
        <v>10559</v>
      </c>
      <c r="F41" t="s">
        <v>32</v>
      </c>
      <c r="G41">
        <v>8</v>
      </c>
      <c r="H41">
        <v>8</v>
      </c>
      <c r="I41">
        <v>0</v>
      </c>
      <c r="J41">
        <v>0</v>
      </c>
      <c r="K41">
        <v>0</v>
      </c>
      <c r="L41" s="6">
        <f t="shared" si="0"/>
        <v>1</v>
      </c>
      <c r="M41">
        <v>153</v>
      </c>
      <c r="N41">
        <v>24</v>
      </c>
      <c r="O41">
        <v>4</v>
      </c>
      <c r="P41">
        <v>0</v>
      </c>
      <c r="Q41">
        <v>125</v>
      </c>
      <c r="R41">
        <v>0</v>
      </c>
      <c r="S41" s="9">
        <v>0</v>
      </c>
      <c r="T41" s="9">
        <v>0</v>
      </c>
      <c r="U41" s="3">
        <f t="shared" si="3"/>
        <v>1</v>
      </c>
      <c r="V41" s="3">
        <f t="shared" si="4"/>
        <v>1</v>
      </c>
    </row>
    <row r="42" spans="1:22" x14ac:dyDescent="0.25">
      <c r="A42" s="2">
        <v>2017</v>
      </c>
      <c r="B42" t="s">
        <v>19</v>
      </c>
      <c r="C42" t="s">
        <v>20</v>
      </c>
      <c r="D42" s="2">
        <v>527</v>
      </c>
      <c r="E42" s="2">
        <v>9715</v>
      </c>
      <c r="F42" t="s">
        <v>337</v>
      </c>
      <c r="G42">
        <v>40</v>
      </c>
      <c r="H42">
        <v>40</v>
      </c>
      <c r="I42">
        <v>0</v>
      </c>
      <c r="J42">
        <v>0</v>
      </c>
      <c r="K42">
        <v>0</v>
      </c>
      <c r="L42" s="6">
        <f t="shared" si="0"/>
        <v>1</v>
      </c>
      <c r="M42">
        <v>254</v>
      </c>
      <c r="N42">
        <v>40</v>
      </c>
      <c r="O42">
        <v>9</v>
      </c>
      <c r="P42">
        <v>4</v>
      </c>
      <c r="Q42">
        <v>198</v>
      </c>
      <c r="R42">
        <v>3</v>
      </c>
      <c r="S42" s="9">
        <v>0</v>
      </c>
      <c r="T42" s="9">
        <v>0</v>
      </c>
      <c r="U42" s="3">
        <f t="shared" si="3"/>
        <v>0.97244094488188981</v>
      </c>
      <c r="V42" s="3">
        <f t="shared" si="4"/>
        <v>0.97619047619047616</v>
      </c>
    </row>
    <row r="43" spans="1:22" x14ac:dyDescent="0.25">
      <c r="A43" s="2">
        <v>2017</v>
      </c>
      <c r="B43" t="s">
        <v>19</v>
      </c>
      <c r="C43" t="s">
        <v>20</v>
      </c>
      <c r="D43" s="2">
        <v>548</v>
      </c>
      <c r="E43" s="2">
        <v>10618</v>
      </c>
      <c r="F43" t="s">
        <v>338</v>
      </c>
      <c r="G43">
        <v>4</v>
      </c>
      <c r="H43">
        <v>4</v>
      </c>
      <c r="I43">
        <v>0</v>
      </c>
      <c r="J43">
        <v>0</v>
      </c>
      <c r="K43">
        <v>0</v>
      </c>
      <c r="L43" s="6">
        <f t="shared" si="0"/>
        <v>1</v>
      </c>
      <c r="M43">
        <v>8</v>
      </c>
      <c r="N43">
        <v>1</v>
      </c>
      <c r="O43">
        <v>1</v>
      </c>
      <c r="P43">
        <v>0</v>
      </c>
      <c r="Q43">
        <v>6</v>
      </c>
      <c r="R43">
        <v>0</v>
      </c>
      <c r="S43" s="9">
        <v>0</v>
      </c>
      <c r="T43" s="9">
        <v>0</v>
      </c>
      <c r="U43" s="3">
        <f t="shared" si="3"/>
        <v>1</v>
      </c>
      <c r="V43" s="3">
        <f t="shared" si="4"/>
        <v>1</v>
      </c>
    </row>
    <row r="44" spans="1:22" x14ac:dyDescent="0.25">
      <c r="A44" s="2">
        <v>2017</v>
      </c>
      <c r="B44" t="s">
        <v>19</v>
      </c>
      <c r="C44" t="s">
        <v>20</v>
      </c>
      <c r="D44" s="2">
        <v>404</v>
      </c>
      <c r="E44" s="2">
        <v>6777</v>
      </c>
      <c r="F44" t="s">
        <v>34</v>
      </c>
      <c r="G44">
        <v>3</v>
      </c>
      <c r="H44">
        <v>3</v>
      </c>
      <c r="I44">
        <v>0</v>
      </c>
      <c r="J44">
        <v>0</v>
      </c>
      <c r="K44">
        <v>0</v>
      </c>
      <c r="L44" s="6">
        <f t="shared" si="0"/>
        <v>1</v>
      </c>
      <c r="M44">
        <v>46</v>
      </c>
      <c r="N44">
        <v>10</v>
      </c>
      <c r="O44">
        <v>5</v>
      </c>
      <c r="P44">
        <v>0</v>
      </c>
      <c r="Q44">
        <v>31</v>
      </c>
      <c r="R44">
        <v>0</v>
      </c>
      <c r="S44" s="9">
        <v>0</v>
      </c>
      <c r="T44" s="9">
        <v>0</v>
      </c>
      <c r="U44" s="3">
        <f t="shared" si="3"/>
        <v>1</v>
      </c>
      <c r="V44" s="3">
        <f t="shared" si="4"/>
        <v>1</v>
      </c>
    </row>
    <row r="45" spans="1:22" x14ac:dyDescent="0.25">
      <c r="A45" s="2">
        <v>2017</v>
      </c>
      <c r="B45" t="s">
        <v>19</v>
      </c>
      <c r="C45" t="s">
        <v>20</v>
      </c>
      <c r="D45" s="2">
        <v>566</v>
      </c>
      <c r="E45" s="2">
        <v>120961</v>
      </c>
      <c r="F45" t="s">
        <v>339</v>
      </c>
      <c r="G45">
        <v>14</v>
      </c>
      <c r="H45">
        <v>14</v>
      </c>
      <c r="I45">
        <v>0</v>
      </c>
      <c r="J45">
        <v>0</v>
      </c>
      <c r="K45">
        <v>0</v>
      </c>
      <c r="L45" s="6">
        <f t="shared" si="0"/>
        <v>1</v>
      </c>
      <c r="M45">
        <v>216</v>
      </c>
      <c r="N45">
        <v>36</v>
      </c>
      <c r="O45">
        <v>9</v>
      </c>
      <c r="P45">
        <v>1</v>
      </c>
      <c r="Q45">
        <v>170</v>
      </c>
      <c r="R45">
        <v>0</v>
      </c>
      <c r="S45" s="9">
        <v>0</v>
      </c>
      <c r="T45" s="9">
        <v>0</v>
      </c>
      <c r="U45" s="3">
        <f t="shared" si="3"/>
        <v>0.99537037037037035</v>
      </c>
      <c r="V45" s="3">
        <f t="shared" si="4"/>
        <v>0.9956521739130435</v>
      </c>
    </row>
    <row r="46" spans="1:22" x14ac:dyDescent="0.25">
      <c r="A46" s="2">
        <v>2017</v>
      </c>
      <c r="B46" t="s">
        <v>19</v>
      </c>
      <c r="C46" t="s">
        <v>20</v>
      </c>
      <c r="D46" s="2">
        <v>455</v>
      </c>
      <c r="E46" s="2">
        <v>7401</v>
      </c>
      <c r="F46" t="s">
        <v>36</v>
      </c>
      <c r="G46">
        <v>10</v>
      </c>
      <c r="H46">
        <v>10</v>
      </c>
      <c r="I46">
        <v>0</v>
      </c>
      <c r="J46">
        <v>0</v>
      </c>
      <c r="K46">
        <v>0</v>
      </c>
      <c r="L46" s="6">
        <f t="shared" si="0"/>
        <v>1</v>
      </c>
      <c r="M46">
        <v>104</v>
      </c>
      <c r="N46">
        <v>16</v>
      </c>
      <c r="O46">
        <v>10</v>
      </c>
      <c r="P46">
        <v>0</v>
      </c>
      <c r="Q46">
        <v>78</v>
      </c>
      <c r="R46">
        <v>0</v>
      </c>
      <c r="S46" s="9">
        <v>0</v>
      </c>
      <c r="T46" s="9">
        <v>0</v>
      </c>
      <c r="U46" s="3">
        <f t="shared" si="3"/>
        <v>1</v>
      </c>
      <c r="V46" s="3">
        <f t="shared" si="4"/>
        <v>1</v>
      </c>
    </row>
    <row r="47" spans="1:22" x14ac:dyDescent="0.25">
      <c r="A47" s="2">
        <v>2017</v>
      </c>
      <c r="B47" t="s">
        <v>19</v>
      </c>
      <c r="C47" t="s">
        <v>20</v>
      </c>
      <c r="D47" s="2">
        <v>356</v>
      </c>
      <c r="E47" s="2">
        <v>1674</v>
      </c>
      <c r="F47" t="s">
        <v>340</v>
      </c>
      <c r="G47">
        <v>4</v>
      </c>
      <c r="H47">
        <v>4</v>
      </c>
      <c r="I47">
        <v>0</v>
      </c>
      <c r="J47">
        <v>0</v>
      </c>
      <c r="K47">
        <v>0</v>
      </c>
      <c r="L47" s="6">
        <f t="shared" si="0"/>
        <v>1</v>
      </c>
      <c r="M47">
        <v>31</v>
      </c>
      <c r="N47">
        <v>6</v>
      </c>
      <c r="O47">
        <v>0</v>
      </c>
      <c r="P47">
        <v>0</v>
      </c>
      <c r="Q47">
        <v>25</v>
      </c>
      <c r="R47">
        <v>0</v>
      </c>
      <c r="S47" s="9">
        <v>0</v>
      </c>
      <c r="T47" s="9">
        <v>0</v>
      </c>
      <c r="U47" s="3">
        <f t="shared" si="3"/>
        <v>1</v>
      </c>
      <c r="V47" s="3">
        <f t="shared" si="4"/>
        <v>1</v>
      </c>
    </row>
    <row r="48" spans="1:22" x14ac:dyDescent="0.25">
      <c r="A48" s="2">
        <v>2017</v>
      </c>
      <c r="B48" t="s">
        <v>19</v>
      </c>
      <c r="C48" t="s">
        <v>20</v>
      </c>
      <c r="D48" s="2">
        <v>842</v>
      </c>
      <c r="E48" s="2">
        <v>5618</v>
      </c>
      <c r="F48" t="s">
        <v>37</v>
      </c>
      <c r="G48">
        <v>2</v>
      </c>
      <c r="H48">
        <v>2</v>
      </c>
      <c r="I48">
        <v>0</v>
      </c>
      <c r="J48">
        <v>0</v>
      </c>
      <c r="K48">
        <v>0</v>
      </c>
      <c r="L48" s="6">
        <f t="shared" si="0"/>
        <v>1</v>
      </c>
      <c r="M48">
        <v>94</v>
      </c>
      <c r="N48">
        <v>18</v>
      </c>
      <c r="O48">
        <v>16</v>
      </c>
      <c r="P48">
        <v>0</v>
      </c>
      <c r="Q48">
        <v>60</v>
      </c>
      <c r="R48">
        <v>0</v>
      </c>
      <c r="S48" s="9">
        <v>0</v>
      </c>
      <c r="T48" s="9">
        <v>0</v>
      </c>
      <c r="U48" s="3">
        <f t="shared" si="3"/>
        <v>1</v>
      </c>
      <c r="V48" s="3">
        <f t="shared" si="4"/>
        <v>1</v>
      </c>
    </row>
    <row r="49" spans="1:22" x14ac:dyDescent="0.25">
      <c r="A49" s="2">
        <v>2017</v>
      </c>
      <c r="B49" t="s">
        <v>19</v>
      </c>
      <c r="C49" t="s">
        <v>20</v>
      </c>
      <c r="D49" s="2">
        <v>543</v>
      </c>
      <c r="E49" s="2">
        <v>10917</v>
      </c>
      <c r="F49" t="s">
        <v>341</v>
      </c>
      <c r="G49">
        <v>3</v>
      </c>
      <c r="H49">
        <v>3</v>
      </c>
      <c r="I49">
        <v>0</v>
      </c>
      <c r="J49">
        <v>0</v>
      </c>
      <c r="K49">
        <v>0</v>
      </c>
      <c r="L49" s="6">
        <f t="shared" si="0"/>
        <v>1</v>
      </c>
      <c r="M49">
        <v>15</v>
      </c>
      <c r="N49">
        <v>1</v>
      </c>
      <c r="O49">
        <v>0</v>
      </c>
      <c r="P49">
        <v>0</v>
      </c>
      <c r="Q49">
        <v>14</v>
      </c>
      <c r="R49">
        <v>0</v>
      </c>
      <c r="S49" s="9">
        <v>0</v>
      </c>
      <c r="T49" s="9">
        <v>0</v>
      </c>
      <c r="U49" s="3">
        <f t="shared" si="3"/>
        <v>1</v>
      </c>
      <c r="V49" s="3">
        <f t="shared" si="4"/>
        <v>1</v>
      </c>
    </row>
    <row r="50" spans="1:22" x14ac:dyDescent="0.25">
      <c r="A50" s="2">
        <v>2017</v>
      </c>
      <c r="B50" t="s">
        <v>19</v>
      </c>
      <c r="C50" t="s">
        <v>20</v>
      </c>
      <c r="D50" s="2">
        <v>576</v>
      </c>
      <c r="E50" s="2">
        <v>122114</v>
      </c>
      <c r="F50" t="s">
        <v>342</v>
      </c>
      <c r="G50">
        <v>1</v>
      </c>
      <c r="H50">
        <v>1</v>
      </c>
      <c r="I50">
        <v>0</v>
      </c>
      <c r="J50">
        <v>0</v>
      </c>
      <c r="K50">
        <v>0</v>
      </c>
      <c r="L50" s="6">
        <f t="shared" si="0"/>
        <v>1</v>
      </c>
      <c r="M50">
        <v>87</v>
      </c>
      <c r="N50">
        <v>16</v>
      </c>
      <c r="O50">
        <v>6</v>
      </c>
      <c r="P50">
        <v>1</v>
      </c>
      <c r="Q50">
        <v>63</v>
      </c>
      <c r="R50">
        <v>1</v>
      </c>
      <c r="S50" s="9">
        <v>0</v>
      </c>
      <c r="T50" s="9">
        <v>0</v>
      </c>
      <c r="U50" s="3">
        <f t="shared" si="3"/>
        <v>0.97701149425287359</v>
      </c>
      <c r="V50" s="3">
        <f t="shared" si="4"/>
        <v>0.97727272727272729</v>
      </c>
    </row>
    <row r="51" spans="1:22" x14ac:dyDescent="0.25">
      <c r="A51" s="2">
        <v>2017</v>
      </c>
      <c r="B51" t="s">
        <v>19</v>
      </c>
      <c r="C51" t="s">
        <v>20</v>
      </c>
      <c r="D51" s="2">
        <v>525</v>
      </c>
      <c r="E51" s="2">
        <v>10340</v>
      </c>
      <c r="F51" t="s">
        <v>343</v>
      </c>
      <c r="G51">
        <v>28</v>
      </c>
      <c r="H51">
        <v>28</v>
      </c>
      <c r="I51">
        <v>0</v>
      </c>
      <c r="J51">
        <v>0</v>
      </c>
      <c r="K51">
        <v>0</v>
      </c>
      <c r="L51" s="6">
        <f t="shared" si="0"/>
        <v>1</v>
      </c>
      <c r="M51">
        <v>184</v>
      </c>
      <c r="N51">
        <v>31</v>
      </c>
      <c r="O51">
        <v>11</v>
      </c>
      <c r="P51">
        <v>6</v>
      </c>
      <c r="Q51">
        <v>136</v>
      </c>
      <c r="R51">
        <v>0</v>
      </c>
      <c r="S51" s="9">
        <v>0</v>
      </c>
      <c r="T51" s="9">
        <v>0</v>
      </c>
      <c r="U51" s="3">
        <f t="shared" si="3"/>
        <v>0.96739130434782605</v>
      </c>
      <c r="V51" s="3">
        <f t="shared" si="4"/>
        <v>0.97169811320754718</v>
      </c>
    </row>
    <row r="52" spans="1:22" x14ac:dyDescent="0.25">
      <c r="A52" s="2">
        <v>2017</v>
      </c>
      <c r="B52" t="s">
        <v>19</v>
      </c>
      <c r="C52" t="s">
        <v>20</v>
      </c>
      <c r="D52" s="2">
        <v>550</v>
      </c>
      <c r="E52" s="2">
        <v>119292</v>
      </c>
      <c r="F52" t="s">
        <v>344</v>
      </c>
      <c r="G52">
        <v>4</v>
      </c>
      <c r="H52">
        <v>4</v>
      </c>
      <c r="I52">
        <v>0</v>
      </c>
      <c r="J52">
        <v>0</v>
      </c>
      <c r="K52">
        <v>0</v>
      </c>
      <c r="L52" s="6">
        <f t="shared" si="0"/>
        <v>1</v>
      </c>
      <c r="M52">
        <v>91</v>
      </c>
      <c r="N52">
        <v>15</v>
      </c>
      <c r="O52">
        <v>2</v>
      </c>
      <c r="P52">
        <v>0</v>
      </c>
      <c r="Q52">
        <v>74</v>
      </c>
      <c r="R52">
        <v>0</v>
      </c>
      <c r="S52" s="9">
        <v>0</v>
      </c>
      <c r="T52" s="9">
        <v>0</v>
      </c>
      <c r="U52" s="3">
        <f t="shared" si="3"/>
        <v>1</v>
      </c>
      <c r="V52" s="3">
        <f t="shared" si="4"/>
        <v>1</v>
      </c>
    </row>
    <row r="53" spans="1:22" x14ac:dyDescent="0.25">
      <c r="A53" s="2">
        <v>2017</v>
      </c>
      <c r="B53" t="s">
        <v>19</v>
      </c>
      <c r="C53" t="s">
        <v>20</v>
      </c>
      <c r="D53" s="2">
        <v>546</v>
      </c>
      <c r="E53" s="2">
        <v>119467</v>
      </c>
      <c r="F53" t="s">
        <v>345</v>
      </c>
      <c r="G53">
        <v>9</v>
      </c>
      <c r="H53">
        <v>9</v>
      </c>
      <c r="I53">
        <v>0</v>
      </c>
      <c r="J53">
        <v>0</v>
      </c>
      <c r="K53">
        <v>0</v>
      </c>
      <c r="L53" s="6">
        <f t="shared" si="0"/>
        <v>1</v>
      </c>
      <c r="M53">
        <v>122</v>
      </c>
      <c r="N53">
        <v>32</v>
      </c>
      <c r="O53">
        <v>5</v>
      </c>
      <c r="P53">
        <v>0</v>
      </c>
      <c r="Q53">
        <v>85</v>
      </c>
      <c r="R53">
        <v>0</v>
      </c>
      <c r="S53" s="9">
        <v>0</v>
      </c>
      <c r="T53" s="9">
        <v>0</v>
      </c>
      <c r="U53" s="3">
        <f t="shared" si="3"/>
        <v>1</v>
      </c>
      <c r="V53" s="3">
        <f t="shared" si="4"/>
        <v>1</v>
      </c>
    </row>
    <row r="54" spans="1:22" x14ac:dyDescent="0.25">
      <c r="A54" s="2">
        <v>2017</v>
      </c>
      <c r="B54" t="s">
        <v>19</v>
      </c>
      <c r="C54" t="s">
        <v>20</v>
      </c>
      <c r="D54" s="2">
        <v>520</v>
      </c>
      <c r="E54" s="2">
        <v>8687</v>
      </c>
      <c r="F54" t="s">
        <v>346</v>
      </c>
      <c r="G54">
        <v>10</v>
      </c>
      <c r="H54">
        <v>10</v>
      </c>
      <c r="I54">
        <v>0</v>
      </c>
      <c r="J54">
        <v>0</v>
      </c>
      <c r="K54">
        <v>0</v>
      </c>
      <c r="L54" s="6">
        <f t="shared" si="0"/>
        <v>1</v>
      </c>
      <c r="M54">
        <v>280</v>
      </c>
      <c r="N54">
        <v>45</v>
      </c>
      <c r="O54">
        <v>13</v>
      </c>
      <c r="P54">
        <v>0</v>
      </c>
      <c r="Q54">
        <v>222</v>
      </c>
      <c r="R54">
        <v>0</v>
      </c>
      <c r="S54" s="9">
        <v>0</v>
      </c>
      <c r="T54" s="9">
        <v>0</v>
      </c>
      <c r="U54" s="3">
        <f t="shared" si="3"/>
        <v>1</v>
      </c>
      <c r="V54" s="3">
        <f t="shared" si="4"/>
        <v>1</v>
      </c>
    </row>
    <row r="55" spans="1:22" x14ac:dyDescent="0.25">
      <c r="A55" s="2">
        <v>2017</v>
      </c>
      <c r="B55" t="s">
        <v>19</v>
      </c>
      <c r="C55" t="s">
        <v>20</v>
      </c>
      <c r="D55" s="2">
        <v>563</v>
      </c>
      <c r="E55" s="2">
        <v>5246</v>
      </c>
      <c r="F55" t="s">
        <v>347</v>
      </c>
      <c r="G55">
        <v>1</v>
      </c>
      <c r="H55">
        <v>1</v>
      </c>
      <c r="I55">
        <v>0</v>
      </c>
      <c r="J55">
        <v>0</v>
      </c>
      <c r="K55">
        <v>0</v>
      </c>
      <c r="L55" s="6">
        <f t="shared" si="0"/>
        <v>1</v>
      </c>
      <c r="M55">
        <v>41</v>
      </c>
      <c r="N55">
        <v>5</v>
      </c>
      <c r="O55">
        <v>0</v>
      </c>
      <c r="P55">
        <v>0</v>
      </c>
      <c r="Q55">
        <v>34</v>
      </c>
      <c r="R55">
        <v>2</v>
      </c>
      <c r="S55" s="9">
        <v>0</v>
      </c>
      <c r="T55" s="9">
        <v>0</v>
      </c>
      <c r="U55" s="3">
        <f t="shared" si="3"/>
        <v>0.95121951219512191</v>
      </c>
      <c r="V55" s="3">
        <f t="shared" si="4"/>
        <v>0.95238095238095233</v>
      </c>
    </row>
    <row r="56" spans="1:22" x14ac:dyDescent="0.25">
      <c r="A56" s="2">
        <v>2017</v>
      </c>
      <c r="B56" t="s">
        <v>19</v>
      </c>
      <c r="C56" t="s">
        <v>21</v>
      </c>
      <c r="D56" s="2">
        <v>528</v>
      </c>
      <c r="E56" s="2">
        <v>10623</v>
      </c>
      <c r="F56" t="s">
        <v>42</v>
      </c>
      <c r="G56">
        <v>0</v>
      </c>
      <c r="H56">
        <v>0</v>
      </c>
      <c r="I56">
        <v>0</v>
      </c>
      <c r="J56">
        <v>0</v>
      </c>
      <c r="K56">
        <v>0</v>
      </c>
      <c r="L56" s="6">
        <f t="shared" si="0"/>
        <v>0</v>
      </c>
      <c r="M56">
        <v>233</v>
      </c>
      <c r="N56">
        <v>33</v>
      </c>
      <c r="O56">
        <v>0</v>
      </c>
      <c r="P56">
        <v>0</v>
      </c>
      <c r="Q56">
        <v>197</v>
      </c>
      <c r="R56">
        <v>3</v>
      </c>
      <c r="S56" s="9">
        <v>0</v>
      </c>
      <c r="T56" s="9">
        <v>0</v>
      </c>
      <c r="U56" s="3">
        <f t="shared" ref="U56:U72" si="5">(N56+O56+Q56)/M56</f>
        <v>0.98712446351931327</v>
      </c>
      <c r="V56" s="3">
        <f t="shared" ref="V56:V77" si="6">(H56+I56+J56+N56+O56+Q56)/(G56+M56)</f>
        <v>0.98712446351931327</v>
      </c>
    </row>
    <row r="57" spans="1:22" x14ac:dyDescent="0.25">
      <c r="A57" s="2">
        <v>2017</v>
      </c>
      <c r="B57" t="s">
        <v>19</v>
      </c>
      <c r="C57" t="s">
        <v>21</v>
      </c>
      <c r="D57" s="2">
        <v>578</v>
      </c>
      <c r="E57" s="2">
        <v>122349</v>
      </c>
      <c r="F57" t="s">
        <v>43</v>
      </c>
      <c r="G57">
        <v>1</v>
      </c>
      <c r="H57">
        <v>1</v>
      </c>
      <c r="I57">
        <v>0</v>
      </c>
      <c r="J57">
        <v>0</v>
      </c>
      <c r="K57">
        <v>0</v>
      </c>
      <c r="L57" s="6">
        <f t="shared" si="0"/>
        <v>1</v>
      </c>
      <c r="M57">
        <v>33</v>
      </c>
      <c r="N57">
        <v>4</v>
      </c>
      <c r="O57">
        <v>0</v>
      </c>
      <c r="P57">
        <v>0</v>
      </c>
      <c r="Q57">
        <v>29</v>
      </c>
      <c r="R57">
        <v>0</v>
      </c>
      <c r="S57" s="9">
        <v>0</v>
      </c>
      <c r="T57" s="9">
        <v>0</v>
      </c>
      <c r="U57" s="3">
        <f t="shared" si="5"/>
        <v>1</v>
      </c>
      <c r="V57" s="3">
        <f t="shared" si="6"/>
        <v>1</v>
      </c>
    </row>
    <row r="58" spans="1:22" x14ac:dyDescent="0.25">
      <c r="A58" s="2">
        <v>2017</v>
      </c>
      <c r="B58" t="s">
        <v>19</v>
      </c>
      <c r="C58" t="s">
        <v>21</v>
      </c>
      <c r="D58" s="2">
        <v>574</v>
      </c>
      <c r="E58" s="2">
        <v>121277</v>
      </c>
      <c r="F58" t="s">
        <v>330</v>
      </c>
      <c r="G58">
        <v>5</v>
      </c>
      <c r="H58">
        <v>5</v>
      </c>
      <c r="I58">
        <v>0</v>
      </c>
      <c r="J58">
        <v>0</v>
      </c>
      <c r="K58">
        <v>0</v>
      </c>
      <c r="L58" s="6">
        <f t="shared" si="0"/>
        <v>1</v>
      </c>
      <c r="M58">
        <v>68</v>
      </c>
      <c r="N58">
        <v>13</v>
      </c>
      <c r="O58">
        <v>7</v>
      </c>
      <c r="P58">
        <v>0</v>
      </c>
      <c r="Q58">
        <v>46</v>
      </c>
      <c r="R58">
        <v>2</v>
      </c>
      <c r="S58" s="9">
        <v>0</v>
      </c>
      <c r="T58" s="9">
        <v>0</v>
      </c>
      <c r="U58" s="3">
        <f t="shared" si="5"/>
        <v>0.97058823529411764</v>
      </c>
      <c r="V58" s="3">
        <f t="shared" si="6"/>
        <v>0.9726027397260274</v>
      </c>
    </row>
    <row r="59" spans="1:22" x14ac:dyDescent="0.25">
      <c r="A59" s="2">
        <v>2017</v>
      </c>
      <c r="B59" t="s">
        <v>19</v>
      </c>
      <c r="C59" t="s">
        <v>21</v>
      </c>
      <c r="D59" s="2">
        <v>585</v>
      </c>
      <c r="E59" s="2">
        <v>122955</v>
      </c>
      <c r="F59" t="s">
        <v>332</v>
      </c>
      <c r="G59">
        <v>1</v>
      </c>
      <c r="H59">
        <v>1</v>
      </c>
      <c r="I59">
        <v>0</v>
      </c>
      <c r="J59">
        <v>0</v>
      </c>
      <c r="K59">
        <v>0</v>
      </c>
      <c r="L59" s="6">
        <f t="shared" si="0"/>
        <v>1</v>
      </c>
      <c r="M59">
        <v>6</v>
      </c>
      <c r="N59">
        <v>0</v>
      </c>
      <c r="O59">
        <v>0</v>
      </c>
      <c r="P59">
        <v>0</v>
      </c>
      <c r="Q59">
        <v>6</v>
      </c>
      <c r="R59">
        <v>0</v>
      </c>
      <c r="S59" s="9">
        <v>0</v>
      </c>
      <c r="T59" s="9">
        <v>0</v>
      </c>
      <c r="U59" s="3">
        <f t="shared" si="5"/>
        <v>1</v>
      </c>
      <c r="V59" s="3">
        <f t="shared" si="6"/>
        <v>1</v>
      </c>
    </row>
    <row r="60" spans="1:22" x14ac:dyDescent="0.25">
      <c r="A60" s="2">
        <v>2017</v>
      </c>
      <c r="B60" t="s">
        <v>19</v>
      </c>
      <c r="C60" t="s">
        <v>21</v>
      </c>
      <c r="D60" s="2">
        <v>403</v>
      </c>
      <c r="E60" s="2">
        <v>6783</v>
      </c>
      <c r="F60" t="s">
        <v>348</v>
      </c>
      <c r="G60">
        <v>7</v>
      </c>
      <c r="H60">
        <v>7</v>
      </c>
      <c r="I60">
        <v>0</v>
      </c>
      <c r="J60">
        <v>0</v>
      </c>
      <c r="K60">
        <v>0</v>
      </c>
      <c r="L60" s="6">
        <f t="shared" si="0"/>
        <v>1</v>
      </c>
      <c r="M60">
        <v>323</v>
      </c>
      <c r="N60">
        <v>43</v>
      </c>
      <c r="O60">
        <v>3</v>
      </c>
      <c r="P60">
        <v>0</v>
      </c>
      <c r="Q60">
        <v>276</v>
      </c>
      <c r="R60">
        <v>1</v>
      </c>
      <c r="S60" s="9">
        <v>0</v>
      </c>
      <c r="T60" s="9">
        <v>0</v>
      </c>
      <c r="U60" s="3">
        <f t="shared" si="5"/>
        <v>0.99690402476780182</v>
      </c>
      <c r="V60" s="3">
        <f t="shared" si="6"/>
        <v>0.99696969696969695</v>
      </c>
    </row>
    <row r="61" spans="1:22" x14ac:dyDescent="0.25">
      <c r="A61" s="2">
        <v>2017</v>
      </c>
      <c r="B61" t="s">
        <v>19</v>
      </c>
      <c r="C61" t="s">
        <v>21</v>
      </c>
      <c r="D61" s="2">
        <v>530</v>
      </c>
      <c r="E61" s="2">
        <v>10559</v>
      </c>
      <c r="F61" t="s">
        <v>32</v>
      </c>
      <c r="G61">
        <v>2</v>
      </c>
      <c r="H61">
        <v>2</v>
      </c>
      <c r="I61">
        <v>0</v>
      </c>
      <c r="J61">
        <v>0</v>
      </c>
      <c r="K61">
        <v>0</v>
      </c>
      <c r="L61" s="6">
        <f t="shared" si="0"/>
        <v>1</v>
      </c>
      <c r="M61">
        <v>11</v>
      </c>
      <c r="N61">
        <v>4</v>
      </c>
      <c r="O61">
        <v>0</v>
      </c>
      <c r="P61">
        <v>0</v>
      </c>
      <c r="Q61">
        <v>7</v>
      </c>
      <c r="R61">
        <v>0</v>
      </c>
      <c r="S61" s="9">
        <v>0</v>
      </c>
      <c r="T61" s="9">
        <v>0</v>
      </c>
      <c r="U61" s="3">
        <f t="shared" si="5"/>
        <v>1</v>
      </c>
      <c r="V61" s="3">
        <f t="shared" si="6"/>
        <v>1</v>
      </c>
    </row>
    <row r="62" spans="1:22" x14ac:dyDescent="0.25">
      <c r="A62" s="2">
        <v>2017</v>
      </c>
      <c r="B62" t="s">
        <v>19</v>
      </c>
      <c r="C62" t="s">
        <v>21</v>
      </c>
      <c r="D62" s="2">
        <v>527</v>
      </c>
      <c r="E62" s="2">
        <v>9715</v>
      </c>
      <c r="F62" t="s">
        <v>337</v>
      </c>
      <c r="G62">
        <v>1</v>
      </c>
      <c r="H62">
        <v>1</v>
      </c>
      <c r="I62">
        <v>0</v>
      </c>
      <c r="J62">
        <v>0</v>
      </c>
      <c r="K62">
        <v>0</v>
      </c>
      <c r="L62" s="6">
        <f t="shared" si="0"/>
        <v>1</v>
      </c>
      <c r="M62">
        <v>13</v>
      </c>
      <c r="N62">
        <v>1</v>
      </c>
      <c r="O62">
        <v>0</v>
      </c>
      <c r="P62">
        <v>0</v>
      </c>
      <c r="Q62">
        <v>12</v>
      </c>
      <c r="R62">
        <v>0</v>
      </c>
      <c r="S62" s="9">
        <v>0</v>
      </c>
      <c r="T62" s="9">
        <v>0</v>
      </c>
      <c r="U62" s="3">
        <f t="shared" si="5"/>
        <v>1</v>
      </c>
      <c r="V62" s="3">
        <f t="shared" si="6"/>
        <v>1</v>
      </c>
    </row>
    <row r="63" spans="1:22" x14ac:dyDescent="0.25">
      <c r="A63" s="2">
        <v>2017</v>
      </c>
      <c r="B63" t="s">
        <v>19</v>
      </c>
      <c r="C63" t="s">
        <v>21</v>
      </c>
      <c r="D63" s="2">
        <v>548</v>
      </c>
      <c r="E63" s="2">
        <v>10618</v>
      </c>
      <c r="F63" t="s">
        <v>338</v>
      </c>
      <c r="G63">
        <v>12</v>
      </c>
      <c r="H63">
        <v>12</v>
      </c>
      <c r="I63">
        <v>0</v>
      </c>
      <c r="J63">
        <v>0</v>
      </c>
      <c r="K63">
        <v>0</v>
      </c>
      <c r="L63" s="6">
        <f t="shared" si="0"/>
        <v>1</v>
      </c>
      <c r="M63">
        <v>84</v>
      </c>
      <c r="N63">
        <v>22</v>
      </c>
      <c r="O63">
        <v>2</v>
      </c>
      <c r="P63">
        <v>0</v>
      </c>
      <c r="Q63">
        <v>60</v>
      </c>
      <c r="R63">
        <v>0</v>
      </c>
      <c r="S63" s="9">
        <v>0</v>
      </c>
      <c r="T63" s="9">
        <v>0</v>
      </c>
      <c r="U63" s="3">
        <f t="shared" si="5"/>
        <v>1</v>
      </c>
      <c r="V63" s="3">
        <f t="shared" si="6"/>
        <v>1</v>
      </c>
    </row>
    <row r="64" spans="1:22" x14ac:dyDescent="0.25">
      <c r="A64" s="2">
        <v>2017</v>
      </c>
      <c r="B64" t="s">
        <v>19</v>
      </c>
      <c r="C64" s="5" t="s">
        <v>21</v>
      </c>
      <c r="D64" s="8">
        <v>587</v>
      </c>
      <c r="E64" s="8">
        <v>5597</v>
      </c>
      <c r="F64" s="5" t="s">
        <v>33</v>
      </c>
      <c r="G64">
        <v>0</v>
      </c>
      <c r="H64">
        <v>0</v>
      </c>
      <c r="I64">
        <v>0</v>
      </c>
      <c r="J64">
        <v>0</v>
      </c>
      <c r="K64">
        <v>0</v>
      </c>
      <c r="L64" s="6">
        <f t="shared" si="0"/>
        <v>0</v>
      </c>
      <c r="M64">
        <v>41</v>
      </c>
      <c r="N64">
        <v>10</v>
      </c>
      <c r="O64">
        <v>0</v>
      </c>
      <c r="P64">
        <v>0</v>
      </c>
      <c r="Q64">
        <v>31</v>
      </c>
      <c r="R64">
        <v>0</v>
      </c>
      <c r="S64" s="9">
        <v>0</v>
      </c>
      <c r="T64" s="9">
        <v>0</v>
      </c>
      <c r="U64" s="3">
        <f t="shared" ref="U64" si="7">(N64+O64+Q64)/M64</f>
        <v>1</v>
      </c>
      <c r="V64" s="3">
        <f t="shared" ref="V64" si="8">(H64+I64+J64+N64+O64+Q64)/(G64+M64)</f>
        <v>1</v>
      </c>
    </row>
    <row r="65" spans="1:22" x14ac:dyDescent="0.25">
      <c r="A65" s="2">
        <v>2017</v>
      </c>
      <c r="B65" t="s">
        <v>19</v>
      </c>
      <c r="C65" s="5" t="s">
        <v>21</v>
      </c>
      <c r="D65" s="8">
        <v>404</v>
      </c>
      <c r="E65" s="8">
        <v>6777</v>
      </c>
      <c r="F65" s="5" t="s">
        <v>34</v>
      </c>
      <c r="G65">
        <v>1</v>
      </c>
      <c r="H65">
        <v>1</v>
      </c>
      <c r="I65">
        <v>0</v>
      </c>
      <c r="J65">
        <v>0</v>
      </c>
      <c r="K65">
        <v>0</v>
      </c>
      <c r="L65" s="6">
        <f t="shared" si="0"/>
        <v>1</v>
      </c>
      <c r="M65">
        <v>46</v>
      </c>
      <c r="N65">
        <v>3</v>
      </c>
      <c r="O65">
        <v>19</v>
      </c>
      <c r="P65">
        <v>0</v>
      </c>
      <c r="Q65">
        <v>24</v>
      </c>
      <c r="R65">
        <v>0</v>
      </c>
      <c r="S65" s="9">
        <v>0</v>
      </c>
      <c r="T65" s="9">
        <v>0</v>
      </c>
      <c r="U65" s="3">
        <f t="shared" si="5"/>
        <v>1</v>
      </c>
      <c r="V65" s="3">
        <f t="shared" si="6"/>
        <v>1</v>
      </c>
    </row>
    <row r="66" spans="1:22" x14ac:dyDescent="0.25">
      <c r="A66" s="2">
        <v>2017</v>
      </c>
      <c r="B66" t="s">
        <v>19</v>
      </c>
      <c r="C66" s="5" t="s">
        <v>21</v>
      </c>
      <c r="D66" s="8">
        <v>566</v>
      </c>
      <c r="E66" s="8">
        <v>120961</v>
      </c>
      <c r="F66" s="5" t="s">
        <v>339</v>
      </c>
      <c r="G66">
        <v>1</v>
      </c>
      <c r="H66">
        <v>1</v>
      </c>
      <c r="I66">
        <v>0</v>
      </c>
      <c r="J66">
        <v>0</v>
      </c>
      <c r="K66">
        <v>0</v>
      </c>
      <c r="L66" s="6">
        <f t="shared" ref="L66:L129" si="9">IF(G66=0,0,SUM(H66:J66)/G66)</f>
        <v>1</v>
      </c>
      <c r="M66">
        <v>27</v>
      </c>
      <c r="N66">
        <v>7</v>
      </c>
      <c r="O66">
        <v>2</v>
      </c>
      <c r="P66">
        <v>0</v>
      </c>
      <c r="Q66">
        <v>17</v>
      </c>
      <c r="R66">
        <v>1</v>
      </c>
      <c r="S66" s="9">
        <v>0</v>
      </c>
      <c r="T66" s="9">
        <v>0</v>
      </c>
      <c r="U66" s="3">
        <f t="shared" si="5"/>
        <v>0.96296296296296291</v>
      </c>
      <c r="V66" s="3">
        <f t="shared" si="6"/>
        <v>0.9642857142857143</v>
      </c>
    </row>
    <row r="67" spans="1:22" x14ac:dyDescent="0.25">
      <c r="A67" s="2">
        <v>2017</v>
      </c>
      <c r="B67" t="s">
        <v>19</v>
      </c>
      <c r="C67" s="5" t="s">
        <v>21</v>
      </c>
      <c r="D67" s="8">
        <v>455</v>
      </c>
      <c r="E67" s="8">
        <v>7401</v>
      </c>
      <c r="F67" s="5" t="s">
        <v>36</v>
      </c>
      <c r="G67">
        <v>0</v>
      </c>
      <c r="H67">
        <v>0</v>
      </c>
      <c r="I67">
        <v>0</v>
      </c>
      <c r="J67">
        <v>0</v>
      </c>
      <c r="K67">
        <v>0</v>
      </c>
      <c r="L67" s="6">
        <f t="shared" si="9"/>
        <v>0</v>
      </c>
      <c r="M67">
        <v>7</v>
      </c>
      <c r="N67">
        <v>1</v>
      </c>
      <c r="O67">
        <v>1</v>
      </c>
      <c r="P67">
        <v>0</v>
      </c>
      <c r="Q67">
        <v>5</v>
      </c>
      <c r="R67">
        <v>0</v>
      </c>
      <c r="S67" s="9">
        <v>0</v>
      </c>
      <c r="T67" s="9">
        <v>0</v>
      </c>
      <c r="U67" s="3">
        <f t="shared" si="5"/>
        <v>1</v>
      </c>
      <c r="V67" s="3">
        <f t="shared" si="6"/>
        <v>1</v>
      </c>
    </row>
    <row r="68" spans="1:22" x14ac:dyDescent="0.25">
      <c r="A68" s="2">
        <v>2017</v>
      </c>
      <c r="B68" t="s">
        <v>19</v>
      </c>
      <c r="C68" s="5" t="s">
        <v>21</v>
      </c>
      <c r="D68" s="8">
        <v>842</v>
      </c>
      <c r="E68" s="8">
        <v>5618</v>
      </c>
      <c r="F68" s="5" t="s">
        <v>37</v>
      </c>
      <c r="G68">
        <v>0</v>
      </c>
      <c r="H68">
        <v>0</v>
      </c>
      <c r="I68">
        <v>0</v>
      </c>
      <c r="J68">
        <v>0</v>
      </c>
      <c r="K68">
        <v>0</v>
      </c>
      <c r="L68" s="6">
        <f t="shared" si="9"/>
        <v>0</v>
      </c>
      <c r="M68">
        <v>54</v>
      </c>
      <c r="N68">
        <v>18</v>
      </c>
      <c r="O68">
        <v>6</v>
      </c>
      <c r="P68">
        <v>0</v>
      </c>
      <c r="Q68">
        <v>30</v>
      </c>
      <c r="R68">
        <v>0</v>
      </c>
      <c r="S68" s="9">
        <v>0</v>
      </c>
      <c r="T68" s="9">
        <v>0</v>
      </c>
      <c r="U68" s="3">
        <f t="shared" si="5"/>
        <v>1</v>
      </c>
      <c r="V68" s="3">
        <f t="shared" si="6"/>
        <v>1</v>
      </c>
    </row>
    <row r="69" spans="1:22" x14ac:dyDescent="0.25">
      <c r="A69" s="2">
        <v>2017</v>
      </c>
      <c r="B69" t="s">
        <v>19</v>
      </c>
      <c r="C69" s="5" t="s">
        <v>21</v>
      </c>
      <c r="D69" s="8">
        <v>554</v>
      </c>
      <c r="E69" s="8">
        <v>119543</v>
      </c>
      <c r="F69" s="5" t="s">
        <v>502</v>
      </c>
      <c r="G69">
        <v>1</v>
      </c>
      <c r="H69">
        <v>1</v>
      </c>
      <c r="I69">
        <v>0</v>
      </c>
      <c r="J69">
        <v>0</v>
      </c>
      <c r="K69">
        <v>0</v>
      </c>
      <c r="L69" s="6">
        <f t="shared" si="9"/>
        <v>1</v>
      </c>
      <c r="M69">
        <v>153</v>
      </c>
      <c r="N69">
        <v>16</v>
      </c>
      <c r="O69">
        <v>1</v>
      </c>
      <c r="P69">
        <v>0</v>
      </c>
      <c r="Q69">
        <v>136</v>
      </c>
      <c r="R69">
        <v>0</v>
      </c>
      <c r="S69" s="9">
        <v>0</v>
      </c>
      <c r="T69" s="9">
        <v>0</v>
      </c>
      <c r="U69" s="3">
        <f t="shared" si="5"/>
        <v>1</v>
      </c>
      <c r="V69" s="3">
        <f t="shared" si="6"/>
        <v>1</v>
      </c>
    </row>
    <row r="70" spans="1:22" x14ac:dyDescent="0.25">
      <c r="A70" s="2">
        <v>2017</v>
      </c>
      <c r="B70" t="s">
        <v>19</v>
      </c>
      <c r="C70" s="5" t="s">
        <v>21</v>
      </c>
      <c r="D70" s="8">
        <v>766</v>
      </c>
      <c r="E70" s="8">
        <v>6781</v>
      </c>
      <c r="F70" s="5" t="s">
        <v>349</v>
      </c>
      <c r="G70">
        <v>20</v>
      </c>
      <c r="H70">
        <v>20</v>
      </c>
      <c r="I70">
        <v>0</v>
      </c>
      <c r="J70">
        <v>0</v>
      </c>
      <c r="K70">
        <v>0</v>
      </c>
      <c r="L70" s="6">
        <f t="shared" si="9"/>
        <v>1</v>
      </c>
      <c r="M70">
        <v>212</v>
      </c>
      <c r="N70">
        <v>44</v>
      </c>
      <c r="O70">
        <v>6</v>
      </c>
      <c r="P70">
        <v>0</v>
      </c>
      <c r="Q70">
        <v>154</v>
      </c>
      <c r="R70">
        <v>8</v>
      </c>
      <c r="S70" s="9">
        <v>0</v>
      </c>
      <c r="T70" s="9">
        <v>0</v>
      </c>
      <c r="U70" s="3">
        <f t="shared" si="5"/>
        <v>0.96226415094339623</v>
      </c>
      <c r="V70" s="3">
        <f t="shared" si="6"/>
        <v>0.96551724137931039</v>
      </c>
    </row>
    <row r="71" spans="1:22" x14ac:dyDescent="0.25">
      <c r="A71" s="2">
        <v>2017</v>
      </c>
      <c r="B71" t="s">
        <v>19</v>
      </c>
      <c r="C71" s="5" t="s">
        <v>21</v>
      </c>
      <c r="D71" s="8">
        <v>777</v>
      </c>
      <c r="E71" s="8">
        <v>5357</v>
      </c>
      <c r="F71" s="5" t="s">
        <v>350</v>
      </c>
      <c r="G71">
        <v>36</v>
      </c>
      <c r="H71">
        <v>36</v>
      </c>
      <c r="I71">
        <v>0</v>
      </c>
      <c r="J71">
        <v>0</v>
      </c>
      <c r="K71">
        <v>0</v>
      </c>
      <c r="L71" s="6">
        <f t="shared" si="9"/>
        <v>1</v>
      </c>
      <c r="M71">
        <v>183</v>
      </c>
      <c r="N71">
        <v>45</v>
      </c>
      <c r="O71">
        <v>4</v>
      </c>
      <c r="P71">
        <v>0</v>
      </c>
      <c r="Q71">
        <v>134</v>
      </c>
      <c r="R71">
        <v>0</v>
      </c>
      <c r="S71" s="9">
        <v>0</v>
      </c>
      <c r="T71" s="9">
        <v>0</v>
      </c>
      <c r="U71" s="3">
        <f t="shared" si="5"/>
        <v>1</v>
      </c>
      <c r="V71" s="3">
        <f t="shared" si="6"/>
        <v>1</v>
      </c>
    </row>
    <row r="72" spans="1:22" x14ac:dyDescent="0.25">
      <c r="A72" s="2">
        <v>2017</v>
      </c>
      <c r="B72" t="s">
        <v>19</v>
      </c>
      <c r="C72" s="5" t="s">
        <v>21</v>
      </c>
      <c r="D72" s="8">
        <v>543</v>
      </c>
      <c r="E72" s="8">
        <v>10917</v>
      </c>
      <c r="F72" s="5" t="s">
        <v>341</v>
      </c>
      <c r="G72">
        <v>18</v>
      </c>
      <c r="H72">
        <v>18</v>
      </c>
      <c r="I72">
        <v>0</v>
      </c>
      <c r="J72">
        <v>0</v>
      </c>
      <c r="K72">
        <v>0</v>
      </c>
      <c r="L72" s="6">
        <f t="shared" si="9"/>
        <v>1</v>
      </c>
      <c r="M72">
        <v>170</v>
      </c>
      <c r="N72">
        <v>31</v>
      </c>
      <c r="O72">
        <v>14</v>
      </c>
      <c r="P72">
        <v>0</v>
      </c>
      <c r="Q72">
        <v>121</v>
      </c>
      <c r="R72">
        <v>4</v>
      </c>
      <c r="S72" s="9">
        <v>0</v>
      </c>
      <c r="T72" s="9">
        <v>0</v>
      </c>
      <c r="U72" s="3">
        <f t="shared" si="5"/>
        <v>0.97647058823529409</v>
      </c>
      <c r="V72" s="3">
        <f t="shared" si="6"/>
        <v>0.97872340425531912</v>
      </c>
    </row>
    <row r="73" spans="1:22" x14ac:dyDescent="0.25">
      <c r="A73" s="2">
        <v>2017</v>
      </c>
      <c r="B73" t="s">
        <v>19</v>
      </c>
      <c r="C73" s="5" t="s">
        <v>21</v>
      </c>
      <c r="D73" s="8">
        <v>576</v>
      </c>
      <c r="E73" s="8">
        <v>122114</v>
      </c>
      <c r="F73" s="5" t="s">
        <v>342</v>
      </c>
      <c r="G73">
        <v>7</v>
      </c>
      <c r="H73">
        <v>7</v>
      </c>
      <c r="I73">
        <v>0</v>
      </c>
      <c r="J73">
        <v>0</v>
      </c>
      <c r="K73">
        <v>0</v>
      </c>
      <c r="L73" s="6">
        <f t="shared" si="9"/>
        <v>1</v>
      </c>
      <c r="M73">
        <v>92</v>
      </c>
      <c r="N73">
        <v>14</v>
      </c>
      <c r="O73">
        <v>8</v>
      </c>
      <c r="P73">
        <v>0</v>
      </c>
      <c r="Q73">
        <v>70</v>
      </c>
      <c r="R73">
        <v>0</v>
      </c>
      <c r="S73" s="9">
        <v>0</v>
      </c>
      <c r="T73" s="9">
        <v>0</v>
      </c>
      <c r="U73" s="3">
        <f t="shared" ref="U73" si="10">IF(M73=0,0,((N73+O73+Q73)/M73))</f>
        <v>1</v>
      </c>
      <c r="V73" s="3">
        <f t="shared" ref="V73" si="11">(H73+I73+J73+N73+O73+Q73)/(G73+M73)</f>
        <v>1</v>
      </c>
    </row>
    <row r="74" spans="1:22" x14ac:dyDescent="0.25">
      <c r="A74" s="2">
        <v>2017</v>
      </c>
      <c r="B74" t="s">
        <v>19</v>
      </c>
      <c r="C74" s="5" t="s">
        <v>21</v>
      </c>
      <c r="D74" s="8">
        <v>536</v>
      </c>
      <c r="E74" s="8">
        <v>10757</v>
      </c>
      <c r="F74" s="5" t="s">
        <v>351</v>
      </c>
      <c r="G74">
        <v>1</v>
      </c>
      <c r="H74">
        <v>1</v>
      </c>
      <c r="I74">
        <v>0</v>
      </c>
      <c r="J74">
        <v>0</v>
      </c>
      <c r="K74">
        <v>0</v>
      </c>
      <c r="L74" s="6">
        <f t="shared" si="9"/>
        <v>1</v>
      </c>
      <c r="M74">
        <v>304</v>
      </c>
      <c r="N74">
        <v>40</v>
      </c>
      <c r="O74">
        <v>15</v>
      </c>
      <c r="P74">
        <v>0</v>
      </c>
      <c r="Q74">
        <v>238</v>
      </c>
      <c r="R74">
        <v>11</v>
      </c>
      <c r="S74" s="9">
        <v>0</v>
      </c>
      <c r="T74" s="9">
        <v>0</v>
      </c>
      <c r="U74" s="3">
        <f t="shared" ref="U74" si="12">IF(M74=0,0,((N74+O74+Q74)/M74))</f>
        <v>0.96381578947368418</v>
      </c>
      <c r="V74" s="3">
        <f t="shared" ref="V74" si="13">(H74+I74+J74+N74+O74+Q74)/(G74+M74)</f>
        <v>0.9639344262295082</v>
      </c>
    </row>
    <row r="75" spans="1:22" x14ac:dyDescent="0.25">
      <c r="A75" s="2">
        <v>2017</v>
      </c>
      <c r="B75" t="s">
        <v>19</v>
      </c>
      <c r="C75" s="5" t="s">
        <v>21</v>
      </c>
      <c r="D75" s="8">
        <v>588</v>
      </c>
      <c r="E75" s="8">
        <v>122737</v>
      </c>
      <c r="F75" s="5" t="s">
        <v>352</v>
      </c>
      <c r="G75">
        <v>0</v>
      </c>
      <c r="H75">
        <v>0</v>
      </c>
      <c r="I75">
        <v>0</v>
      </c>
      <c r="J75">
        <v>0</v>
      </c>
      <c r="K75">
        <v>0</v>
      </c>
      <c r="L75" s="6">
        <f t="shared" si="9"/>
        <v>0</v>
      </c>
      <c r="M75">
        <v>30</v>
      </c>
      <c r="N75">
        <v>2</v>
      </c>
      <c r="O75">
        <v>2</v>
      </c>
      <c r="P75">
        <v>0</v>
      </c>
      <c r="Q75">
        <v>26</v>
      </c>
      <c r="R75">
        <v>0</v>
      </c>
      <c r="S75" s="9">
        <v>0</v>
      </c>
      <c r="T75" s="9">
        <v>0</v>
      </c>
      <c r="U75" s="3">
        <f t="shared" ref="U75:U77" si="14">IF(M75=0,0,((N75+O75+Q75)/M75))</f>
        <v>1</v>
      </c>
      <c r="V75" s="3">
        <f t="shared" si="6"/>
        <v>1</v>
      </c>
    </row>
    <row r="76" spans="1:22" x14ac:dyDescent="0.25">
      <c r="A76" s="2">
        <v>2017</v>
      </c>
      <c r="B76" t="s">
        <v>19</v>
      </c>
      <c r="C76" s="5" t="s">
        <v>21</v>
      </c>
      <c r="D76" s="8">
        <v>550</v>
      </c>
      <c r="E76" s="8">
        <v>119292</v>
      </c>
      <c r="F76" s="5" t="s">
        <v>344</v>
      </c>
      <c r="G76">
        <v>16</v>
      </c>
      <c r="H76">
        <v>16</v>
      </c>
      <c r="I76">
        <v>0</v>
      </c>
      <c r="J76">
        <v>0</v>
      </c>
      <c r="K76">
        <v>0</v>
      </c>
      <c r="L76" s="6">
        <f t="shared" si="9"/>
        <v>1</v>
      </c>
      <c r="M76">
        <v>177</v>
      </c>
      <c r="N76">
        <v>28</v>
      </c>
      <c r="O76">
        <v>2</v>
      </c>
      <c r="P76">
        <v>0</v>
      </c>
      <c r="Q76">
        <v>147</v>
      </c>
      <c r="R76">
        <v>0</v>
      </c>
      <c r="S76" s="9">
        <v>0</v>
      </c>
      <c r="T76" s="9">
        <v>0</v>
      </c>
      <c r="U76" s="3">
        <f t="shared" ref="U76" si="15">IF(M76=0,0,((N76+O76+Q76)/M76))</f>
        <v>1</v>
      </c>
      <c r="V76" s="3">
        <f t="shared" ref="V76" si="16">(H76+I76+J76+N76+O76+Q76)/(G76+M76)</f>
        <v>1</v>
      </c>
    </row>
    <row r="77" spans="1:22" x14ac:dyDescent="0.25">
      <c r="A77" s="2">
        <v>2017</v>
      </c>
      <c r="B77" t="s">
        <v>19</v>
      </c>
      <c r="C77" t="s">
        <v>21</v>
      </c>
      <c r="D77" s="2">
        <v>563</v>
      </c>
      <c r="E77" s="2">
        <v>5246</v>
      </c>
      <c r="F77" t="s">
        <v>347</v>
      </c>
      <c r="G77">
        <v>0</v>
      </c>
      <c r="H77">
        <v>0</v>
      </c>
      <c r="I77">
        <v>0</v>
      </c>
      <c r="J77">
        <v>0</v>
      </c>
      <c r="K77">
        <v>0</v>
      </c>
      <c r="L77" s="6">
        <f t="shared" si="9"/>
        <v>0</v>
      </c>
      <c r="M77">
        <v>5</v>
      </c>
      <c r="N77">
        <v>1</v>
      </c>
      <c r="O77">
        <v>0</v>
      </c>
      <c r="P77">
        <v>0</v>
      </c>
      <c r="Q77">
        <v>4</v>
      </c>
      <c r="R77">
        <v>0</v>
      </c>
      <c r="S77" s="9">
        <v>0</v>
      </c>
      <c r="T77" s="9">
        <v>0</v>
      </c>
      <c r="U77" s="3">
        <f t="shared" si="14"/>
        <v>1</v>
      </c>
      <c r="V77" s="3">
        <f t="shared" si="6"/>
        <v>1</v>
      </c>
    </row>
    <row r="78" spans="1:22" x14ac:dyDescent="0.25">
      <c r="A78" s="2">
        <v>2017</v>
      </c>
      <c r="B78" t="s">
        <v>19</v>
      </c>
      <c r="C78" t="s">
        <v>22</v>
      </c>
      <c r="D78" s="2">
        <v>137</v>
      </c>
      <c r="E78" s="2">
        <v>5010</v>
      </c>
      <c r="F78" t="s">
        <v>27</v>
      </c>
      <c r="G78">
        <v>17</v>
      </c>
      <c r="H78">
        <v>17</v>
      </c>
      <c r="I78">
        <v>0</v>
      </c>
      <c r="J78">
        <v>0</v>
      </c>
      <c r="K78">
        <v>0</v>
      </c>
      <c r="L78" s="6">
        <f t="shared" si="9"/>
        <v>1</v>
      </c>
      <c r="M78">
        <v>105</v>
      </c>
      <c r="N78">
        <v>41</v>
      </c>
      <c r="O78">
        <v>4</v>
      </c>
      <c r="P78">
        <v>0</v>
      </c>
      <c r="Q78">
        <v>55</v>
      </c>
      <c r="R78">
        <v>5</v>
      </c>
      <c r="S78" s="9">
        <v>0</v>
      </c>
      <c r="T78" s="9">
        <v>0</v>
      </c>
      <c r="U78" s="3">
        <f t="shared" ref="U78:U101" si="17">IF(M78=0,0,((N78+O78+Q78)/M78))</f>
        <v>0.95238095238095233</v>
      </c>
      <c r="V78" s="3">
        <f t="shared" ref="V78:V101" si="18">(H78+I78+J78+N78+O78+Q78)/(G78+M78)</f>
        <v>0.95901639344262291</v>
      </c>
    </row>
    <row r="79" spans="1:22" x14ac:dyDescent="0.25">
      <c r="A79" s="2">
        <v>2017</v>
      </c>
      <c r="B79" t="s">
        <v>19</v>
      </c>
      <c r="C79" t="s">
        <v>22</v>
      </c>
      <c r="D79" s="2">
        <v>29</v>
      </c>
      <c r="E79" s="2">
        <v>4489</v>
      </c>
      <c r="F79" t="s">
        <v>353</v>
      </c>
      <c r="G79">
        <v>16</v>
      </c>
      <c r="H79">
        <v>16</v>
      </c>
      <c r="I79">
        <v>0</v>
      </c>
      <c r="J79">
        <v>0</v>
      </c>
      <c r="K79">
        <v>0</v>
      </c>
      <c r="L79" s="6">
        <f t="shared" si="9"/>
        <v>1</v>
      </c>
      <c r="M79">
        <v>279</v>
      </c>
      <c r="N79">
        <v>102</v>
      </c>
      <c r="O79">
        <v>29</v>
      </c>
      <c r="P79">
        <v>0</v>
      </c>
      <c r="Q79">
        <v>147</v>
      </c>
      <c r="R79">
        <v>1</v>
      </c>
      <c r="S79" s="9">
        <v>0</v>
      </c>
      <c r="T79" s="9">
        <v>0</v>
      </c>
      <c r="U79" s="3">
        <f t="shared" si="17"/>
        <v>0.99641577060931896</v>
      </c>
      <c r="V79" s="3">
        <f t="shared" si="18"/>
        <v>0.99661016949152548</v>
      </c>
    </row>
    <row r="80" spans="1:22" x14ac:dyDescent="0.25">
      <c r="A80" s="2">
        <v>2017</v>
      </c>
      <c r="B80" t="s">
        <v>19</v>
      </c>
      <c r="C80" t="s">
        <v>22</v>
      </c>
      <c r="D80" s="2">
        <v>38</v>
      </c>
      <c r="E80" s="2">
        <v>7115</v>
      </c>
      <c r="F80" t="s">
        <v>354</v>
      </c>
      <c r="G80">
        <v>17</v>
      </c>
      <c r="H80">
        <v>17</v>
      </c>
      <c r="I80">
        <v>0</v>
      </c>
      <c r="J80">
        <v>0</v>
      </c>
      <c r="K80">
        <v>0</v>
      </c>
      <c r="L80" s="6">
        <f t="shared" si="9"/>
        <v>1</v>
      </c>
      <c r="M80">
        <v>93</v>
      </c>
      <c r="N80">
        <v>28</v>
      </c>
      <c r="O80">
        <v>20</v>
      </c>
      <c r="P80">
        <v>0</v>
      </c>
      <c r="Q80">
        <v>39</v>
      </c>
      <c r="R80">
        <v>6</v>
      </c>
      <c r="S80" s="9">
        <v>0</v>
      </c>
      <c r="T80" s="9">
        <v>0</v>
      </c>
      <c r="U80" s="3">
        <f t="shared" si="17"/>
        <v>0.93548387096774188</v>
      </c>
      <c r="V80" s="3">
        <f t="shared" si="18"/>
        <v>0.94545454545454544</v>
      </c>
    </row>
    <row r="81" spans="1:22" x14ac:dyDescent="0.25">
      <c r="A81" s="2">
        <v>2017</v>
      </c>
      <c r="B81" t="s">
        <v>19</v>
      </c>
      <c r="C81" t="s">
        <v>22</v>
      </c>
      <c r="D81" s="2">
        <v>58</v>
      </c>
      <c r="E81" s="2">
        <v>7621</v>
      </c>
      <c r="F81" t="s">
        <v>355</v>
      </c>
      <c r="G81">
        <v>34</v>
      </c>
      <c r="H81">
        <v>34</v>
      </c>
      <c r="I81">
        <v>0</v>
      </c>
      <c r="J81">
        <v>0</v>
      </c>
      <c r="K81">
        <v>0</v>
      </c>
      <c r="L81" s="6">
        <f t="shared" si="9"/>
        <v>1</v>
      </c>
      <c r="M81">
        <v>431</v>
      </c>
      <c r="N81">
        <v>135</v>
      </c>
      <c r="O81">
        <v>32</v>
      </c>
      <c r="P81">
        <v>1</v>
      </c>
      <c r="Q81">
        <v>263</v>
      </c>
      <c r="R81">
        <v>0</v>
      </c>
      <c r="S81" s="9">
        <v>0</v>
      </c>
      <c r="T81" s="9">
        <v>0</v>
      </c>
      <c r="U81" s="3">
        <f t="shared" si="17"/>
        <v>0.99767981438515085</v>
      </c>
      <c r="V81" s="3">
        <f t="shared" si="18"/>
        <v>0.99784946236559136</v>
      </c>
    </row>
    <row r="82" spans="1:22" x14ac:dyDescent="0.25">
      <c r="A82" s="2">
        <v>2017</v>
      </c>
      <c r="B82" t="s">
        <v>19</v>
      </c>
      <c r="C82" t="s">
        <v>22</v>
      </c>
      <c r="D82" s="2">
        <v>112</v>
      </c>
      <c r="E82" s="2">
        <v>10769</v>
      </c>
      <c r="F82" t="s">
        <v>356</v>
      </c>
      <c r="G82">
        <v>0</v>
      </c>
      <c r="H82">
        <v>0</v>
      </c>
      <c r="I82">
        <v>0</v>
      </c>
      <c r="J82">
        <v>0</v>
      </c>
      <c r="K82">
        <v>0</v>
      </c>
      <c r="L82" s="6">
        <f t="shared" si="9"/>
        <v>0</v>
      </c>
      <c r="M82">
        <v>32</v>
      </c>
      <c r="N82">
        <v>11</v>
      </c>
      <c r="O82">
        <v>8</v>
      </c>
      <c r="P82">
        <v>0</v>
      </c>
      <c r="Q82">
        <v>13</v>
      </c>
      <c r="R82">
        <v>0</v>
      </c>
      <c r="S82" s="9">
        <v>0</v>
      </c>
      <c r="T82" s="9">
        <v>0</v>
      </c>
      <c r="U82" s="3">
        <f t="shared" si="17"/>
        <v>1</v>
      </c>
      <c r="V82" s="3">
        <f t="shared" si="18"/>
        <v>1</v>
      </c>
    </row>
    <row r="83" spans="1:22" x14ac:dyDescent="0.25">
      <c r="A83" s="2">
        <v>2017</v>
      </c>
      <c r="B83" t="s">
        <v>19</v>
      </c>
      <c r="C83" t="s">
        <v>22</v>
      </c>
      <c r="D83" s="2">
        <v>60</v>
      </c>
      <c r="E83" s="2">
        <v>7787</v>
      </c>
      <c r="F83" t="s">
        <v>357</v>
      </c>
      <c r="G83">
        <v>0</v>
      </c>
      <c r="H83">
        <v>0</v>
      </c>
      <c r="I83">
        <v>0</v>
      </c>
      <c r="J83">
        <v>0</v>
      </c>
      <c r="K83">
        <v>0</v>
      </c>
      <c r="L83" s="6">
        <f t="shared" si="9"/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 s="9">
        <v>0</v>
      </c>
      <c r="T83" s="9">
        <v>0</v>
      </c>
      <c r="U83" s="3">
        <f t="shared" si="17"/>
        <v>1</v>
      </c>
      <c r="V83" s="3">
        <f t="shared" si="18"/>
        <v>1</v>
      </c>
    </row>
    <row r="84" spans="1:22" x14ac:dyDescent="0.25">
      <c r="A84" s="2">
        <v>2017</v>
      </c>
      <c r="B84" t="s">
        <v>19</v>
      </c>
      <c r="C84" t="s">
        <v>22</v>
      </c>
      <c r="D84" s="2">
        <v>23</v>
      </c>
      <c r="E84" s="2">
        <v>5832</v>
      </c>
      <c r="F84" t="s">
        <v>358</v>
      </c>
      <c r="G84">
        <v>7</v>
      </c>
      <c r="H84">
        <v>7</v>
      </c>
      <c r="I84">
        <v>0</v>
      </c>
      <c r="J84">
        <v>0</v>
      </c>
      <c r="K84">
        <v>0</v>
      </c>
      <c r="L84" s="6">
        <f t="shared" si="9"/>
        <v>1</v>
      </c>
      <c r="M84">
        <v>54</v>
      </c>
      <c r="N84">
        <v>15</v>
      </c>
      <c r="O84">
        <v>10</v>
      </c>
      <c r="P84">
        <v>0</v>
      </c>
      <c r="Q84">
        <v>28</v>
      </c>
      <c r="R84">
        <v>1</v>
      </c>
      <c r="S84" s="9">
        <v>0</v>
      </c>
      <c r="T84" s="9">
        <v>0</v>
      </c>
      <c r="U84" s="3">
        <f t="shared" si="17"/>
        <v>0.98148148148148151</v>
      </c>
      <c r="V84" s="3">
        <f t="shared" si="18"/>
        <v>0.98360655737704916</v>
      </c>
    </row>
    <row r="85" spans="1:22" x14ac:dyDescent="0.25">
      <c r="A85" s="2">
        <v>2017</v>
      </c>
      <c r="B85" t="s">
        <v>19</v>
      </c>
      <c r="C85" t="s">
        <v>22</v>
      </c>
      <c r="D85" s="2">
        <v>77</v>
      </c>
      <c r="E85" s="2">
        <v>9967</v>
      </c>
      <c r="F85" t="s">
        <v>359</v>
      </c>
      <c r="G85">
        <v>40</v>
      </c>
      <c r="H85">
        <v>40</v>
      </c>
      <c r="I85">
        <v>0</v>
      </c>
      <c r="J85">
        <v>0</v>
      </c>
      <c r="K85">
        <v>0</v>
      </c>
      <c r="L85" s="6">
        <f t="shared" si="9"/>
        <v>1</v>
      </c>
      <c r="M85">
        <v>274</v>
      </c>
      <c r="N85">
        <v>93</v>
      </c>
      <c r="O85">
        <v>16</v>
      </c>
      <c r="P85">
        <v>1</v>
      </c>
      <c r="Q85">
        <v>164</v>
      </c>
      <c r="R85">
        <v>0</v>
      </c>
      <c r="S85" s="9">
        <v>0</v>
      </c>
      <c r="T85" s="9">
        <v>0</v>
      </c>
      <c r="U85" s="3">
        <f t="shared" si="17"/>
        <v>0.9963503649635036</v>
      </c>
      <c r="V85" s="3">
        <f t="shared" si="18"/>
        <v>0.99681528662420382</v>
      </c>
    </row>
    <row r="86" spans="1:22" x14ac:dyDescent="0.25">
      <c r="A86" s="2">
        <v>2017</v>
      </c>
      <c r="B86" t="s">
        <v>19</v>
      </c>
      <c r="C86" t="s">
        <v>22</v>
      </c>
      <c r="D86" s="2">
        <v>28</v>
      </c>
      <c r="E86" s="2">
        <v>4356</v>
      </c>
      <c r="F86" t="s">
        <v>360</v>
      </c>
      <c r="G86">
        <v>48</v>
      </c>
      <c r="H86">
        <v>48</v>
      </c>
      <c r="I86">
        <v>0</v>
      </c>
      <c r="J86">
        <v>0</v>
      </c>
      <c r="K86">
        <v>0</v>
      </c>
      <c r="L86" s="6">
        <f t="shared" si="9"/>
        <v>1</v>
      </c>
      <c r="M86">
        <v>426</v>
      </c>
      <c r="N86">
        <v>120</v>
      </c>
      <c r="O86">
        <v>40</v>
      </c>
      <c r="P86">
        <v>0</v>
      </c>
      <c r="Q86">
        <v>266</v>
      </c>
      <c r="R86">
        <v>0</v>
      </c>
      <c r="S86" s="9">
        <v>0</v>
      </c>
      <c r="T86" s="9">
        <v>0</v>
      </c>
      <c r="U86" s="3">
        <f t="shared" si="17"/>
        <v>1</v>
      </c>
      <c r="V86" s="3">
        <f t="shared" si="18"/>
        <v>1</v>
      </c>
    </row>
    <row r="87" spans="1:22" x14ac:dyDescent="0.25">
      <c r="A87" s="2">
        <v>2017</v>
      </c>
      <c r="B87" t="s">
        <v>19</v>
      </c>
      <c r="C87" t="s">
        <v>22</v>
      </c>
      <c r="D87" s="2">
        <v>63</v>
      </c>
      <c r="E87" s="2">
        <v>7817</v>
      </c>
      <c r="F87" t="s">
        <v>361</v>
      </c>
      <c r="G87">
        <v>32</v>
      </c>
      <c r="H87">
        <v>31</v>
      </c>
      <c r="I87">
        <v>0</v>
      </c>
      <c r="J87">
        <v>0</v>
      </c>
      <c r="K87">
        <v>1</v>
      </c>
      <c r="L87" s="6">
        <f t="shared" si="9"/>
        <v>0.96875</v>
      </c>
      <c r="M87">
        <v>224</v>
      </c>
      <c r="N87">
        <v>75</v>
      </c>
      <c r="O87">
        <v>27</v>
      </c>
      <c r="P87">
        <v>0</v>
      </c>
      <c r="Q87">
        <v>121</v>
      </c>
      <c r="R87">
        <v>1</v>
      </c>
      <c r="S87" s="9">
        <v>0</v>
      </c>
      <c r="T87" s="9">
        <v>0</v>
      </c>
      <c r="U87" s="3">
        <f t="shared" si="17"/>
        <v>0.9955357142857143</v>
      </c>
      <c r="V87" s="3">
        <f t="shared" si="18"/>
        <v>0.9921875</v>
      </c>
    </row>
    <row r="88" spans="1:22" x14ac:dyDescent="0.25">
      <c r="A88" s="2">
        <v>2017</v>
      </c>
      <c r="B88" t="s">
        <v>19</v>
      </c>
      <c r="C88" t="s">
        <v>22</v>
      </c>
      <c r="D88" s="2">
        <v>19</v>
      </c>
      <c r="E88" s="2">
        <v>5831</v>
      </c>
      <c r="F88" t="s">
        <v>362</v>
      </c>
      <c r="G88">
        <v>12</v>
      </c>
      <c r="H88">
        <v>12</v>
      </c>
      <c r="I88">
        <v>0</v>
      </c>
      <c r="J88">
        <v>0</v>
      </c>
      <c r="K88">
        <v>0</v>
      </c>
      <c r="L88" s="6">
        <f t="shared" si="9"/>
        <v>1</v>
      </c>
      <c r="M88">
        <v>260</v>
      </c>
      <c r="N88">
        <v>79</v>
      </c>
      <c r="O88">
        <v>39</v>
      </c>
      <c r="P88">
        <v>0</v>
      </c>
      <c r="Q88">
        <v>119</v>
      </c>
      <c r="R88">
        <v>23</v>
      </c>
      <c r="S88" s="9">
        <v>0</v>
      </c>
      <c r="T88" s="9">
        <v>0</v>
      </c>
      <c r="U88" s="3">
        <f t="shared" si="17"/>
        <v>0.91153846153846152</v>
      </c>
      <c r="V88" s="3">
        <f t="shared" si="18"/>
        <v>0.9154411764705882</v>
      </c>
    </row>
    <row r="89" spans="1:22" x14ac:dyDescent="0.25">
      <c r="A89" s="2">
        <v>2017</v>
      </c>
      <c r="B89" t="s">
        <v>19</v>
      </c>
      <c r="C89" t="s">
        <v>22</v>
      </c>
      <c r="D89" s="2">
        <v>147</v>
      </c>
      <c r="E89" s="2">
        <v>2834</v>
      </c>
      <c r="F89" t="s">
        <v>482</v>
      </c>
      <c r="G89">
        <v>3</v>
      </c>
      <c r="H89">
        <v>3</v>
      </c>
      <c r="I89">
        <v>0</v>
      </c>
      <c r="J89">
        <v>0</v>
      </c>
      <c r="K89">
        <v>0</v>
      </c>
      <c r="L89" s="6">
        <f t="shared" si="9"/>
        <v>1</v>
      </c>
      <c r="M89">
        <v>55</v>
      </c>
      <c r="N89">
        <v>16</v>
      </c>
      <c r="O89">
        <v>5</v>
      </c>
      <c r="P89">
        <v>0</v>
      </c>
      <c r="Q89">
        <v>34</v>
      </c>
      <c r="R89">
        <v>0</v>
      </c>
      <c r="S89" s="9">
        <v>0</v>
      </c>
      <c r="T89" s="9">
        <v>0</v>
      </c>
      <c r="U89" s="3">
        <f t="shared" si="17"/>
        <v>1</v>
      </c>
      <c r="V89" s="3">
        <f t="shared" si="18"/>
        <v>1</v>
      </c>
    </row>
    <row r="90" spans="1:22" x14ac:dyDescent="0.25">
      <c r="A90" s="2">
        <v>2017</v>
      </c>
      <c r="B90" t="s">
        <v>19</v>
      </c>
      <c r="C90" t="s">
        <v>22</v>
      </c>
      <c r="D90" s="2">
        <v>68</v>
      </c>
      <c r="E90" s="2">
        <v>7923</v>
      </c>
      <c r="F90" t="s">
        <v>363</v>
      </c>
      <c r="G90">
        <v>22</v>
      </c>
      <c r="H90">
        <v>22</v>
      </c>
      <c r="I90">
        <v>0</v>
      </c>
      <c r="J90">
        <v>0</v>
      </c>
      <c r="K90">
        <v>0</v>
      </c>
      <c r="L90" s="6">
        <f t="shared" si="9"/>
        <v>1</v>
      </c>
      <c r="M90">
        <v>217</v>
      </c>
      <c r="N90">
        <v>62</v>
      </c>
      <c r="O90">
        <v>20</v>
      </c>
      <c r="P90">
        <v>0</v>
      </c>
      <c r="Q90">
        <v>135</v>
      </c>
      <c r="R90">
        <v>0</v>
      </c>
      <c r="S90" s="9">
        <v>0</v>
      </c>
      <c r="T90" s="9">
        <v>0</v>
      </c>
      <c r="U90" s="3">
        <f t="shared" si="17"/>
        <v>1</v>
      </c>
      <c r="V90" s="3">
        <f t="shared" si="18"/>
        <v>1</v>
      </c>
    </row>
    <row r="91" spans="1:22" x14ac:dyDescent="0.25">
      <c r="A91" s="2">
        <v>2017</v>
      </c>
      <c r="B91" t="s">
        <v>19</v>
      </c>
      <c r="C91" t="s">
        <v>22</v>
      </c>
      <c r="D91" s="2">
        <v>144</v>
      </c>
      <c r="E91" s="2">
        <v>4536</v>
      </c>
      <c r="F91" t="s">
        <v>364</v>
      </c>
      <c r="G91">
        <v>6</v>
      </c>
      <c r="H91">
        <v>6</v>
      </c>
      <c r="I91">
        <v>0</v>
      </c>
      <c r="J91">
        <v>0</v>
      </c>
      <c r="K91">
        <v>0</v>
      </c>
      <c r="L91" s="6">
        <f t="shared" si="9"/>
        <v>1</v>
      </c>
      <c r="M91">
        <v>127</v>
      </c>
      <c r="N91">
        <v>36</v>
      </c>
      <c r="O91">
        <v>0</v>
      </c>
      <c r="P91">
        <v>0</v>
      </c>
      <c r="Q91">
        <v>91</v>
      </c>
      <c r="R91">
        <v>0</v>
      </c>
      <c r="S91" s="9">
        <v>0</v>
      </c>
      <c r="T91" s="9">
        <v>0</v>
      </c>
      <c r="U91" s="3">
        <f t="shared" si="17"/>
        <v>1</v>
      </c>
      <c r="V91" s="3">
        <f t="shared" si="18"/>
        <v>1</v>
      </c>
    </row>
    <row r="92" spans="1:22" x14ac:dyDescent="0.25">
      <c r="A92" s="2">
        <v>2017</v>
      </c>
      <c r="B92" t="s">
        <v>19</v>
      </c>
      <c r="C92" t="s">
        <v>22</v>
      </c>
      <c r="D92" s="2">
        <v>70</v>
      </c>
      <c r="E92" s="2">
        <v>8358</v>
      </c>
      <c r="F92" t="s">
        <v>365</v>
      </c>
      <c r="G92">
        <v>4</v>
      </c>
      <c r="H92">
        <v>4</v>
      </c>
      <c r="I92">
        <v>0</v>
      </c>
      <c r="J92">
        <v>0</v>
      </c>
      <c r="K92">
        <v>0</v>
      </c>
      <c r="L92" s="6">
        <f t="shared" si="9"/>
        <v>1</v>
      </c>
      <c r="M92">
        <v>24</v>
      </c>
      <c r="N92">
        <v>12</v>
      </c>
      <c r="O92">
        <v>0</v>
      </c>
      <c r="P92">
        <v>1</v>
      </c>
      <c r="Q92">
        <v>11</v>
      </c>
      <c r="R92">
        <v>0</v>
      </c>
      <c r="S92" s="9">
        <v>0</v>
      </c>
      <c r="T92" s="9">
        <v>0</v>
      </c>
      <c r="U92" s="3">
        <f t="shared" si="17"/>
        <v>0.95833333333333337</v>
      </c>
      <c r="V92" s="3">
        <f t="shared" si="18"/>
        <v>0.9642857142857143</v>
      </c>
    </row>
    <row r="93" spans="1:22" x14ac:dyDescent="0.25">
      <c r="A93" s="2">
        <v>2017</v>
      </c>
      <c r="B93" t="s">
        <v>19</v>
      </c>
      <c r="C93" t="s">
        <v>22</v>
      </c>
      <c r="D93" s="2">
        <v>1</v>
      </c>
      <c r="E93" s="2">
        <v>6777</v>
      </c>
      <c r="F93" t="s">
        <v>34</v>
      </c>
      <c r="G93">
        <v>0</v>
      </c>
      <c r="H93">
        <v>0</v>
      </c>
      <c r="I93">
        <v>0</v>
      </c>
      <c r="J93">
        <v>0</v>
      </c>
      <c r="K93">
        <v>0</v>
      </c>
      <c r="L93" s="6">
        <f t="shared" si="9"/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s="9">
        <v>0</v>
      </c>
      <c r="T93" s="9">
        <v>0</v>
      </c>
      <c r="U93" s="3">
        <f t="shared" si="17"/>
        <v>0</v>
      </c>
      <c r="V93" s="3">
        <v>0</v>
      </c>
    </row>
    <row r="94" spans="1:22" x14ac:dyDescent="0.25">
      <c r="A94" s="2">
        <v>2017</v>
      </c>
      <c r="B94" t="s">
        <v>19</v>
      </c>
      <c r="C94" t="s">
        <v>22</v>
      </c>
      <c r="D94" s="2">
        <v>52</v>
      </c>
      <c r="E94" s="2">
        <v>222222222</v>
      </c>
      <c r="F94" s="5" t="s">
        <v>366</v>
      </c>
      <c r="G94">
        <v>0</v>
      </c>
      <c r="H94">
        <v>0</v>
      </c>
      <c r="I94">
        <v>0</v>
      </c>
      <c r="J94">
        <v>0</v>
      </c>
      <c r="K94">
        <v>0</v>
      </c>
      <c r="L94" s="6">
        <f t="shared" si="9"/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 s="9">
        <v>0</v>
      </c>
      <c r="T94" s="9">
        <v>0</v>
      </c>
      <c r="U94" s="3">
        <f t="shared" si="17"/>
        <v>1</v>
      </c>
      <c r="V94" s="3">
        <f t="shared" si="18"/>
        <v>1</v>
      </c>
    </row>
    <row r="95" spans="1:22" x14ac:dyDescent="0.25">
      <c r="A95" s="2">
        <v>2017</v>
      </c>
      <c r="B95" t="s">
        <v>19</v>
      </c>
      <c r="C95" t="s">
        <v>22</v>
      </c>
      <c r="D95" s="2">
        <v>65</v>
      </c>
      <c r="E95" s="2">
        <v>7806</v>
      </c>
      <c r="F95" t="s">
        <v>328</v>
      </c>
      <c r="G95">
        <v>23</v>
      </c>
      <c r="H95">
        <v>23</v>
      </c>
      <c r="I95">
        <v>0</v>
      </c>
      <c r="J95">
        <v>0</v>
      </c>
      <c r="K95">
        <v>0</v>
      </c>
      <c r="L95" s="6">
        <f t="shared" si="9"/>
        <v>1</v>
      </c>
      <c r="M95">
        <v>257</v>
      </c>
      <c r="N95">
        <v>93</v>
      </c>
      <c r="O95">
        <v>6</v>
      </c>
      <c r="P95">
        <v>0</v>
      </c>
      <c r="Q95">
        <v>156</v>
      </c>
      <c r="R95">
        <v>2</v>
      </c>
      <c r="S95" s="9">
        <v>0</v>
      </c>
      <c r="T95" s="9">
        <v>0</v>
      </c>
      <c r="U95" s="3">
        <f t="shared" si="17"/>
        <v>0.99221789883268485</v>
      </c>
      <c r="V95" s="3">
        <f t="shared" si="18"/>
        <v>0.99285714285714288</v>
      </c>
    </row>
    <row r="96" spans="1:22" x14ac:dyDescent="0.25">
      <c r="A96" s="2">
        <v>2017</v>
      </c>
      <c r="B96" t="s">
        <v>19</v>
      </c>
      <c r="C96" t="s">
        <v>22</v>
      </c>
      <c r="D96" s="2">
        <v>27</v>
      </c>
      <c r="E96" s="2">
        <v>4492</v>
      </c>
      <c r="F96" t="s">
        <v>367</v>
      </c>
      <c r="G96">
        <v>22</v>
      </c>
      <c r="H96">
        <v>22</v>
      </c>
      <c r="I96">
        <v>0</v>
      </c>
      <c r="J96">
        <v>0</v>
      </c>
      <c r="K96">
        <v>0</v>
      </c>
      <c r="L96" s="6">
        <f t="shared" si="9"/>
        <v>1</v>
      </c>
      <c r="M96">
        <v>253</v>
      </c>
      <c r="N96">
        <v>88</v>
      </c>
      <c r="O96">
        <v>18</v>
      </c>
      <c r="P96">
        <v>0</v>
      </c>
      <c r="Q96">
        <v>144</v>
      </c>
      <c r="R96">
        <v>3</v>
      </c>
      <c r="S96" s="9">
        <v>0</v>
      </c>
      <c r="T96" s="9">
        <v>0</v>
      </c>
      <c r="U96" s="3">
        <f t="shared" si="17"/>
        <v>0.98814229249011853</v>
      </c>
      <c r="V96" s="3">
        <f t="shared" si="18"/>
        <v>0.98909090909090913</v>
      </c>
    </row>
    <row r="97" spans="1:22" x14ac:dyDescent="0.25">
      <c r="A97" s="2">
        <v>2017</v>
      </c>
      <c r="B97" t="s">
        <v>19</v>
      </c>
      <c r="C97" t="s">
        <v>22</v>
      </c>
      <c r="D97" s="2">
        <v>119</v>
      </c>
      <c r="E97" s="2">
        <v>8697</v>
      </c>
      <c r="F97" t="s">
        <v>368</v>
      </c>
      <c r="G97">
        <v>7</v>
      </c>
      <c r="H97">
        <v>7</v>
      </c>
      <c r="I97">
        <v>0</v>
      </c>
      <c r="J97">
        <v>0</v>
      </c>
      <c r="K97">
        <v>0</v>
      </c>
      <c r="L97" s="6">
        <f t="shared" si="9"/>
        <v>1</v>
      </c>
      <c r="M97">
        <v>431</v>
      </c>
      <c r="N97">
        <v>137</v>
      </c>
      <c r="O97">
        <v>10</v>
      </c>
      <c r="P97">
        <v>0</v>
      </c>
      <c r="Q97">
        <v>282</v>
      </c>
      <c r="R97">
        <v>2</v>
      </c>
      <c r="S97" s="9">
        <v>0</v>
      </c>
      <c r="T97" s="9">
        <v>0</v>
      </c>
      <c r="U97" s="3">
        <f t="shared" si="17"/>
        <v>0.9953596287703016</v>
      </c>
      <c r="V97" s="3">
        <f t="shared" si="18"/>
        <v>0.99543378995433784</v>
      </c>
    </row>
    <row r="98" spans="1:22" x14ac:dyDescent="0.25">
      <c r="A98" s="2">
        <v>2017</v>
      </c>
      <c r="B98" t="s">
        <v>19</v>
      </c>
      <c r="C98" t="s">
        <v>22</v>
      </c>
      <c r="D98" s="2">
        <v>25</v>
      </c>
      <c r="E98" s="2">
        <v>4357</v>
      </c>
      <c r="F98" t="s">
        <v>369</v>
      </c>
      <c r="G98">
        <v>36</v>
      </c>
      <c r="H98">
        <v>36</v>
      </c>
      <c r="I98">
        <v>0</v>
      </c>
      <c r="J98">
        <v>0</v>
      </c>
      <c r="K98">
        <v>0</v>
      </c>
      <c r="L98" s="6">
        <f t="shared" si="9"/>
        <v>1</v>
      </c>
      <c r="M98">
        <v>235</v>
      </c>
      <c r="N98">
        <v>70</v>
      </c>
      <c r="O98">
        <v>32</v>
      </c>
      <c r="P98">
        <v>0</v>
      </c>
      <c r="Q98">
        <v>121</v>
      </c>
      <c r="R98">
        <v>12</v>
      </c>
      <c r="S98" s="9">
        <v>0</v>
      </c>
      <c r="T98" s="9">
        <v>0</v>
      </c>
      <c r="U98" s="3">
        <f t="shared" si="17"/>
        <v>0.94893617021276599</v>
      </c>
      <c r="V98" s="3">
        <f t="shared" si="18"/>
        <v>0.955719557195572</v>
      </c>
    </row>
    <row r="99" spans="1:22" x14ac:dyDescent="0.25">
      <c r="A99" s="2">
        <v>2017</v>
      </c>
      <c r="B99" t="s">
        <v>19</v>
      </c>
      <c r="C99" t="s">
        <v>22</v>
      </c>
      <c r="D99" s="2">
        <v>21</v>
      </c>
      <c r="E99" s="2">
        <v>5875</v>
      </c>
      <c r="F99" t="s">
        <v>370</v>
      </c>
      <c r="G99">
        <v>0</v>
      </c>
      <c r="H99">
        <v>0</v>
      </c>
      <c r="I99">
        <v>0</v>
      </c>
      <c r="J99">
        <v>0</v>
      </c>
      <c r="K99">
        <v>0</v>
      </c>
      <c r="L99" s="6">
        <f t="shared" si="9"/>
        <v>0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 s="9">
        <v>0</v>
      </c>
      <c r="T99" s="9">
        <v>0</v>
      </c>
      <c r="U99" s="3">
        <f t="shared" si="17"/>
        <v>1</v>
      </c>
      <c r="V99" s="3">
        <f t="shared" si="18"/>
        <v>1</v>
      </c>
    </row>
    <row r="100" spans="1:22" x14ac:dyDescent="0.25">
      <c r="A100" s="2">
        <v>2017</v>
      </c>
      <c r="B100" t="s">
        <v>19</v>
      </c>
      <c r="C100" t="s">
        <v>22</v>
      </c>
      <c r="D100" s="2">
        <v>184</v>
      </c>
      <c r="E100" s="2">
        <v>120870</v>
      </c>
      <c r="F100" t="s">
        <v>371</v>
      </c>
      <c r="G100">
        <v>26</v>
      </c>
      <c r="H100">
        <v>26</v>
      </c>
      <c r="I100">
        <v>0</v>
      </c>
      <c r="J100">
        <v>0</v>
      </c>
      <c r="K100">
        <v>0</v>
      </c>
      <c r="L100" s="6">
        <f t="shared" si="9"/>
        <v>1</v>
      </c>
      <c r="M100">
        <v>196</v>
      </c>
      <c r="N100">
        <v>61</v>
      </c>
      <c r="O100">
        <v>7</v>
      </c>
      <c r="P100">
        <v>0</v>
      </c>
      <c r="Q100">
        <v>128</v>
      </c>
      <c r="R100">
        <v>0</v>
      </c>
      <c r="S100" s="9">
        <v>0</v>
      </c>
      <c r="T100" s="9">
        <v>0</v>
      </c>
      <c r="U100" s="3">
        <f t="shared" si="17"/>
        <v>1</v>
      </c>
      <c r="V100" s="3">
        <f t="shared" si="18"/>
        <v>1</v>
      </c>
    </row>
    <row r="101" spans="1:22" x14ac:dyDescent="0.25">
      <c r="A101" s="2">
        <v>2017</v>
      </c>
      <c r="B101" t="s">
        <v>19</v>
      </c>
      <c r="C101" t="s">
        <v>22</v>
      </c>
      <c r="D101" s="2">
        <v>142</v>
      </c>
      <c r="E101" s="2">
        <v>122502</v>
      </c>
      <c r="F101" t="s">
        <v>372</v>
      </c>
      <c r="G101">
        <v>27</v>
      </c>
      <c r="H101">
        <v>27</v>
      </c>
      <c r="I101">
        <v>0</v>
      </c>
      <c r="J101">
        <v>0</v>
      </c>
      <c r="K101">
        <v>0</v>
      </c>
      <c r="L101" s="6">
        <f t="shared" si="9"/>
        <v>1</v>
      </c>
      <c r="M101">
        <v>261</v>
      </c>
      <c r="N101">
        <v>88</v>
      </c>
      <c r="O101">
        <v>30</v>
      </c>
      <c r="P101">
        <v>0</v>
      </c>
      <c r="Q101">
        <v>142</v>
      </c>
      <c r="R101">
        <v>1</v>
      </c>
      <c r="S101" s="9">
        <v>0</v>
      </c>
      <c r="T101" s="9">
        <v>0</v>
      </c>
      <c r="U101" s="3">
        <f t="shared" si="17"/>
        <v>0.99616858237547889</v>
      </c>
      <c r="V101" s="3">
        <f t="shared" si="18"/>
        <v>0.99652777777777779</v>
      </c>
    </row>
    <row r="102" spans="1:22" x14ac:dyDescent="0.25">
      <c r="A102" s="2">
        <v>2017</v>
      </c>
      <c r="B102" t="s">
        <v>19</v>
      </c>
      <c r="C102" t="s">
        <v>23</v>
      </c>
      <c r="D102" s="2">
        <v>489</v>
      </c>
      <c r="E102" s="2">
        <v>7740</v>
      </c>
      <c r="F102" t="s">
        <v>40</v>
      </c>
      <c r="G102">
        <v>9</v>
      </c>
      <c r="H102">
        <v>9</v>
      </c>
      <c r="I102">
        <v>0</v>
      </c>
      <c r="J102">
        <v>0</v>
      </c>
      <c r="K102">
        <v>0</v>
      </c>
      <c r="L102" s="6">
        <f t="shared" si="9"/>
        <v>1</v>
      </c>
      <c r="M102">
        <v>128</v>
      </c>
      <c r="N102">
        <v>26</v>
      </c>
      <c r="O102">
        <v>6</v>
      </c>
      <c r="P102">
        <v>0</v>
      </c>
      <c r="Q102">
        <v>95</v>
      </c>
      <c r="R102">
        <v>1</v>
      </c>
      <c r="S102" s="9">
        <v>0</v>
      </c>
      <c r="T102" s="9">
        <v>0</v>
      </c>
      <c r="U102" s="3">
        <f t="shared" ref="U102:U122" si="19">IF(M102=0,0,((N102+O102+Q102)/M102))</f>
        <v>0.9921875</v>
      </c>
      <c r="V102" s="3">
        <f t="shared" ref="V102:V122" si="20">(H102+I102+J102+N102+O102+Q102)/(G102+M102)</f>
        <v>0.99270072992700731</v>
      </c>
    </row>
    <row r="103" spans="1:22" x14ac:dyDescent="0.25">
      <c r="A103" s="2">
        <v>2017</v>
      </c>
      <c r="B103" t="s">
        <v>19</v>
      </c>
      <c r="C103" t="s">
        <v>23</v>
      </c>
      <c r="D103" s="2">
        <v>2</v>
      </c>
      <c r="E103" s="2">
        <v>121285</v>
      </c>
      <c r="F103" t="s">
        <v>373</v>
      </c>
      <c r="G103">
        <v>0</v>
      </c>
      <c r="H103">
        <v>0</v>
      </c>
      <c r="I103">
        <v>0</v>
      </c>
      <c r="J103">
        <v>0</v>
      </c>
      <c r="K103">
        <v>0</v>
      </c>
      <c r="L103" s="6">
        <f t="shared" si="9"/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s="9">
        <v>0</v>
      </c>
      <c r="T103" s="9">
        <v>0</v>
      </c>
      <c r="U103" s="3">
        <f t="shared" si="19"/>
        <v>0</v>
      </c>
      <c r="V103" s="3">
        <v>0</v>
      </c>
    </row>
    <row r="104" spans="1:22" x14ac:dyDescent="0.25">
      <c r="A104" s="2">
        <v>2017</v>
      </c>
      <c r="B104" t="s">
        <v>19</v>
      </c>
      <c r="C104" t="s">
        <v>23</v>
      </c>
      <c r="D104" s="2">
        <v>492</v>
      </c>
      <c r="E104" s="2">
        <v>7744</v>
      </c>
      <c r="F104" t="s">
        <v>374</v>
      </c>
      <c r="G104">
        <v>14</v>
      </c>
      <c r="H104">
        <v>14</v>
      </c>
      <c r="I104">
        <v>0</v>
      </c>
      <c r="J104">
        <v>0</v>
      </c>
      <c r="K104">
        <v>0</v>
      </c>
      <c r="L104" s="6">
        <f t="shared" si="9"/>
        <v>1</v>
      </c>
      <c r="M104">
        <v>167</v>
      </c>
      <c r="N104">
        <v>48</v>
      </c>
      <c r="O104">
        <v>23</v>
      </c>
      <c r="P104">
        <v>0</v>
      </c>
      <c r="Q104">
        <v>94</v>
      </c>
      <c r="R104">
        <v>2</v>
      </c>
      <c r="S104" s="9">
        <v>0</v>
      </c>
      <c r="T104" s="9">
        <v>0</v>
      </c>
      <c r="U104" s="3">
        <f t="shared" si="19"/>
        <v>0.9880239520958084</v>
      </c>
      <c r="V104" s="3">
        <f t="shared" si="20"/>
        <v>0.98895027624309395</v>
      </c>
    </row>
    <row r="105" spans="1:22" x14ac:dyDescent="0.25">
      <c r="A105" s="2">
        <v>2017</v>
      </c>
      <c r="B105" t="s">
        <v>19</v>
      </c>
      <c r="C105" t="s">
        <v>23</v>
      </c>
      <c r="D105" s="2">
        <v>555</v>
      </c>
      <c r="E105" s="2">
        <v>119114</v>
      </c>
      <c r="F105" t="s">
        <v>375</v>
      </c>
      <c r="G105">
        <v>4</v>
      </c>
      <c r="H105">
        <v>4</v>
      </c>
      <c r="I105">
        <v>0</v>
      </c>
      <c r="J105">
        <v>0</v>
      </c>
      <c r="K105">
        <v>0</v>
      </c>
      <c r="L105" s="6">
        <f t="shared" si="9"/>
        <v>1</v>
      </c>
      <c r="M105">
        <v>80</v>
      </c>
      <c r="N105">
        <v>20</v>
      </c>
      <c r="O105">
        <v>4</v>
      </c>
      <c r="P105">
        <v>0</v>
      </c>
      <c r="Q105">
        <v>56</v>
      </c>
      <c r="R105">
        <v>0</v>
      </c>
      <c r="S105" s="9">
        <v>0</v>
      </c>
      <c r="T105" s="9">
        <v>0</v>
      </c>
      <c r="U105" s="3">
        <f t="shared" si="19"/>
        <v>1</v>
      </c>
      <c r="V105" s="3">
        <f t="shared" si="20"/>
        <v>1</v>
      </c>
    </row>
    <row r="106" spans="1:22" x14ac:dyDescent="0.25">
      <c r="A106" s="2">
        <v>2017</v>
      </c>
      <c r="B106" t="s">
        <v>19</v>
      </c>
      <c r="C106" t="s">
        <v>23</v>
      </c>
      <c r="D106" s="2">
        <v>493</v>
      </c>
      <c r="E106" s="2">
        <v>7742</v>
      </c>
      <c r="F106" t="s">
        <v>376</v>
      </c>
      <c r="G106">
        <v>3</v>
      </c>
      <c r="H106">
        <v>3</v>
      </c>
      <c r="I106">
        <v>0</v>
      </c>
      <c r="J106">
        <v>0</v>
      </c>
      <c r="K106">
        <v>0</v>
      </c>
      <c r="L106" s="6">
        <f t="shared" si="9"/>
        <v>1</v>
      </c>
      <c r="M106">
        <v>138</v>
      </c>
      <c r="N106">
        <v>37</v>
      </c>
      <c r="O106">
        <v>25</v>
      </c>
      <c r="P106">
        <v>0</v>
      </c>
      <c r="Q106">
        <v>75</v>
      </c>
      <c r="R106">
        <v>1</v>
      </c>
      <c r="S106" s="9">
        <v>0</v>
      </c>
      <c r="T106" s="9">
        <v>0</v>
      </c>
      <c r="U106" s="3">
        <f t="shared" si="19"/>
        <v>0.99275362318840576</v>
      </c>
      <c r="V106" s="3">
        <f t="shared" si="20"/>
        <v>0.99290780141843971</v>
      </c>
    </row>
    <row r="107" spans="1:22" x14ac:dyDescent="0.25">
      <c r="A107" s="2">
        <v>2017</v>
      </c>
      <c r="B107" t="s">
        <v>19</v>
      </c>
      <c r="C107" t="s">
        <v>23</v>
      </c>
      <c r="D107" s="2">
        <v>13</v>
      </c>
      <c r="E107" s="2">
        <v>122214</v>
      </c>
      <c r="F107" t="s">
        <v>377</v>
      </c>
      <c r="G107">
        <v>0</v>
      </c>
      <c r="H107">
        <v>0</v>
      </c>
      <c r="I107">
        <v>0</v>
      </c>
      <c r="J107">
        <v>0</v>
      </c>
      <c r="K107">
        <v>0</v>
      </c>
      <c r="L107" s="6">
        <f t="shared" si="9"/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s="9">
        <v>0</v>
      </c>
      <c r="T107" s="9">
        <v>0</v>
      </c>
      <c r="U107" s="3">
        <f t="shared" si="19"/>
        <v>0</v>
      </c>
      <c r="V107" s="3">
        <v>0</v>
      </c>
    </row>
    <row r="108" spans="1:22" x14ac:dyDescent="0.25">
      <c r="A108" s="2">
        <v>2017</v>
      </c>
      <c r="B108" t="s">
        <v>19</v>
      </c>
      <c r="C108" t="s">
        <v>23</v>
      </c>
      <c r="D108" s="2">
        <v>286</v>
      </c>
      <c r="E108" s="2">
        <v>119469</v>
      </c>
      <c r="F108" t="s">
        <v>378</v>
      </c>
      <c r="G108">
        <v>0</v>
      </c>
      <c r="H108">
        <v>0</v>
      </c>
      <c r="I108">
        <v>0</v>
      </c>
      <c r="J108">
        <v>0</v>
      </c>
      <c r="K108">
        <v>0</v>
      </c>
      <c r="L108" s="6">
        <f t="shared" si="9"/>
        <v>0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0</v>
      </c>
      <c r="S108" s="9">
        <v>0</v>
      </c>
      <c r="T108" s="9">
        <v>0</v>
      </c>
      <c r="U108" s="3">
        <f t="shared" si="19"/>
        <v>1</v>
      </c>
      <c r="V108" s="3">
        <f t="shared" si="20"/>
        <v>1</v>
      </c>
    </row>
    <row r="109" spans="1:22" x14ac:dyDescent="0.25">
      <c r="A109" s="2">
        <v>2017</v>
      </c>
      <c r="B109" t="s">
        <v>19</v>
      </c>
      <c r="C109" t="s">
        <v>23</v>
      </c>
      <c r="D109" s="2">
        <v>593</v>
      </c>
      <c r="E109" s="2">
        <v>122796</v>
      </c>
      <c r="F109" t="s">
        <v>379</v>
      </c>
      <c r="G109">
        <v>8</v>
      </c>
      <c r="H109">
        <v>8</v>
      </c>
      <c r="I109">
        <v>0</v>
      </c>
      <c r="J109">
        <v>0</v>
      </c>
      <c r="K109">
        <v>0</v>
      </c>
      <c r="L109" s="6">
        <f t="shared" si="9"/>
        <v>1</v>
      </c>
      <c r="M109">
        <v>174</v>
      </c>
      <c r="N109">
        <v>37</v>
      </c>
      <c r="O109">
        <v>21</v>
      </c>
      <c r="P109">
        <v>0</v>
      </c>
      <c r="Q109">
        <v>116</v>
      </c>
      <c r="R109">
        <v>0</v>
      </c>
      <c r="S109" s="9">
        <v>0</v>
      </c>
      <c r="T109" s="9">
        <v>0</v>
      </c>
      <c r="U109" s="3">
        <f t="shared" si="19"/>
        <v>1</v>
      </c>
      <c r="V109" s="3">
        <f t="shared" si="20"/>
        <v>1</v>
      </c>
    </row>
    <row r="110" spans="1:22" x14ac:dyDescent="0.25">
      <c r="A110" s="2">
        <v>2017</v>
      </c>
      <c r="B110" t="s">
        <v>19</v>
      </c>
      <c r="C110" t="s">
        <v>23</v>
      </c>
      <c r="D110" s="2">
        <v>291</v>
      </c>
      <c r="E110" s="2">
        <v>121506</v>
      </c>
      <c r="F110" t="s">
        <v>380</v>
      </c>
      <c r="G110">
        <v>0</v>
      </c>
      <c r="H110">
        <v>0</v>
      </c>
      <c r="I110">
        <v>0</v>
      </c>
      <c r="J110">
        <v>0</v>
      </c>
      <c r="K110">
        <v>0</v>
      </c>
      <c r="L110" s="6">
        <f t="shared" si="9"/>
        <v>0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0</v>
      </c>
      <c r="S110" s="9">
        <v>0</v>
      </c>
      <c r="T110" s="9">
        <v>0</v>
      </c>
      <c r="U110" s="3">
        <f t="shared" si="19"/>
        <v>1</v>
      </c>
      <c r="V110" s="3">
        <f t="shared" si="20"/>
        <v>1</v>
      </c>
    </row>
    <row r="111" spans="1:22" x14ac:dyDescent="0.25">
      <c r="A111" s="2">
        <v>2017</v>
      </c>
      <c r="B111" t="s">
        <v>19</v>
      </c>
      <c r="C111" t="s">
        <v>23</v>
      </c>
      <c r="D111" s="2">
        <v>584</v>
      </c>
      <c r="E111" s="2">
        <v>2834</v>
      </c>
      <c r="F111" t="s">
        <v>482</v>
      </c>
      <c r="G111">
        <v>1</v>
      </c>
      <c r="H111">
        <v>1</v>
      </c>
      <c r="I111">
        <v>0</v>
      </c>
      <c r="J111">
        <v>0</v>
      </c>
      <c r="K111">
        <v>0</v>
      </c>
      <c r="L111" s="6">
        <f t="shared" si="9"/>
        <v>1</v>
      </c>
      <c r="M111">
        <v>21</v>
      </c>
      <c r="N111">
        <v>4</v>
      </c>
      <c r="O111">
        <v>0</v>
      </c>
      <c r="P111">
        <v>0</v>
      </c>
      <c r="Q111">
        <v>17</v>
      </c>
      <c r="R111">
        <v>0</v>
      </c>
      <c r="S111" s="9">
        <v>0</v>
      </c>
      <c r="T111" s="9">
        <v>0</v>
      </c>
      <c r="U111" s="3">
        <f t="shared" si="19"/>
        <v>1</v>
      </c>
      <c r="V111" s="3">
        <f t="shared" si="20"/>
        <v>1</v>
      </c>
    </row>
    <row r="112" spans="1:22" x14ac:dyDescent="0.25">
      <c r="A112" s="2">
        <v>2017</v>
      </c>
      <c r="B112" t="s">
        <v>19</v>
      </c>
      <c r="C112" t="s">
        <v>23</v>
      </c>
      <c r="D112" s="2">
        <v>592</v>
      </c>
      <c r="E112" s="2">
        <v>122956</v>
      </c>
      <c r="F112" t="s">
        <v>381</v>
      </c>
      <c r="G112">
        <v>11</v>
      </c>
      <c r="H112">
        <v>11</v>
      </c>
      <c r="I112">
        <v>0</v>
      </c>
      <c r="J112">
        <v>0</v>
      </c>
      <c r="K112">
        <v>0</v>
      </c>
      <c r="L112" s="6">
        <f t="shared" si="9"/>
        <v>1</v>
      </c>
      <c r="M112">
        <v>91</v>
      </c>
      <c r="N112">
        <v>32</v>
      </c>
      <c r="O112">
        <v>4</v>
      </c>
      <c r="P112">
        <v>0</v>
      </c>
      <c r="Q112">
        <v>52</v>
      </c>
      <c r="R112">
        <v>3</v>
      </c>
      <c r="S112" s="9">
        <v>0</v>
      </c>
      <c r="T112" s="9">
        <v>0</v>
      </c>
      <c r="U112" s="3">
        <f t="shared" si="19"/>
        <v>0.96703296703296704</v>
      </c>
      <c r="V112" s="3">
        <f t="shared" si="20"/>
        <v>0.97058823529411764</v>
      </c>
    </row>
    <row r="113" spans="1:22" x14ac:dyDescent="0.25">
      <c r="A113" s="2">
        <v>2017</v>
      </c>
      <c r="B113" t="s">
        <v>19</v>
      </c>
      <c r="C113" t="s">
        <v>23</v>
      </c>
      <c r="D113" s="2">
        <v>1</v>
      </c>
      <c r="E113" s="2">
        <v>121274</v>
      </c>
      <c r="F113" t="s">
        <v>382</v>
      </c>
      <c r="G113">
        <v>0</v>
      </c>
      <c r="H113">
        <v>0</v>
      </c>
      <c r="I113">
        <v>0</v>
      </c>
      <c r="J113">
        <v>0</v>
      </c>
      <c r="K113">
        <v>0</v>
      </c>
      <c r="L113" s="6">
        <f t="shared" si="9"/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s="9">
        <v>0</v>
      </c>
      <c r="T113" s="9">
        <v>0</v>
      </c>
      <c r="U113" s="3">
        <f t="shared" si="19"/>
        <v>0</v>
      </c>
      <c r="V113" s="3">
        <v>0</v>
      </c>
    </row>
    <row r="114" spans="1:22" x14ac:dyDescent="0.25">
      <c r="A114" s="2">
        <v>2017</v>
      </c>
      <c r="B114" t="s">
        <v>19</v>
      </c>
      <c r="C114" t="s">
        <v>23</v>
      </c>
      <c r="D114" s="2">
        <v>494</v>
      </c>
      <c r="E114" s="2">
        <v>7743</v>
      </c>
      <c r="F114" t="s">
        <v>383</v>
      </c>
      <c r="G114">
        <v>17</v>
      </c>
      <c r="H114">
        <v>17</v>
      </c>
      <c r="I114">
        <v>0</v>
      </c>
      <c r="J114">
        <v>0</v>
      </c>
      <c r="K114">
        <v>0</v>
      </c>
      <c r="L114" s="6">
        <f t="shared" si="9"/>
        <v>1</v>
      </c>
      <c r="M114">
        <v>229</v>
      </c>
      <c r="N114">
        <v>61</v>
      </c>
      <c r="O114">
        <v>31</v>
      </c>
      <c r="P114">
        <v>0</v>
      </c>
      <c r="Q114">
        <v>134</v>
      </c>
      <c r="R114">
        <v>3</v>
      </c>
      <c r="S114" s="9">
        <v>0</v>
      </c>
      <c r="T114" s="9">
        <v>0</v>
      </c>
      <c r="U114" s="3">
        <f t="shared" si="19"/>
        <v>0.98689956331877726</v>
      </c>
      <c r="V114" s="3">
        <f t="shared" si="20"/>
        <v>0.98780487804878048</v>
      </c>
    </row>
    <row r="115" spans="1:22" x14ac:dyDescent="0.25">
      <c r="A115" s="2">
        <v>2017</v>
      </c>
      <c r="B115" t="s">
        <v>19</v>
      </c>
      <c r="C115" t="s">
        <v>23</v>
      </c>
      <c r="D115" s="2">
        <v>279</v>
      </c>
      <c r="E115" s="2">
        <v>10480</v>
      </c>
      <c r="F115" t="s">
        <v>384</v>
      </c>
      <c r="G115">
        <v>0</v>
      </c>
      <c r="H115">
        <v>0</v>
      </c>
      <c r="I115">
        <v>0</v>
      </c>
      <c r="J115">
        <v>0</v>
      </c>
      <c r="K115">
        <v>0</v>
      </c>
      <c r="L115" s="6">
        <f t="shared" si="9"/>
        <v>0</v>
      </c>
      <c r="M115">
        <v>3</v>
      </c>
      <c r="N115">
        <v>2</v>
      </c>
      <c r="O115">
        <v>0</v>
      </c>
      <c r="P115">
        <v>0</v>
      </c>
      <c r="Q115">
        <v>1</v>
      </c>
      <c r="R115">
        <v>0</v>
      </c>
      <c r="S115" s="9">
        <v>0</v>
      </c>
      <c r="T115" s="9">
        <v>0</v>
      </c>
      <c r="U115" s="3">
        <f t="shared" si="19"/>
        <v>1</v>
      </c>
      <c r="V115" s="3">
        <f t="shared" si="20"/>
        <v>1</v>
      </c>
    </row>
    <row r="116" spans="1:22" x14ac:dyDescent="0.25">
      <c r="A116" s="2">
        <v>2017</v>
      </c>
      <c r="B116" t="s">
        <v>19</v>
      </c>
      <c r="C116" t="s">
        <v>23</v>
      </c>
      <c r="D116" s="2">
        <v>534</v>
      </c>
      <c r="E116" s="2">
        <v>10480</v>
      </c>
      <c r="F116" t="s">
        <v>384</v>
      </c>
      <c r="G116">
        <v>0</v>
      </c>
      <c r="H116">
        <v>0</v>
      </c>
      <c r="I116">
        <v>0</v>
      </c>
      <c r="J116">
        <v>0</v>
      </c>
      <c r="K116">
        <v>0</v>
      </c>
      <c r="L116" s="6">
        <f t="shared" si="9"/>
        <v>0</v>
      </c>
      <c r="M116">
        <v>5</v>
      </c>
      <c r="N116">
        <v>0</v>
      </c>
      <c r="O116">
        <v>0</v>
      </c>
      <c r="P116">
        <v>0</v>
      </c>
      <c r="Q116">
        <v>5</v>
      </c>
      <c r="R116">
        <v>0</v>
      </c>
      <c r="S116" s="9">
        <v>0</v>
      </c>
      <c r="T116" s="9">
        <v>0</v>
      </c>
      <c r="U116" s="3">
        <f t="shared" si="19"/>
        <v>1</v>
      </c>
      <c r="V116" s="3">
        <f t="shared" si="20"/>
        <v>1</v>
      </c>
    </row>
    <row r="117" spans="1:22" x14ac:dyDescent="0.25">
      <c r="A117" s="2">
        <v>2017</v>
      </c>
      <c r="B117" t="s">
        <v>19</v>
      </c>
      <c r="C117" t="s">
        <v>23</v>
      </c>
      <c r="D117" s="2">
        <v>278</v>
      </c>
      <c r="E117" s="2">
        <v>5803</v>
      </c>
      <c r="F117" t="s">
        <v>385</v>
      </c>
      <c r="G117">
        <v>0</v>
      </c>
      <c r="H117">
        <v>0</v>
      </c>
      <c r="I117">
        <v>0</v>
      </c>
      <c r="J117">
        <v>0</v>
      </c>
      <c r="K117">
        <v>0</v>
      </c>
      <c r="L117" s="6">
        <f t="shared" si="9"/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s="9">
        <v>0</v>
      </c>
      <c r="T117" s="9">
        <v>0</v>
      </c>
      <c r="U117" s="3">
        <f t="shared" si="19"/>
        <v>0</v>
      </c>
      <c r="V117" s="3">
        <v>0</v>
      </c>
    </row>
    <row r="118" spans="1:22" x14ac:dyDescent="0.25">
      <c r="A118" s="2">
        <v>2017</v>
      </c>
      <c r="B118" t="s">
        <v>19</v>
      </c>
      <c r="C118" t="s">
        <v>23</v>
      </c>
      <c r="D118" s="2">
        <v>533</v>
      </c>
      <c r="E118" s="2">
        <v>5803</v>
      </c>
      <c r="F118" t="s">
        <v>385</v>
      </c>
      <c r="G118">
        <v>0</v>
      </c>
      <c r="H118">
        <v>0</v>
      </c>
      <c r="I118">
        <v>0</v>
      </c>
      <c r="J118">
        <v>0</v>
      </c>
      <c r="K118">
        <v>0</v>
      </c>
      <c r="L118" s="6">
        <f t="shared" si="9"/>
        <v>0</v>
      </c>
      <c r="M118">
        <v>9</v>
      </c>
      <c r="N118">
        <v>3</v>
      </c>
      <c r="O118">
        <v>0</v>
      </c>
      <c r="P118">
        <v>0</v>
      </c>
      <c r="Q118">
        <v>6</v>
      </c>
      <c r="R118">
        <v>0</v>
      </c>
      <c r="S118" s="9">
        <v>0</v>
      </c>
      <c r="T118" s="9">
        <v>0</v>
      </c>
      <c r="U118" s="3">
        <f t="shared" si="19"/>
        <v>1</v>
      </c>
      <c r="V118" s="3">
        <f t="shared" si="20"/>
        <v>1</v>
      </c>
    </row>
    <row r="119" spans="1:22" x14ac:dyDescent="0.25">
      <c r="A119" s="2">
        <v>2017</v>
      </c>
      <c r="B119" t="s">
        <v>19</v>
      </c>
      <c r="C119" t="s">
        <v>23</v>
      </c>
      <c r="D119" s="2">
        <v>12</v>
      </c>
      <c r="E119" s="2">
        <v>122201</v>
      </c>
      <c r="F119" t="s">
        <v>386</v>
      </c>
      <c r="G119">
        <v>0</v>
      </c>
      <c r="H119">
        <v>0</v>
      </c>
      <c r="I119">
        <v>0</v>
      </c>
      <c r="J119">
        <v>0</v>
      </c>
      <c r="K119">
        <v>0</v>
      </c>
      <c r="L119" s="6">
        <f t="shared" si="9"/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s="9">
        <v>0</v>
      </c>
      <c r="T119" s="9">
        <v>0</v>
      </c>
      <c r="U119" s="3">
        <f t="shared" si="19"/>
        <v>0</v>
      </c>
      <c r="V119" s="3">
        <v>0</v>
      </c>
    </row>
    <row r="120" spans="1:22" x14ac:dyDescent="0.25">
      <c r="A120" s="2">
        <v>2017</v>
      </c>
      <c r="B120" t="s">
        <v>19</v>
      </c>
      <c r="C120" t="s">
        <v>23</v>
      </c>
      <c r="D120" s="2">
        <v>496</v>
      </c>
      <c r="E120" s="2">
        <v>7741</v>
      </c>
      <c r="F120" t="s">
        <v>387</v>
      </c>
      <c r="G120">
        <v>21</v>
      </c>
      <c r="H120">
        <v>21</v>
      </c>
      <c r="I120">
        <v>0</v>
      </c>
      <c r="J120">
        <v>0</v>
      </c>
      <c r="K120">
        <v>0</v>
      </c>
      <c r="L120" s="6">
        <f t="shared" si="9"/>
        <v>1</v>
      </c>
      <c r="M120">
        <v>202</v>
      </c>
      <c r="N120">
        <v>53</v>
      </c>
      <c r="O120">
        <v>50</v>
      </c>
      <c r="P120">
        <v>0</v>
      </c>
      <c r="Q120">
        <v>98</v>
      </c>
      <c r="R120">
        <v>1</v>
      </c>
      <c r="S120" s="9">
        <v>0</v>
      </c>
      <c r="T120" s="9">
        <v>0</v>
      </c>
      <c r="U120" s="3">
        <f t="shared" si="19"/>
        <v>0.99504950495049505</v>
      </c>
      <c r="V120" s="3">
        <f t="shared" si="20"/>
        <v>0.99551569506726456</v>
      </c>
    </row>
    <row r="121" spans="1:22" x14ac:dyDescent="0.25">
      <c r="A121" s="2">
        <v>2017</v>
      </c>
      <c r="B121" t="s">
        <v>19</v>
      </c>
      <c r="C121" t="s">
        <v>23</v>
      </c>
      <c r="D121" s="2">
        <v>444</v>
      </c>
      <c r="E121" s="2">
        <v>7314</v>
      </c>
      <c r="F121" t="s">
        <v>388</v>
      </c>
      <c r="G121">
        <v>10</v>
      </c>
      <c r="H121">
        <v>10</v>
      </c>
      <c r="I121">
        <v>0</v>
      </c>
      <c r="J121">
        <v>0</v>
      </c>
      <c r="K121">
        <v>0</v>
      </c>
      <c r="L121" s="6">
        <f t="shared" si="9"/>
        <v>1</v>
      </c>
      <c r="M121">
        <v>144</v>
      </c>
      <c r="N121">
        <v>39</v>
      </c>
      <c r="O121">
        <v>41</v>
      </c>
      <c r="P121">
        <v>0</v>
      </c>
      <c r="Q121">
        <v>64</v>
      </c>
      <c r="R121">
        <v>0</v>
      </c>
      <c r="S121" s="9">
        <v>0</v>
      </c>
      <c r="T121" s="9">
        <v>0</v>
      </c>
      <c r="U121" s="3">
        <f t="shared" si="19"/>
        <v>1</v>
      </c>
      <c r="V121" s="3">
        <f t="shared" si="20"/>
        <v>1</v>
      </c>
    </row>
    <row r="122" spans="1:22" x14ac:dyDescent="0.25">
      <c r="A122" s="2">
        <v>2017</v>
      </c>
      <c r="B122" t="s">
        <v>19</v>
      </c>
      <c r="C122" t="s">
        <v>23</v>
      </c>
      <c r="D122" s="2">
        <v>505</v>
      </c>
      <c r="E122" s="2">
        <v>8344</v>
      </c>
      <c r="F122" t="s">
        <v>389</v>
      </c>
      <c r="G122">
        <v>23</v>
      </c>
      <c r="H122">
        <v>23</v>
      </c>
      <c r="I122">
        <v>0</v>
      </c>
      <c r="J122">
        <v>0</v>
      </c>
      <c r="K122">
        <v>0</v>
      </c>
      <c r="L122" s="6">
        <f t="shared" si="9"/>
        <v>1</v>
      </c>
      <c r="M122">
        <v>231</v>
      </c>
      <c r="N122">
        <v>64</v>
      </c>
      <c r="O122">
        <v>31</v>
      </c>
      <c r="P122">
        <v>0</v>
      </c>
      <c r="Q122">
        <v>133</v>
      </c>
      <c r="R122">
        <v>3</v>
      </c>
      <c r="S122" s="9">
        <v>0</v>
      </c>
      <c r="T122" s="9">
        <v>0</v>
      </c>
      <c r="U122" s="3">
        <f t="shared" si="19"/>
        <v>0.98701298701298701</v>
      </c>
      <c r="V122" s="3">
        <f t="shared" si="20"/>
        <v>0.98818897637795278</v>
      </c>
    </row>
    <row r="123" spans="1:22" x14ac:dyDescent="0.25">
      <c r="A123" s="2">
        <v>2017</v>
      </c>
      <c r="B123" t="s">
        <v>19</v>
      </c>
      <c r="C123" t="s">
        <v>24</v>
      </c>
      <c r="D123" s="2">
        <v>136</v>
      </c>
      <c r="E123" s="2">
        <v>121923</v>
      </c>
      <c r="F123" t="s">
        <v>41</v>
      </c>
      <c r="G123">
        <v>12</v>
      </c>
      <c r="H123">
        <v>12</v>
      </c>
      <c r="I123">
        <v>0</v>
      </c>
      <c r="J123">
        <v>0</v>
      </c>
      <c r="K123">
        <v>0</v>
      </c>
      <c r="L123" s="6">
        <f t="shared" si="9"/>
        <v>1</v>
      </c>
      <c r="M123">
        <v>158</v>
      </c>
      <c r="N123">
        <v>51</v>
      </c>
      <c r="O123">
        <v>17</v>
      </c>
      <c r="P123">
        <v>0</v>
      </c>
      <c r="Q123">
        <v>90</v>
      </c>
      <c r="R123">
        <v>0</v>
      </c>
      <c r="S123" s="9">
        <v>0</v>
      </c>
      <c r="T123" s="9">
        <v>0</v>
      </c>
      <c r="U123" s="3">
        <f t="shared" ref="U123:U139" si="21">IF(M123=0,0,((N123+O123+Q123)/M123))</f>
        <v>1</v>
      </c>
      <c r="V123" s="3">
        <f t="shared" ref="V123:V147" si="22">(H123+I123+J123+N123+O123+Q123)/(G123+M123)</f>
        <v>1</v>
      </c>
    </row>
    <row r="124" spans="1:22" x14ac:dyDescent="0.25">
      <c r="A124" s="2">
        <v>2017</v>
      </c>
      <c r="B124" t="s">
        <v>19</v>
      </c>
      <c r="C124" t="s">
        <v>24</v>
      </c>
      <c r="D124" s="2">
        <v>13</v>
      </c>
      <c r="E124" s="2">
        <v>5621</v>
      </c>
      <c r="F124" t="s">
        <v>390</v>
      </c>
      <c r="G124">
        <v>13</v>
      </c>
      <c r="H124">
        <v>13</v>
      </c>
      <c r="I124">
        <v>0</v>
      </c>
      <c r="J124">
        <v>0</v>
      </c>
      <c r="K124">
        <v>0</v>
      </c>
      <c r="L124" s="6">
        <f t="shared" si="9"/>
        <v>1</v>
      </c>
      <c r="M124">
        <v>199</v>
      </c>
      <c r="N124">
        <v>46</v>
      </c>
      <c r="O124">
        <v>31</v>
      </c>
      <c r="P124">
        <v>0</v>
      </c>
      <c r="Q124">
        <v>121</v>
      </c>
      <c r="R124">
        <v>1</v>
      </c>
      <c r="S124" s="9">
        <v>0</v>
      </c>
      <c r="T124" s="9">
        <v>0</v>
      </c>
      <c r="U124" s="3">
        <f t="shared" si="21"/>
        <v>0.99497487437185927</v>
      </c>
      <c r="V124" s="3">
        <f t="shared" si="22"/>
        <v>0.99528301886792447</v>
      </c>
    </row>
    <row r="125" spans="1:22" x14ac:dyDescent="0.25">
      <c r="A125" s="2">
        <v>2017</v>
      </c>
      <c r="B125" t="s">
        <v>19</v>
      </c>
      <c r="C125" t="s">
        <v>24</v>
      </c>
      <c r="D125" s="2">
        <v>115</v>
      </c>
      <c r="E125" s="2">
        <v>119430</v>
      </c>
      <c r="F125" t="s">
        <v>391</v>
      </c>
      <c r="G125">
        <v>11</v>
      </c>
      <c r="H125">
        <v>11</v>
      </c>
      <c r="I125">
        <v>0</v>
      </c>
      <c r="J125">
        <v>0</v>
      </c>
      <c r="K125">
        <v>0</v>
      </c>
      <c r="L125" s="6">
        <f t="shared" si="9"/>
        <v>1</v>
      </c>
      <c r="M125">
        <v>139</v>
      </c>
      <c r="N125">
        <v>41</v>
      </c>
      <c r="O125">
        <v>15</v>
      </c>
      <c r="P125">
        <v>0</v>
      </c>
      <c r="Q125">
        <v>83</v>
      </c>
      <c r="R125">
        <v>0</v>
      </c>
      <c r="S125" s="9">
        <v>0</v>
      </c>
      <c r="T125" s="9">
        <v>0</v>
      </c>
      <c r="U125" s="3">
        <f t="shared" si="21"/>
        <v>1</v>
      </c>
      <c r="V125" s="3">
        <f t="shared" si="22"/>
        <v>1</v>
      </c>
    </row>
    <row r="126" spans="1:22" x14ac:dyDescent="0.25">
      <c r="A126" s="2">
        <v>2017</v>
      </c>
      <c r="B126" t="s">
        <v>19</v>
      </c>
      <c r="C126" t="s">
        <v>24</v>
      </c>
      <c r="D126" s="2">
        <v>16</v>
      </c>
      <c r="E126" s="2">
        <v>5774</v>
      </c>
      <c r="F126" t="s">
        <v>392</v>
      </c>
      <c r="G126">
        <v>8</v>
      </c>
      <c r="H126">
        <v>8</v>
      </c>
      <c r="I126">
        <v>0</v>
      </c>
      <c r="J126">
        <v>0</v>
      </c>
      <c r="K126">
        <v>0</v>
      </c>
      <c r="L126" s="6">
        <f t="shared" si="9"/>
        <v>1</v>
      </c>
      <c r="M126">
        <v>154</v>
      </c>
      <c r="N126">
        <v>40</v>
      </c>
      <c r="O126">
        <v>19</v>
      </c>
      <c r="P126">
        <v>1</v>
      </c>
      <c r="Q126">
        <v>92</v>
      </c>
      <c r="R126">
        <v>2</v>
      </c>
      <c r="S126" s="9">
        <v>0</v>
      </c>
      <c r="T126" s="9">
        <v>0</v>
      </c>
      <c r="U126" s="3">
        <f t="shared" si="21"/>
        <v>0.98051948051948057</v>
      </c>
      <c r="V126" s="3">
        <f t="shared" si="22"/>
        <v>0.98148148148148151</v>
      </c>
    </row>
    <row r="127" spans="1:22" x14ac:dyDescent="0.25">
      <c r="A127" s="2">
        <v>2017</v>
      </c>
      <c r="B127" t="s">
        <v>19</v>
      </c>
      <c r="C127" t="s">
        <v>24</v>
      </c>
      <c r="D127" s="2">
        <v>107</v>
      </c>
      <c r="E127" s="2">
        <v>119171</v>
      </c>
      <c r="F127" t="s">
        <v>393</v>
      </c>
      <c r="G127">
        <v>4</v>
      </c>
      <c r="H127">
        <v>4</v>
      </c>
      <c r="I127">
        <v>0</v>
      </c>
      <c r="J127">
        <v>0</v>
      </c>
      <c r="K127">
        <v>0</v>
      </c>
      <c r="L127" s="6">
        <f t="shared" si="9"/>
        <v>1</v>
      </c>
      <c r="M127">
        <v>60</v>
      </c>
      <c r="N127">
        <v>19</v>
      </c>
      <c r="O127">
        <v>17</v>
      </c>
      <c r="P127">
        <v>0</v>
      </c>
      <c r="Q127">
        <v>24</v>
      </c>
      <c r="R127">
        <v>0</v>
      </c>
      <c r="S127" s="9">
        <v>0</v>
      </c>
      <c r="T127" s="9">
        <v>0</v>
      </c>
      <c r="U127" s="3">
        <f t="shared" si="21"/>
        <v>1</v>
      </c>
      <c r="V127" s="3">
        <f t="shared" si="22"/>
        <v>1</v>
      </c>
    </row>
    <row r="128" spans="1:22" x14ac:dyDescent="0.25">
      <c r="A128" s="2">
        <v>2017</v>
      </c>
      <c r="B128" t="s">
        <v>19</v>
      </c>
      <c r="C128" t="s">
        <v>24</v>
      </c>
      <c r="D128" s="2">
        <v>104</v>
      </c>
      <c r="E128" s="2">
        <v>118880</v>
      </c>
      <c r="F128" t="s">
        <v>394</v>
      </c>
      <c r="G128">
        <v>12</v>
      </c>
      <c r="H128">
        <v>12</v>
      </c>
      <c r="I128">
        <v>0</v>
      </c>
      <c r="J128">
        <v>0</v>
      </c>
      <c r="K128">
        <v>0</v>
      </c>
      <c r="L128" s="6">
        <f t="shared" si="9"/>
        <v>1</v>
      </c>
      <c r="M128">
        <v>166</v>
      </c>
      <c r="N128">
        <v>27</v>
      </c>
      <c r="O128">
        <v>28</v>
      </c>
      <c r="P128">
        <v>0</v>
      </c>
      <c r="Q128">
        <v>111</v>
      </c>
      <c r="R128">
        <v>0</v>
      </c>
      <c r="S128" s="9">
        <v>0</v>
      </c>
      <c r="T128" s="9">
        <v>0</v>
      </c>
      <c r="U128" s="3">
        <f t="shared" si="21"/>
        <v>1</v>
      </c>
      <c r="V128" s="3">
        <f t="shared" si="22"/>
        <v>1</v>
      </c>
    </row>
    <row r="129" spans="1:22" x14ac:dyDescent="0.25">
      <c r="A129" s="2">
        <v>2017</v>
      </c>
      <c r="B129" t="s">
        <v>19</v>
      </c>
      <c r="C129" t="s">
        <v>24</v>
      </c>
      <c r="D129" s="2">
        <v>132</v>
      </c>
      <c r="E129" s="2">
        <v>121352</v>
      </c>
      <c r="F129" t="s">
        <v>395</v>
      </c>
      <c r="G129">
        <v>7</v>
      </c>
      <c r="H129">
        <v>7</v>
      </c>
      <c r="I129">
        <v>0</v>
      </c>
      <c r="J129">
        <v>0</v>
      </c>
      <c r="K129">
        <v>0</v>
      </c>
      <c r="L129" s="6">
        <f t="shared" si="9"/>
        <v>1</v>
      </c>
      <c r="M129">
        <v>207</v>
      </c>
      <c r="N129">
        <v>48</v>
      </c>
      <c r="O129">
        <v>22</v>
      </c>
      <c r="P129">
        <v>0</v>
      </c>
      <c r="Q129">
        <v>136</v>
      </c>
      <c r="R129">
        <v>1</v>
      </c>
      <c r="S129" s="9">
        <v>0</v>
      </c>
      <c r="T129" s="9">
        <v>0</v>
      </c>
      <c r="U129" s="3">
        <f t="shared" si="21"/>
        <v>0.99516908212560384</v>
      </c>
      <c r="V129" s="3">
        <f t="shared" si="22"/>
        <v>0.99532710280373837</v>
      </c>
    </row>
    <row r="130" spans="1:22" x14ac:dyDescent="0.25">
      <c r="A130" s="2">
        <v>2017</v>
      </c>
      <c r="B130" t="s">
        <v>19</v>
      </c>
      <c r="C130" t="s">
        <v>24</v>
      </c>
      <c r="D130" s="2">
        <v>84</v>
      </c>
      <c r="E130" s="2">
        <v>9529</v>
      </c>
      <c r="F130" t="s">
        <v>396</v>
      </c>
      <c r="G130">
        <v>8</v>
      </c>
      <c r="H130">
        <v>8</v>
      </c>
      <c r="I130">
        <v>0</v>
      </c>
      <c r="J130">
        <v>0</v>
      </c>
      <c r="K130">
        <v>0</v>
      </c>
      <c r="L130" s="6">
        <f t="shared" ref="L130:L193" si="23">IF(G130=0,0,SUM(H130:J130)/G130)</f>
        <v>1</v>
      </c>
      <c r="M130">
        <v>124</v>
      </c>
      <c r="N130">
        <v>39</v>
      </c>
      <c r="O130">
        <v>16</v>
      </c>
      <c r="P130">
        <v>0</v>
      </c>
      <c r="Q130">
        <v>67</v>
      </c>
      <c r="R130">
        <v>2</v>
      </c>
      <c r="S130" s="9">
        <v>0</v>
      </c>
      <c r="T130" s="9">
        <v>0</v>
      </c>
      <c r="U130" s="3">
        <f t="shared" si="21"/>
        <v>0.9838709677419355</v>
      </c>
      <c r="V130" s="3">
        <f t="shared" si="22"/>
        <v>0.98484848484848486</v>
      </c>
    </row>
    <row r="131" spans="1:22" x14ac:dyDescent="0.25">
      <c r="A131" s="2">
        <v>2017</v>
      </c>
      <c r="B131" t="s">
        <v>19</v>
      </c>
      <c r="C131" t="s">
        <v>24</v>
      </c>
      <c r="D131" s="2">
        <v>113</v>
      </c>
      <c r="E131" s="2">
        <v>119349</v>
      </c>
      <c r="F131" t="s">
        <v>397</v>
      </c>
      <c r="G131">
        <v>13</v>
      </c>
      <c r="H131">
        <v>12</v>
      </c>
      <c r="I131">
        <v>0</v>
      </c>
      <c r="J131">
        <v>0</v>
      </c>
      <c r="K131">
        <v>1</v>
      </c>
      <c r="L131" s="6">
        <f t="shared" si="23"/>
        <v>0.92307692307692313</v>
      </c>
      <c r="M131">
        <v>212</v>
      </c>
      <c r="N131">
        <v>54</v>
      </c>
      <c r="O131">
        <v>44</v>
      </c>
      <c r="P131">
        <v>0</v>
      </c>
      <c r="Q131">
        <v>114</v>
      </c>
      <c r="R131">
        <v>0</v>
      </c>
      <c r="S131" s="9">
        <v>0</v>
      </c>
      <c r="T131" s="9">
        <v>0</v>
      </c>
      <c r="U131" s="3">
        <f t="shared" si="21"/>
        <v>1</v>
      </c>
      <c r="V131" s="3">
        <f t="shared" si="22"/>
        <v>0.99555555555555553</v>
      </c>
    </row>
    <row r="132" spans="1:22" x14ac:dyDescent="0.25">
      <c r="A132" s="2">
        <v>2017</v>
      </c>
      <c r="B132" t="s">
        <v>19</v>
      </c>
      <c r="C132" t="s">
        <v>24</v>
      </c>
      <c r="D132" s="2">
        <v>135</v>
      </c>
      <c r="E132" s="2">
        <v>121924</v>
      </c>
      <c r="F132" t="s">
        <v>398</v>
      </c>
      <c r="G132">
        <v>8</v>
      </c>
      <c r="H132">
        <v>8</v>
      </c>
      <c r="I132">
        <v>0</v>
      </c>
      <c r="J132">
        <v>0</v>
      </c>
      <c r="K132">
        <v>0</v>
      </c>
      <c r="L132" s="6">
        <f t="shared" si="23"/>
        <v>1</v>
      </c>
      <c r="M132">
        <v>100</v>
      </c>
      <c r="N132">
        <v>36</v>
      </c>
      <c r="O132">
        <v>19</v>
      </c>
      <c r="P132">
        <v>0</v>
      </c>
      <c r="Q132">
        <v>45</v>
      </c>
      <c r="R132">
        <v>0</v>
      </c>
      <c r="S132" s="9">
        <v>0</v>
      </c>
      <c r="T132" s="9">
        <v>0</v>
      </c>
      <c r="U132" s="3">
        <f t="shared" si="21"/>
        <v>1</v>
      </c>
      <c r="V132" s="3">
        <f t="shared" si="22"/>
        <v>1</v>
      </c>
    </row>
    <row r="133" spans="1:22" x14ac:dyDescent="0.25">
      <c r="A133" s="2">
        <v>2017</v>
      </c>
      <c r="B133" t="s">
        <v>19</v>
      </c>
      <c r="C133" t="s">
        <v>24</v>
      </c>
      <c r="D133" s="2">
        <v>110</v>
      </c>
      <c r="E133" s="2">
        <v>118697</v>
      </c>
      <c r="F133" t="s">
        <v>399</v>
      </c>
      <c r="G133">
        <v>16</v>
      </c>
      <c r="H133">
        <v>16</v>
      </c>
      <c r="I133">
        <v>0</v>
      </c>
      <c r="J133">
        <v>0</v>
      </c>
      <c r="K133">
        <v>0</v>
      </c>
      <c r="L133" s="6">
        <f t="shared" si="23"/>
        <v>1</v>
      </c>
      <c r="M133">
        <v>146</v>
      </c>
      <c r="N133">
        <v>33</v>
      </c>
      <c r="O133">
        <v>14</v>
      </c>
      <c r="P133">
        <v>1</v>
      </c>
      <c r="Q133">
        <v>95</v>
      </c>
      <c r="R133">
        <v>3</v>
      </c>
      <c r="S133" s="9">
        <v>0</v>
      </c>
      <c r="T133" s="9">
        <v>0</v>
      </c>
      <c r="U133" s="3">
        <f t="shared" si="21"/>
        <v>0.9726027397260274</v>
      </c>
      <c r="V133" s="3">
        <f t="shared" si="22"/>
        <v>0.97530864197530864</v>
      </c>
    </row>
    <row r="134" spans="1:22" x14ac:dyDescent="0.25">
      <c r="A134" s="2">
        <v>2017</v>
      </c>
      <c r="B134" t="s">
        <v>19</v>
      </c>
      <c r="C134" t="s">
        <v>24</v>
      </c>
      <c r="D134" s="2">
        <v>85</v>
      </c>
      <c r="E134" s="2">
        <v>10528</v>
      </c>
      <c r="F134" t="s">
        <v>400</v>
      </c>
      <c r="G134">
        <v>3</v>
      </c>
      <c r="H134">
        <v>3</v>
      </c>
      <c r="I134">
        <v>0</v>
      </c>
      <c r="J134">
        <v>0</v>
      </c>
      <c r="K134">
        <v>0</v>
      </c>
      <c r="L134" s="6">
        <f t="shared" si="23"/>
        <v>1</v>
      </c>
      <c r="M134">
        <v>51</v>
      </c>
      <c r="N134">
        <v>11</v>
      </c>
      <c r="O134">
        <v>11</v>
      </c>
      <c r="P134">
        <v>0</v>
      </c>
      <c r="Q134">
        <v>29</v>
      </c>
      <c r="R134">
        <v>0</v>
      </c>
      <c r="S134" s="9">
        <v>0</v>
      </c>
      <c r="T134" s="9">
        <v>0</v>
      </c>
      <c r="U134" s="3">
        <f t="shared" si="21"/>
        <v>1</v>
      </c>
      <c r="V134" s="3">
        <f t="shared" si="22"/>
        <v>1</v>
      </c>
    </row>
    <row r="135" spans="1:22" x14ac:dyDescent="0.25">
      <c r="A135" s="2">
        <v>2017</v>
      </c>
      <c r="B135" t="s">
        <v>19</v>
      </c>
      <c r="C135" t="s">
        <v>24</v>
      </c>
      <c r="D135" s="2">
        <v>93</v>
      </c>
      <c r="E135" s="2">
        <v>118657</v>
      </c>
      <c r="F135" t="s">
        <v>401</v>
      </c>
      <c r="G135">
        <v>8</v>
      </c>
      <c r="H135">
        <v>8</v>
      </c>
      <c r="I135">
        <v>0</v>
      </c>
      <c r="J135">
        <v>0</v>
      </c>
      <c r="K135">
        <v>0</v>
      </c>
      <c r="L135" s="6">
        <f t="shared" si="23"/>
        <v>1</v>
      </c>
      <c r="M135">
        <v>129</v>
      </c>
      <c r="N135">
        <v>34</v>
      </c>
      <c r="O135">
        <v>7</v>
      </c>
      <c r="P135">
        <v>0</v>
      </c>
      <c r="Q135">
        <v>88</v>
      </c>
      <c r="R135">
        <v>0</v>
      </c>
      <c r="S135" s="9">
        <v>0</v>
      </c>
      <c r="T135" s="9">
        <v>0</v>
      </c>
      <c r="U135" s="3">
        <f t="shared" si="21"/>
        <v>1</v>
      </c>
      <c r="V135" s="3">
        <f t="shared" si="22"/>
        <v>1</v>
      </c>
    </row>
    <row r="136" spans="1:22" x14ac:dyDescent="0.25">
      <c r="A136" s="2">
        <v>2017</v>
      </c>
      <c r="B136" t="s">
        <v>19</v>
      </c>
      <c r="C136" t="s">
        <v>24</v>
      </c>
      <c r="D136" s="2">
        <v>36</v>
      </c>
      <c r="E136" s="2">
        <v>118472</v>
      </c>
      <c r="F136" t="s">
        <v>503</v>
      </c>
      <c r="G136">
        <v>11</v>
      </c>
      <c r="H136">
        <v>11</v>
      </c>
      <c r="I136">
        <v>0</v>
      </c>
      <c r="J136">
        <v>0</v>
      </c>
      <c r="K136">
        <v>0</v>
      </c>
      <c r="L136" s="6">
        <f t="shared" si="23"/>
        <v>1</v>
      </c>
      <c r="M136">
        <v>138</v>
      </c>
      <c r="N136">
        <v>40</v>
      </c>
      <c r="O136">
        <v>13</v>
      </c>
      <c r="P136">
        <v>0</v>
      </c>
      <c r="Q136">
        <v>85</v>
      </c>
      <c r="R136">
        <v>0</v>
      </c>
      <c r="S136" s="9">
        <v>0</v>
      </c>
      <c r="T136" s="9">
        <v>0</v>
      </c>
      <c r="U136" s="3">
        <f t="shared" si="21"/>
        <v>1</v>
      </c>
      <c r="V136" s="3">
        <f t="shared" si="22"/>
        <v>1</v>
      </c>
    </row>
    <row r="137" spans="1:22" x14ac:dyDescent="0.25">
      <c r="A137" s="2">
        <v>2017</v>
      </c>
      <c r="B137" t="s">
        <v>19</v>
      </c>
      <c r="C137" t="s">
        <v>24</v>
      </c>
      <c r="D137" s="2">
        <v>102</v>
      </c>
      <c r="E137" s="2">
        <v>119090</v>
      </c>
      <c r="F137" t="s">
        <v>402</v>
      </c>
      <c r="G137">
        <v>9</v>
      </c>
      <c r="H137">
        <v>9</v>
      </c>
      <c r="I137">
        <v>0</v>
      </c>
      <c r="J137">
        <v>0</v>
      </c>
      <c r="K137">
        <v>0</v>
      </c>
      <c r="L137" s="6">
        <f t="shared" si="23"/>
        <v>1</v>
      </c>
      <c r="M137">
        <v>143</v>
      </c>
      <c r="N137">
        <v>32</v>
      </c>
      <c r="O137">
        <v>19</v>
      </c>
      <c r="P137">
        <v>0</v>
      </c>
      <c r="Q137">
        <v>92</v>
      </c>
      <c r="R137">
        <v>0</v>
      </c>
      <c r="S137" s="9">
        <v>0</v>
      </c>
      <c r="T137" s="9">
        <v>0</v>
      </c>
      <c r="U137" s="3">
        <f t="shared" si="21"/>
        <v>1</v>
      </c>
      <c r="V137" s="3">
        <f t="shared" si="22"/>
        <v>1</v>
      </c>
    </row>
    <row r="138" spans="1:22" x14ac:dyDescent="0.25">
      <c r="A138" s="2">
        <v>2017</v>
      </c>
      <c r="B138" t="s">
        <v>19</v>
      </c>
      <c r="C138" t="s">
        <v>24</v>
      </c>
      <c r="D138" s="2">
        <v>87</v>
      </c>
      <c r="E138" s="2">
        <v>10773</v>
      </c>
      <c r="F138" t="s">
        <v>403</v>
      </c>
      <c r="G138">
        <v>6</v>
      </c>
      <c r="H138">
        <v>6</v>
      </c>
      <c r="I138">
        <v>0</v>
      </c>
      <c r="J138">
        <v>0</v>
      </c>
      <c r="K138">
        <v>0</v>
      </c>
      <c r="L138" s="6">
        <f t="shared" si="23"/>
        <v>1</v>
      </c>
      <c r="M138">
        <v>72</v>
      </c>
      <c r="N138">
        <v>18</v>
      </c>
      <c r="O138">
        <v>17</v>
      </c>
      <c r="P138">
        <v>0</v>
      </c>
      <c r="Q138">
        <v>37</v>
      </c>
      <c r="R138">
        <v>0</v>
      </c>
      <c r="S138" s="9">
        <v>0</v>
      </c>
      <c r="T138" s="9">
        <v>0</v>
      </c>
      <c r="U138" s="3">
        <f t="shared" si="21"/>
        <v>1</v>
      </c>
      <c r="V138" s="3">
        <f t="shared" si="22"/>
        <v>1</v>
      </c>
    </row>
    <row r="139" spans="1:22" x14ac:dyDescent="0.25">
      <c r="A139" s="2">
        <v>2017</v>
      </c>
      <c r="B139" t="s">
        <v>19</v>
      </c>
      <c r="C139" t="s">
        <v>24</v>
      </c>
      <c r="D139" s="2">
        <v>24</v>
      </c>
      <c r="E139" s="2">
        <v>1674</v>
      </c>
      <c r="F139" t="s">
        <v>340</v>
      </c>
      <c r="G139">
        <v>1</v>
      </c>
      <c r="H139">
        <v>1</v>
      </c>
      <c r="I139">
        <v>0</v>
      </c>
      <c r="J139">
        <v>0</v>
      </c>
      <c r="K139">
        <v>0</v>
      </c>
      <c r="L139" s="6">
        <f t="shared" si="23"/>
        <v>1</v>
      </c>
      <c r="M139">
        <v>37</v>
      </c>
      <c r="N139">
        <v>9</v>
      </c>
      <c r="O139">
        <v>5</v>
      </c>
      <c r="P139">
        <v>0</v>
      </c>
      <c r="Q139">
        <v>23</v>
      </c>
      <c r="R139">
        <v>0</v>
      </c>
      <c r="S139" s="9">
        <v>0</v>
      </c>
      <c r="T139" s="9">
        <v>0</v>
      </c>
      <c r="U139" s="3">
        <f t="shared" si="21"/>
        <v>1</v>
      </c>
      <c r="V139" s="3">
        <f t="shared" si="22"/>
        <v>1</v>
      </c>
    </row>
    <row r="140" spans="1:22" x14ac:dyDescent="0.25">
      <c r="A140" s="2">
        <v>2017</v>
      </c>
      <c r="B140" t="s">
        <v>19</v>
      </c>
      <c r="C140" t="s">
        <v>24</v>
      </c>
      <c r="D140" s="2">
        <v>40</v>
      </c>
      <c r="E140" s="2">
        <v>6831</v>
      </c>
      <c r="F140" t="s">
        <v>28</v>
      </c>
      <c r="G140">
        <v>10</v>
      </c>
      <c r="H140">
        <v>10</v>
      </c>
      <c r="I140">
        <v>0</v>
      </c>
      <c r="J140">
        <v>0</v>
      </c>
      <c r="K140">
        <v>0</v>
      </c>
      <c r="L140" s="6">
        <f t="shared" si="23"/>
        <v>1</v>
      </c>
      <c r="M140">
        <v>260</v>
      </c>
      <c r="N140">
        <v>59</v>
      </c>
      <c r="O140">
        <v>15</v>
      </c>
      <c r="P140">
        <v>0</v>
      </c>
      <c r="Q140">
        <v>185</v>
      </c>
      <c r="R140">
        <v>1</v>
      </c>
      <c r="S140" s="9">
        <v>0</v>
      </c>
      <c r="T140" s="9">
        <v>0</v>
      </c>
      <c r="U140" s="3">
        <f t="shared" ref="U140:U148" si="24">IF(M140=0,0,((N140+O140+Q140+S140+T140)/M140))</f>
        <v>0.99615384615384617</v>
      </c>
      <c r="V140" s="3">
        <f t="shared" si="22"/>
        <v>0.99629629629629635</v>
      </c>
    </row>
    <row r="141" spans="1:22" x14ac:dyDescent="0.25">
      <c r="A141" s="2">
        <v>2017</v>
      </c>
      <c r="B141" t="s">
        <v>19</v>
      </c>
      <c r="C141" t="s">
        <v>24</v>
      </c>
      <c r="D141" s="2">
        <v>111</v>
      </c>
      <c r="E141" s="2">
        <v>118696</v>
      </c>
      <c r="F141" t="s">
        <v>404</v>
      </c>
      <c r="G141">
        <v>10</v>
      </c>
      <c r="H141">
        <v>10</v>
      </c>
      <c r="I141">
        <v>0</v>
      </c>
      <c r="J141">
        <v>0</v>
      </c>
      <c r="K141">
        <v>0</v>
      </c>
      <c r="L141" s="6">
        <f t="shared" si="23"/>
        <v>1</v>
      </c>
      <c r="M141">
        <v>136</v>
      </c>
      <c r="N141">
        <v>27</v>
      </c>
      <c r="O141">
        <v>19</v>
      </c>
      <c r="P141">
        <v>0</v>
      </c>
      <c r="Q141">
        <v>90</v>
      </c>
      <c r="R141">
        <v>0</v>
      </c>
      <c r="S141" s="9">
        <v>0</v>
      </c>
      <c r="T141" s="9">
        <v>0</v>
      </c>
      <c r="U141" s="3">
        <f t="shared" si="24"/>
        <v>1</v>
      </c>
      <c r="V141" s="3">
        <f t="shared" si="22"/>
        <v>1</v>
      </c>
    </row>
    <row r="142" spans="1:22" x14ac:dyDescent="0.25">
      <c r="A142" s="2">
        <v>2017</v>
      </c>
      <c r="B142" t="s">
        <v>19</v>
      </c>
      <c r="C142" t="s">
        <v>24</v>
      </c>
      <c r="D142" s="2">
        <v>139</v>
      </c>
      <c r="E142" s="2">
        <v>122085</v>
      </c>
      <c r="F142" t="s">
        <v>405</v>
      </c>
      <c r="G142">
        <v>13</v>
      </c>
      <c r="H142">
        <v>13</v>
      </c>
      <c r="I142">
        <v>0</v>
      </c>
      <c r="J142">
        <v>0</v>
      </c>
      <c r="K142">
        <v>0</v>
      </c>
      <c r="L142" s="6">
        <f t="shared" si="23"/>
        <v>1</v>
      </c>
      <c r="M142">
        <v>124</v>
      </c>
      <c r="N142">
        <v>36</v>
      </c>
      <c r="O142">
        <v>24</v>
      </c>
      <c r="P142">
        <v>0</v>
      </c>
      <c r="Q142">
        <v>64</v>
      </c>
      <c r="R142">
        <v>0</v>
      </c>
      <c r="S142" s="9">
        <v>0</v>
      </c>
      <c r="T142" s="9">
        <v>0</v>
      </c>
      <c r="U142" s="3">
        <f t="shared" si="24"/>
        <v>1</v>
      </c>
      <c r="V142" s="3">
        <f t="shared" si="22"/>
        <v>1</v>
      </c>
    </row>
    <row r="143" spans="1:22" x14ac:dyDescent="0.25">
      <c r="A143" s="2">
        <v>2017</v>
      </c>
      <c r="B143" t="s">
        <v>19</v>
      </c>
      <c r="C143" t="s">
        <v>24</v>
      </c>
      <c r="D143" s="2">
        <v>134</v>
      </c>
      <c r="E143" s="2">
        <v>4968</v>
      </c>
      <c r="F143" t="s">
        <v>29</v>
      </c>
      <c r="G143">
        <v>6</v>
      </c>
      <c r="H143">
        <v>6</v>
      </c>
      <c r="I143">
        <v>0</v>
      </c>
      <c r="J143">
        <v>0</v>
      </c>
      <c r="K143">
        <v>0</v>
      </c>
      <c r="L143" s="6">
        <f t="shared" si="23"/>
        <v>1</v>
      </c>
      <c r="M143">
        <v>169</v>
      </c>
      <c r="N143">
        <v>44</v>
      </c>
      <c r="O143">
        <v>18</v>
      </c>
      <c r="P143">
        <v>0</v>
      </c>
      <c r="Q143">
        <v>107</v>
      </c>
      <c r="R143">
        <v>0</v>
      </c>
      <c r="S143" s="9">
        <v>0</v>
      </c>
      <c r="T143" s="9">
        <v>0</v>
      </c>
      <c r="U143" s="3">
        <f t="shared" si="24"/>
        <v>1</v>
      </c>
      <c r="V143" s="3">
        <f t="shared" si="22"/>
        <v>1</v>
      </c>
    </row>
    <row r="144" spans="1:22" x14ac:dyDescent="0.25">
      <c r="A144" s="2">
        <v>2017</v>
      </c>
      <c r="B144" t="s">
        <v>19</v>
      </c>
      <c r="C144" t="s">
        <v>24</v>
      </c>
      <c r="D144" s="2">
        <v>131</v>
      </c>
      <c r="E144" s="2">
        <v>121355</v>
      </c>
      <c r="F144" t="s">
        <v>504</v>
      </c>
      <c r="G144">
        <v>1</v>
      </c>
      <c r="H144">
        <v>1</v>
      </c>
      <c r="I144">
        <v>0</v>
      </c>
      <c r="J144">
        <v>0</v>
      </c>
      <c r="K144">
        <v>0</v>
      </c>
      <c r="L144" s="6">
        <f t="shared" si="23"/>
        <v>1</v>
      </c>
      <c r="M144">
        <v>91</v>
      </c>
      <c r="N144">
        <v>22</v>
      </c>
      <c r="O144">
        <v>33</v>
      </c>
      <c r="P144">
        <v>0</v>
      </c>
      <c r="Q144">
        <v>36</v>
      </c>
      <c r="R144">
        <v>0</v>
      </c>
      <c r="S144" s="9">
        <v>0</v>
      </c>
      <c r="T144" s="9">
        <v>0</v>
      </c>
      <c r="U144" s="3">
        <f t="shared" si="24"/>
        <v>1</v>
      </c>
      <c r="V144" s="3">
        <f t="shared" si="22"/>
        <v>1</v>
      </c>
    </row>
    <row r="145" spans="1:22" x14ac:dyDescent="0.25">
      <c r="A145" s="2">
        <v>2017</v>
      </c>
      <c r="B145" t="s">
        <v>19</v>
      </c>
      <c r="C145" t="s">
        <v>24</v>
      </c>
      <c r="D145" s="2">
        <v>138</v>
      </c>
      <c r="E145" s="2">
        <v>122073</v>
      </c>
      <c r="F145" t="s">
        <v>406</v>
      </c>
      <c r="G145">
        <v>9</v>
      </c>
      <c r="H145">
        <v>9</v>
      </c>
      <c r="I145">
        <v>0</v>
      </c>
      <c r="J145">
        <v>0</v>
      </c>
      <c r="K145">
        <v>0</v>
      </c>
      <c r="L145" s="6">
        <f t="shared" si="23"/>
        <v>1</v>
      </c>
      <c r="M145">
        <v>183</v>
      </c>
      <c r="N145">
        <v>42</v>
      </c>
      <c r="O145">
        <v>28</v>
      </c>
      <c r="P145">
        <v>0</v>
      </c>
      <c r="Q145">
        <v>112</v>
      </c>
      <c r="R145">
        <v>1</v>
      </c>
      <c r="S145" s="9">
        <v>0</v>
      </c>
      <c r="T145" s="9">
        <v>0</v>
      </c>
      <c r="U145" s="3">
        <f t="shared" si="24"/>
        <v>0.99453551912568305</v>
      </c>
      <c r="V145" s="3">
        <f t="shared" si="22"/>
        <v>0.99479166666666663</v>
      </c>
    </row>
    <row r="146" spans="1:22" x14ac:dyDescent="0.25">
      <c r="A146" s="2">
        <v>2017</v>
      </c>
      <c r="B146" t="s">
        <v>19</v>
      </c>
      <c r="C146" t="s">
        <v>24</v>
      </c>
      <c r="D146" s="2">
        <v>39</v>
      </c>
      <c r="E146" s="2">
        <v>6832</v>
      </c>
      <c r="F146" t="s">
        <v>407</v>
      </c>
      <c r="G146">
        <v>5</v>
      </c>
      <c r="H146">
        <v>5</v>
      </c>
      <c r="I146">
        <v>0</v>
      </c>
      <c r="J146">
        <v>0</v>
      </c>
      <c r="K146">
        <v>0</v>
      </c>
      <c r="L146" s="6">
        <f t="shared" si="23"/>
        <v>1</v>
      </c>
      <c r="M146">
        <v>178</v>
      </c>
      <c r="N146">
        <v>43</v>
      </c>
      <c r="O146">
        <v>21</v>
      </c>
      <c r="P146">
        <v>0</v>
      </c>
      <c r="Q146">
        <v>114</v>
      </c>
      <c r="R146">
        <v>0</v>
      </c>
      <c r="S146" s="9">
        <v>0</v>
      </c>
      <c r="T146" s="9">
        <v>0</v>
      </c>
      <c r="U146" s="3">
        <f t="shared" si="24"/>
        <v>1</v>
      </c>
      <c r="V146" s="3">
        <f t="shared" si="22"/>
        <v>1</v>
      </c>
    </row>
    <row r="147" spans="1:22" x14ac:dyDescent="0.25">
      <c r="A147" s="2">
        <v>2017</v>
      </c>
      <c r="B147" t="s">
        <v>19</v>
      </c>
      <c r="C147" t="s">
        <v>24</v>
      </c>
      <c r="D147" s="2">
        <v>78</v>
      </c>
      <c r="E147" s="2">
        <v>8720</v>
      </c>
      <c r="F147" t="s">
        <v>408</v>
      </c>
      <c r="G147">
        <v>11</v>
      </c>
      <c r="H147">
        <v>11</v>
      </c>
      <c r="I147">
        <v>0</v>
      </c>
      <c r="J147">
        <v>0</v>
      </c>
      <c r="K147">
        <v>0</v>
      </c>
      <c r="L147" s="6">
        <f t="shared" si="23"/>
        <v>1</v>
      </c>
      <c r="M147">
        <v>103</v>
      </c>
      <c r="N147">
        <v>27</v>
      </c>
      <c r="O147">
        <v>16</v>
      </c>
      <c r="P147">
        <v>0</v>
      </c>
      <c r="Q147">
        <v>59</v>
      </c>
      <c r="R147">
        <v>1</v>
      </c>
      <c r="S147" s="9">
        <v>0</v>
      </c>
      <c r="T147" s="9">
        <v>0</v>
      </c>
      <c r="U147" s="3">
        <f t="shared" si="24"/>
        <v>0.99029126213592233</v>
      </c>
      <c r="V147" s="3">
        <f t="shared" si="22"/>
        <v>0.99122807017543857</v>
      </c>
    </row>
    <row r="148" spans="1:22" x14ac:dyDescent="0.25">
      <c r="A148" s="2">
        <v>2017</v>
      </c>
      <c r="B148" t="s">
        <v>25</v>
      </c>
      <c r="C148" t="s">
        <v>22</v>
      </c>
      <c r="D148" s="2">
        <v>137</v>
      </c>
      <c r="E148" s="2">
        <v>5010</v>
      </c>
      <c r="F148" t="s">
        <v>27</v>
      </c>
      <c r="G148">
        <v>10</v>
      </c>
      <c r="H148">
        <v>9</v>
      </c>
      <c r="I148">
        <v>1</v>
      </c>
      <c r="J148">
        <v>0</v>
      </c>
      <c r="K148">
        <v>0</v>
      </c>
      <c r="L148" s="6">
        <f t="shared" si="23"/>
        <v>1</v>
      </c>
      <c r="M148">
        <v>246</v>
      </c>
      <c r="N148">
        <v>58</v>
      </c>
      <c r="O148" s="9">
        <v>0</v>
      </c>
      <c r="P148">
        <v>0</v>
      </c>
      <c r="Q148">
        <v>70</v>
      </c>
      <c r="R148">
        <v>6</v>
      </c>
      <c r="S148">
        <v>112</v>
      </c>
      <c r="T148">
        <v>0</v>
      </c>
      <c r="U148" s="3">
        <f t="shared" si="24"/>
        <v>0.97560975609756095</v>
      </c>
      <c r="V148" s="3">
        <f t="shared" ref="V148" si="25">(H148+I148+J148+N148+O148+Q148)/(G148+M148)</f>
        <v>0.5390625</v>
      </c>
    </row>
    <row r="149" spans="1:22" x14ac:dyDescent="0.25">
      <c r="A149" s="2">
        <v>2017</v>
      </c>
      <c r="B149" t="s">
        <v>25</v>
      </c>
      <c r="C149" t="s">
        <v>22</v>
      </c>
      <c r="D149" s="2">
        <v>29</v>
      </c>
      <c r="E149" s="2">
        <v>4489</v>
      </c>
      <c r="F149" t="s">
        <v>353</v>
      </c>
      <c r="G149">
        <v>16</v>
      </c>
      <c r="H149">
        <v>16</v>
      </c>
      <c r="I149">
        <v>0</v>
      </c>
      <c r="J149">
        <v>0</v>
      </c>
      <c r="K149">
        <v>0</v>
      </c>
      <c r="L149" s="6">
        <f t="shared" si="23"/>
        <v>1</v>
      </c>
      <c r="M149">
        <v>383</v>
      </c>
      <c r="N149">
        <v>93</v>
      </c>
      <c r="O149" s="9">
        <v>0</v>
      </c>
      <c r="P149">
        <v>1</v>
      </c>
      <c r="Q149">
        <v>145</v>
      </c>
      <c r="R149">
        <v>0</v>
      </c>
      <c r="S149">
        <v>139</v>
      </c>
      <c r="T149">
        <v>5</v>
      </c>
      <c r="U149" s="3">
        <f t="shared" ref="U149:U212" si="26">IF(M149=0,0,((N149+O149+Q149+S149+T149)/M149))</f>
        <v>0.99738903394255873</v>
      </c>
      <c r="V149" s="3">
        <f>(H149+I149+J149+N149+Q149+S149+T149)/(G149+M149)</f>
        <v>0.99749373433583954</v>
      </c>
    </row>
    <row r="150" spans="1:22" x14ac:dyDescent="0.25">
      <c r="A150" s="2">
        <v>2017</v>
      </c>
      <c r="B150" t="s">
        <v>25</v>
      </c>
      <c r="C150" t="s">
        <v>22</v>
      </c>
      <c r="D150" s="2">
        <v>58</v>
      </c>
      <c r="E150" s="2">
        <v>7621</v>
      </c>
      <c r="F150" t="s">
        <v>355</v>
      </c>
      <c r="G150">
        <v>44</v>
      </c>
      <c r="H150">
        <v>43</v>
      </c>
      <c r="I150">
        <v>0</v>
      </c>
      <c r="J150">
        <v>0</v>
      </c>
      <c r="K150">
        <v>1</v>
      </c>
      <c r="L150" s="6">
        <f t="shared" si="23"/>
        <v>0.97727272727272729</v>
      </c>
      <c r="M150">
        <v>492</v>
      </c>
      <c r="N150">
        <v>104</v>
      </c>
      <c r="O150" s="9">
        <v>0</v>
      </c>
      <c r="P150">
        <v>1</v>
      </c>
      <c r="Q150">
        <v>214</v>
      </c>
      <c r="R150">
        <v>2</v>
      </c>
      <c r="S150">
        <v>160</v>
      </c>
      <c r="T150">
        <v>11</v>
      </c>
      <c r="U150" s="3">
        <f t="shared" si="26"/>
        <v>0.99390243902439024</v>
      </c>
      <c r="V150" s="3">
        <f t="shared" ref="V150:V178" si="27">(H150+I150+J150+N150+Q150+S150+T150)/(G150+M150)</f>
        <v>0.9925373134328358</v>
      </c>
    </row>
    <row r="151" spans="1:22" x14ac:dyDescent="0.25">
      <c r="A151" s="2">
        <v>2017</v>
      </c>
      <c r="B151" t="s">
        <v>25</v>
      </c>
      <c r="C151" t="s">
        <v>22</v>
      </c>
      <c r="D151" s="2">
        <v>97</v>
      </c>
      <c r="E151" s="2">
        <v>119020</v>
      </c>
      <c r="F151" t="s">
        <v>409</v>
      </c>
      <c r="G151">
        <v>1</v>
      </c>
      <c r="H151">
        <v>1</v>
      </c>
      <c r="I151">
        <v>0</v>
      </c>
      <c r="J151">
        <v>0</v>
      </c>
      <c r="K151">
        <v>0</v>
      </c>
      <c r="L151" s="6">
        <f t="shared" si="23"/>
        <v>1</v>
      </c>
      <c r="M151">
        <v>75</v>
      </c>
      <c r="N151">
        <v>5</v>
      </c>
      <c r="O151" s="9">
        <v>0</v>
      </c>
      <c r="P151">
        <v>0</v>
      </c>
      <c r="Q151">
        <v>30</v>
      </c>
      <c r="R151">
        <v>0</v>
      </c>
      <c r="S151">
        <v>40</v>
      </c>
      <c r="T151">
        <v>0</v>
      </c>
      <c r="U151" s="3">
        <f t="shared" si="26"/>
        <v>1</v>
      </c>
      <c r="V151" s="3">
        <f t="shared" si="27"/>
        <v>1</v>
      </c>
    </row>
    <row r="152" spans="1:22" x14ac:dyDescent="0.25">
      <c r="A152" s="2">
        <v>2017</v>
      </c>
      <c r="B152" t="s">
        <v>25</v>
      </c>
      <c r="C152" t="s">
        <v>22</v>
      </c>
      <c r="D152" s="2">
        <v>51</v>
      </c>
      <c r="E152" s="2">
        <v>7616</v>
      </c>
      <c r="F152" t="s">
        <v>410</v>
      </c>
      <c r="G152">
        <v>1</v>
      </c>
      <c r="H152">
        <v>1</v>
      </c>
      <c r="I152">
        <v>0</v>
      </c>
      <c r="J152">
        <v>0</v>
      </c>
      <c r="K152">
        <v>0</v>
      </c>
      <c r="L152" s="6">
        <f t="shared" si="23"/>
        <v>1</v>
      </c>
      <c r="M152">
        <v>27</v>
      </c>
      <c r="N152">
        <v>2</v>
      </c>
      <c r="O152" s="9">
        <v>0</v>
      </c>
      <c r="P152">
        <v>0</v>
      </c>
      <c r="Q152">
        <v>16</v>
      </c>
      <c r="R152">
        <v>0</v>
      </c>
      <c r="S152">
        <v>9</v>
      </c>
      <c r="T152">
        <v>0</v>
      </c>
      <c r="U152" s="3">
        <f t="shared" si="26"/>
        <v>1</v>
      </c>
      <c r="V152" s="3">
        <f t="shared" si="27"/>
        <v>1</v>
      </c>
    </row>
    <row r="153" spans="1:22" x14ac:dyDescent="0.25">
      <c r="A153" s="2">
        <v>2017</v>
      </c>
      <c r="B153" t="s">
        <v>25</v>
      </c>
      <c r="C153" t="s">
        <v>22</v>
      </c>
      <c r="D153" s="2">
        <v>60</v>
      </c>
      <c r="E153" s="2">
        <v>7787</v>
      </c>
      <c r="F153" t="s">
        <v>357</v>
      </c>
      <c r="G153">
        <v>0</v>
      </c>
      <c r="H153">
        <v>0</v>
      </c>
      <c r="I153">
        <v>0</v>
      </c>
      <c r="J153">
        <v>0</v>
      </c>
      <c r="K153">
        <v>0</v>
      </c>
      <c r="L153" s="6">
        <f t="shared" si="23"/>
        <v>0</v>
      </c>
      <c r="M153">
        <v>71</v>
      </c>
      <c r="N153">
        <v>10</v>
      </c>
      <c r="O153" s="9">
        <v>0</v>
      </c>
      <c r="P153">
        <v>0</v>
      </c>
      <c r="Q153">
        <v>52</v>
      </c>
      <c r="R153">
        <v>0</v>
      </c>
      <c r="S153">
        <v>8</v>
      </c>
      <c r="T153">
        <v>1</v>
      </c>
      <c r="U153" s="3">
        <f t="shared" si="26"/>
        <v>1</v>
      </c>
      <c r="V153" s="3">
        <f t="shared" si="27"/>
        <v>1</v>
      </c>
    </row>
    <row r="154" spans="1:22" x14ac:dyDescent="0.25">
      <c r="A154" s="2">
        <v>2017</v>
      </c>
      <c r="B154" t="s">
        <v>25</v>
      </c>
      <c r="C154" t="s">
        <v>22</v>
      </c>
      <c r="D154" s="2">
        <v>23</v>
      </c>
      <c r="E154" s="2">
        <v>5832</v>
      </c>
      <c r="F154" t="s">
        <v>358</v>
      </c>
      <c r="G154">
        <v>14</v>
      </c>
      <c r="H154">
        <v>13</v>
      </c>
      <c r="I154">
        <v>1</v>
      </c>
      <c r="J154">
        <v>0</v>
      </c>
      <c r="K154">
        <v>0</v>
      </c>
      <c r="L154" s="6">
        <f t="shared" si="23"/>
        <v>1</v>
      </c>
      <c r="M154">
        <v>262</v>
      </c>
      <c r="N154">
        <v>27</v>
      </c>
      <c r="O154" s="9">
        <v>0</v>
      </c>
      <c r="P154">
        <v>0</v>
      </c>
      <c r="Q154">
        <v>97</v>
      </c>
      <c r="R154">
        <v>2</v>
      </c>
      <c r="S154">
        <v>131</v>
      </c>
      <c r="T154">
        <v>5</v>
      </c>
      <c r="U154" s="3">
        <f t="shared" si="26"/>
        <v>0.99236641221374045</v>
      </c>
      <c r="V154" s="3">
        <f t="shared" si="27"/>
        <v>0.99275362318840576</v>
      </c>
    </row>
    <row r="155" spans="1:22" x14ac:dyDescent="0.25">
      <c r="A155" s="2">
        <v>2017</v>
      </c>
      <c r="B155" t="s">
        <v>25</v>
      </c>
      <c r="C155" t="s">
        <v>22</v>
      </c>
      <c r="D155" s="2">
        <v>77</v>
      </c>
      <c r="E155" s="2">
        <v>9967</v>
      </c>
      <c r="F155" t="s">
        <v>359</v>
      </c>
      <c r="G155">
        <v>34</v>
      </c>
      <c r="H155">
        <v>32</v>
      </c>
      <c r="I155">
        <v>2</v>
      </c>
      <c r="J155">
        <v>0</v>
      </c>
      <c r="K155">
        <v>0</v>
      </c>
      <c r="L155" s="6">
        <f t="shared" si="23"/>
        <v>1</v>
      </c>
      <c r="M155">
        <v>377</v>
      </c>
      <c r="N155">
        <v>66</v>
      </c>
      <c r="O155" s="9">
        <v>0</v>
      </c>
      <c r="P155">
        <v>0</v>
      </c>
      <c r="Q155">
        <v>152</v>
      </c>
      <c r="R155">
        <v>2</v>
      </c>
      <c r="S155">
        <v>154</v>
      </c>
      <c r="T155">
        <v>3</v>
      </c>
      <c r="U155" s="3">
        <f t="shared" si="26"/>
        <v>0.99469496021220161</v>
      </c>
      <c r="V155" s="3">
        <f t="shared" si="27"/>
        <v>0.99513381995133821</v>
      </c>
    </row>
    <row r="156" spans="1:22" x14ac:dyDescent="0.25">
      <c r="A156" s="2">
        <v>2017</v>
      </c>
      <c r="B156" t="s">
        <v>25</v>
      </c>
      <c r="C156" t="s">
        <v>22</v>
      </c>
      <c r="D156" s="2">
        <v>72</v>
      </c>
      <c r="E156" s="2">
        <v>2531</v>
      </c>
      <c r="F156" t="s">
        <v>411</v>
      </c>
      <c r="G156">
        <v>5</v>
      </c>
      <c r="H156">
        <v>4</v>
      </c>
      <c r="I156">
        <v>1</v>
      </c>
      <c r="J156">
        <v>0</v>
      </c>
      <c r="K156">
        <v>0</v>
      </c>
      <c r="L156" s="6">
        <f t="shared" si="23"/>
        <v>1</v>
      </c>
      <c r="M156">
        <v>51</v>
      </c>
      <c r="N156">
        <v>3</v>
      </c>
      <c r="O156" s="9">
        <v>0</v>
      </c>
      <c r="P156">
        <v>0</v>
      </c>
      <c r="Q156">
        <v>23</v>
      </c>
      <c r="R156">
        <v>0</v>
      </c>
      <c r="S156">
        <v>23</v>
      </c>
      <c r="T156">
        <v>2</v>
      </c>
      <c r="U156" s="3">
        <f t="shared" si="26"/>
        <v>1</v>
      </c>
      <c r="V156" s="3">
        <f t="shared" si="27"/>
        <v>1</v>
      </c>
    </row>
    <row r="157" spans="1:22" x14ac:dyDescent="0.25">
      <c r="A157" s="2">
        <v>2017</v>
      </c>
      <c r="B157" t="s">
        <v>25</v>
      </c>
      <c r="C157" t="s">
        <v>22</v>
      </c>
      <c r="D157" s="2">
        <v>47</v>
      </c>
      <c r="E157" s="2">
        <v>7465</v>
      </c>
      <c r="F157" t="s">
        <v>412</v>
      </c>
      <c r="G157">
        <v>3</v>
      </c>
      <c r="H157">
        <v>3</v>
      </c>
      <c r="I157">
        <v>0</v>
      </c>
      <c r="J157">
        <v>0</v>
      </c>
      <c r="K157">
        <v>0</v>
      </c>
      <c r="L157" s="6">
        <f t="shared" si="23"/>
        <v>1</v>
      </c>
      <c r="M157">
        <v>105</v>
      </c>
      <c r="N157">
        <v>14</v>
      </c>
      <c r="O157" s="9">
        <v>0</v>
      </c>
      <c r="P157">
        <v>0</v>
      </c>
      <c r="Q157">
        <v>55</v>
      </c>
      <c r="R157">
        <v>0</v>
      </c>
      <c r="S157">
        <v>35</v>
      </c>
      <c r="T157">
        <v>1</v>
      </c>
      <c r="U157" s="3">
        <f t="shared" si="26"/>
        <v>1</v>
      </c>
      <c r="V157" s="3">
        <f t="shared" si="27"/>
        <v>1</v>
      </c>
    </row>
    <row r="158" spans="1:22" x14ac:dyDescent="0.25">
      <c r="A158" s="2">
        <v>2017</v>
      </c>
      <c r="B158" t="s">
        <v>25</v>
      </c>
      <c r="C158" t="s">
        <v>22</v>
      </c>
      <c r="D158" s="2">
        <v>28</v>
      </c>
      <c r="E158" s="2">
        <v>4356</v>
      </c>
      <c r="F158" t="s">
        <v>360</v>
      </c>
      <c r="G158">
        <v>42</v>
      </c>
      <c r="H158">
        <v>41</v>
      </c>
      <c r="I158">
        <v>0</v>
      </c>
      <c r="J158">
        <v>0</v>
      </c>
      <c r="K158">
        <v>1</v>
      </c>
      <c r="L158" s="6">
        <f t="shared" si="23"/>
        <v>0.97619047619047616</v>
      </c>
      <c r="M158">
        <v>652</v>
      </c>
      <c r="N158">
        <v>136</v>
      </c>
      <c r="O158" s="9">
        <v>0</v>
      </c>
      <c r="P158">
        <v>2</v>
      </c>
      <c r="Q158">
        <v>234</v>
      </c>
      <c r="R158">
        <v>2</v>
      </c>
      <c r="S158">
        <v>276</v>
      </c>
      <c r="T158">
        <v>2</v>
      </c>
      <c r="U158" s="3">
        <f t="shared" si="26"/>
        <v>0.99386503067484666</v>
      </c>
      <c r="V158" s="3">
        <f t="shared" si="27"/>
        <v>0.99279538904899134</v>
      </c>
    </row>
    <row r="159" spans="1:22" x14ac:dyDescent="0.25">
      <c r="A159" s="2">
        <v>2017</v>
      </c>
      <c r="B159" t="s">
        <v>25</v>
      </c>
      <c r="C159" t="s">
        <v>22</v>
      </c>
      <c r="D159" s="2">
        <v>63</v>
      </c>
      <c r="E159" s="2">
        <v>7817</v>
      </c>
      <c r="F159" t="s">
        <v>361</v>
      </c>
      <c r="G159">
        <v>30</v>
      </c>
      <c r="H159">
        <v>29</v>
      </c>
      <c r="I159">
        <v>0</v>
      </c>
      <c r="J159">
        <v>0</v>
      </c>
      <c r="K159">
        <v>1</v>
      </c>
      <c r="L159" s="6">
        <f t="shared" si="23"/>
        <v>0.96666666666666667</v>
      </c>
      <c r="M159">
        <v>385</v>
      </c>
      <c r="N159">
        <v>80</v>
      </c>
      <c r="O159" s="9">
        <v>0</v>
      </c>
      <c r="P159">
        <v>1</v>
      </c>
      <c r="Q159">
        <v>149</v>
      </c>
      <c r="R159">
        <v>0</v>
      </c>
      <c r="S159">
        <v>151</v>
      </c>
      <c r="T159">
        <v>4</v>
      </c>
      <c r="U159" s="3">
        <f t="shared" si="26"/>
        <v>0.9974025974025974</v>
      </c>
      <c r="V159" s="3">
        <f t="shared" si="27"/>
        <v>0.99518072289156623</v>
      </c>
    </row>
    <row r="160" spans="1:22" x14ac:dyDescent="0.25">
      <c r="A160" s="2">
        <v>2017</v>
      </c>
      <c r="B160" t="s">
        <v>25</v>
      </c>
      <c r="C160" t="s">
        <v>22</v>
      </c>
      <c r="D160" s="2">
        <v>19</v>
      </c>
      <c r="E160" s="2">
        <v>5831</v>
      </c>
      <c r="F160" t="s">
        <v>362</v>
      </c>
      <c r="G160">
        <v>19</v>
      </c>
      <c r="H160">
        <v>18</v>
      </c>
      <c r="I160">
        <v>1</v>
      </c>
      <c r="J160">
        <v>0</v>
      </c>
      <c r="K160">
        <v>0</v>
      </c>
      <c r="L160" s="6">
        <f t="shared" si="23"/>
        <v>1</v>
      </c>
      <c r="M160">
        <v>294</v>
      </c>
      <c r="N160">
        <v>57</v>
      </c>
      <c r="O160" s="9">
        <v>0</v>
      </c>
      <c r="P160">
        <v>0</v>
      </c>
      <c r="Q160">
        <v>81</v>
      </c>
      <c r="R160">
        <v>10</v>
      </c>
      <c r="S160">
        <v>142</v>
      </c>
      <c r="T160">
        <v>4</v>
      </c>
      <c r="U160" s="3">
        <f t="shared" si="26"/>
        <v>0.96598639455782309</v>
      </c>
      <c r="V160" s="3">
        <f t="shared" si="27"/>
        <v>0.96805111821086265</v>
      </c>
    </row>
    <row r="161" spans="1:22" x14ac:dyDescent="0.25">
      <c r="A161" s="2">
        <v>2017</v>
      </c>
      <c r="B161" t="s">
        <v>25</v>
      </c>
      <c r="C161" t="s">
        <v>22</v>
      </c>
      <c r="D161" s="2">
        <v>147</v>
      </c>
      <c r="E161" s="2">
        <v>2834</v>
      </c>
      <c r="F161" t="s">
        <v>482</v>
      </c>
      <c r="G161">
        <v>3</v>
      </c>
      <c r="H161">
        <v>3</v>
      </c>
      <c r="I161">
        <v>0</v>
      </c>
      <c r="J161">
        <v>0</v>
      </c>
      <c r="K161">
        <v>0</v>
      </c>
      <c r="L161" s="6">
        <f t="shared" si="23"/>
        <v>1</v>
      </c>
      <c r="M161">
        <v>129</v>
      </c>
      <c r="N161">
        <v>39</v>
      </c>
      <c r="O161" s="9">
        <v>0</v>
      </c>
      <c r="P161">
        <v>0</v>
      </c>
      <c r="Q161">
        <v>52</v>
      </c>
      <c r="R161">
        <v>0</v>
      </c>
      <c r="S161">
        <v>37</v>
      </c>
      <c r="T161">
        <v>1</v>
      </c>
      <c r="U161" s="3">
        <f t="shared" si="26"/>
        <v>1</v>
      </c>
      <c r="V161" s="3">
        <f t="shared" si="27"/>
        <v>1</v>
      </c>
    </row>
    <row r="162" spans="1:22" x14ac:dyDescent="0.25">
      <c r="A162" s="2">
        <v>2017</v>
      </c>
      <c r="B162" t="s">
        <v>25</v>
      </c>
      <c r="C162" t="s">
        <v>22</v>
      </c>
      <c r="D162" s="2">
        <v>68</v>
      </c>
      <c r="E162" s="2">
        <v>7923</v>
      </c>
      <c r="F162" t="s">
        <v>363</v>
      </c>
      <c r="G162">
        <v>28</v>
      </c>
      <c r="H162">
        <v>26</v>
      </c>
      <c r="I162">
        <v>2</v>
      </c>
      <c r="J162">
        <v>0</v>
      </c>
      <c r="K162">
        <v>0</v>
      </c>
      <c r="L162" s="6">
        <f t="shared" si="23"/>
        <v>1</v>
      </c>
      <c r="M162">
        <v>396</v>
      </c>
      <c r="N162">
        <v>92</v>
      </c>
      <c r="O162" s="9">
        <v>0</v>
      </c>
      <c r="P162">
        <v>1</v>
      </c>
      <c r="Q162">
        <v>149</v>
      </c>
      <c r="R162">
        <v>4</v>
      </c>
      <c r="S162">
        <v>148</v>
      </c>
      <c r="T162">
        <v>2</v>
      </c>
      <c r="U162" s="3">
        <f t="shared" si="26"/>
        <v>0.98737373737373735</v>
      </c>
      <c r="V162" s="3">
        <f t="shared" si="27"/>
        <v>0.9882075471698113</v>
      </c>
    </row>
    <row r="163" spans="1:22" x14ac:dyDescent="0.25">
      <c r="A163" s="2">
        <v>2017</v>
      </c>
      <c r="B163" t="s">
        <v>25</v>
      </c>
      <c r="C163" t="s">
        <v>22</v>
      </c>
      <c r="D163" s="2">
        <v>144</v>
      </c>
      <c r="E163" s="2">
        <v>4536</v>
      </c>
      <c r="F163" t="s">
        <v>364</v>
      </c>
      <c r="G163">
        <v>13</v>
      </c>
      <c r="H163">
        <v>13</v>
      </c>
      <c r="I163">
        <v>0</v>
      </c>
      <c r="J163">
        <v>0</v>
      </c>
      <c r="K163">
        <v>0</v>
      </c>
      <c r="L163" s="6">
        <f t="shared" si="23"/>
        <v>1</v>
      </c>
      <c r="M163">
        <v>115</v>
      </c>
      <c r="N163">
        <v>26</v>
      </c>
      <c r="O163" s="9">
        <v>0</v>
      </c>
      <c r="P163">
        <v>1</v>
      </c>
      <c r="Q163">
        <v>67</v>
      </c>
      <c r="R163">
        <v>0</v>
      </c>
      <c r="S163">
        <v>18</v>
      </c>
      <c r="T163">
        <v>3</v>
      </c>
      <c r="U163" s="3">
        <f t="shared" si="26"/>
        <v>0.99130434782608701</v>
      </c>
      <c r="V163" s="3">
        <f t="shared" si="27"/>
        <v>0.9921875</v>
      </c>
    </row>
    <row r="164" spans="1:22" x14ac:dyDescent="0.25">
      <c r="A164" s="2">
        <v>2017</v>
      </c>
      <c r="B164" t="s">
        <v>25</v>
      </c>
      <c r="C164" t="s">
        <v>22</v>
      </c>
      <c r="D164" s="2">
        <v>1</v>
      </c>
      <c r="E164" s="2">
        <v>6777</v>
      </c>
      <c r="F164" t="s">
        <v>34</v>
      </c>
      <c r="G164">
        <v>0</v>
      </c>
      <c r="H164">
        <v>0</v>
      </c>
      <c r="I164">
        <v>0</v>
      </c>
      <c r="J164">
        <v>0</v>
      </c>
      <c r="K164">
        <v>0</v>
      </c>
      <c r="L164" s="6">
        <f t="shared" si="23"/>
        <v>0</v>
      </c>
      <c r="M164">
        <v>2</v>
      </c>
      <c r="N164">
        <v>1</v>
      </c>
      <c r="O164" s="9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 s="3">
        <f t="shared" si="26"/>
        <v>1</v>
      </c>
      <c r="V164" s="3">
        <f t="shared" si="27"/>
        <v>1</v>
      </c>
    </row>
    <row r="165" spans="1:22" x14ac:dyDescent="0.25">
      <c r="A165" s="2">
        <v>2017</v>
      </c>
      <c r="B165" t="s">
        <v>25</v>
      </c>
      <c r="C165" t="s">
        <v>22</v>
      </c>
      <c r="D165" s="2">
        <v>65</v>
      </c>
      <c r="E165" s="2">
        <v>7806</v>
      </c>
      <c r="F165" t="s">
        <v>328</v>
      </c>
      <c r="G165">
        <v>27</v>
      </c>
      <c r="H165">
        <v>27</v>
      </c>
      <c r="I165">
        <v>0</v>
      </c>
      <c r="J165">
        <v>0</v>
      </c>
      <c r="K165">
        <v>0</v>
      </c>
      <c r="L165" s="6">
        <f t="shared" si="23"/>
        <v>1</v>
      </c>
      <c r="M165">
        <v>386</v>
      </c>
      <c r="N165">
        <v>82</v>
      </c>
      <c r="O165" s="9">
        <v>0</v>
      </c>
      <c r="P165">
        <v>0</v>
      </c>
      <c r="Q165">
        <v>150</v>
      </c>
      <c r="R165">
        <v>0</v>
      </c>
      <c r="S165">
        <v>145</v>
      </c>
      <c r="T165">
        <v>9</v>
      </c>
      <c r="U165" s="3">
        <f t="shared" si="26"/>
        <v>1</v>
      </c>
      <c r="V165" s="3">
        <f t="shared" si="27"/>
        <v>1</v>
      </c>
    </row>
    <row r="166" spans="1:22" x14ac:dyDescent="0.25">
      <c r="A166" s="2">
        <v>2017</v>
      </c>
      <c r="B166" t="s">
        <v>25</v>
      </c>
      <c r="C166" t="s">
        <v>22</v>
      </c>
      <c r="D166" s="2">
        <v>27</v>
      </c>
      <c r="E166" s="2">
        <v>4492</v>
      </c>
      <c r="F166" t="s">
        <v>367</v>
      </c>
      <c r="G166">
        <v>28</v>
      </c>
      <c r="H166">
        <v>27</v>
      </c>
      <c r="I166">
        <v>1</v>
      </c>
      <c r="J166">
        <v>0</v>
      </c>
      <c r="K166">
        <v>0</v>
      </c>
      <c r="L166" s="6">
        <f t="shared" si="23"/>
        <v>1</v>
      </c>
      <c r="M166">
        <v>393</v>
      </c>
      <c r="N166">
        <v>95</v>
      </c>
      <c r="O166" s="9">
        <v>0</v>
      </c>
      <c r="P166">
        <v>1</v>
      </c>
      <c r="Q166">
        <v>152</v>
      </c>
      <c r="R166">
        <v>4</v>
      </c>
      <c r="S166">
        <v>136</v>
      </c>
      <c r="T166">
        <v>5</v>
      </c>
      <c r="U166" s="3">
        <f t="shared" si="26"/>
        <v>0.98727735368956748</v>
      </c>
      <c r="V166" s="3">
        <f t="shared" si="27"/>
        <v>0.98812351543942989</v>
      </c>
    </row>
    <row r="167" spans="1:22" x14ac:dyDescent="0.25">
      <c r="A167" s="2">
        <v>2017</v>
      </c>
      <c r="B167" t="s">
        <v>25</v>
      </c>
      <c r="C167" t="s">
        <v>22</v>
      </c>
      <c r="D167" s="2">
        <v>143</v>
      </c>
      <c r="E167" s="2">
        <v>122604</v>
      </c>
      <c r="F167" t="s">
        <v>413</v>
      </c>
      <c r="G167">
        <v>0</v>
      </c>
      <c r="H167">
        <v>0</v>
      </c>
      <c r="I167">
        <v>0</v>
      </c>
      <c r="J167">
        <v>0</v>
      </c>
      <c r="K167">
        <v>0</v>
      </c>
      <c r="L167" s="6">
        <f t="shared" si="23"/>
        <v>0</v>
      </c>
      <c r="M167">
        <v>62</v>
      </c>
      <c r="N167">
        <v>14</v>
      </c>
      <c r="O167" s="9">
        <v>0</v>
      </c>
      <c r="P167">
        <v>0</v>
      </c>
      <c r="Q167">
        <v>24</v>
      </c>
      <c r="R167">
        <v>0</v>
      </c>
      <c r="S167">
        <v>24</v>
      </c>
      <c r="T167">
        <v>0</v>
      </c>
      <c r="U167" s="3">
        <f t="shared" si="26"/>
        <v>1</v>
      </c>
      <c r="V167" s="3">
        <f t="shared" si="27"/>
        <v>1</v>
      </c>
    </row>
    <row r="168" spans="1:22" x14ac:dyDescent="0.25">
      <c r="A168" s="2">
        <v>2017</v>
      </c>
      <c r="B168" t="s">
        <v>25</v>
      </c>
      <c r="C168" t="s">
        <v>22</v>
      </c>
      <c r="D168" s="2">
        <v>119</v>
      </c>
      <c r="E168" s="2">
        <v>8697</v>
      </c>
      <c r="F168" t="s">
        <v>368</v>
      </c>
      <c r="G168">
        <v>10</v>
      </c>
      <c r="H168">
        <v>10</v>
      </c>
      <c r="I168">
        <v>0</v>
      </c>
      <c r="J168">
        <v>0</v>
      </c>
      <c r="K168">
        <v>0</v>
      </c>
      <c r="L168" s="6">
        <f t="shared" si="23"/>
        <v>1</v>
      </c>
      <c r="M168">
        <v>522</v>
      </c>
      <c r="N168">
        <v>153</v>
      </c>
      <c r="O168" s="9">
        <v>0</v>
      </c>
      <c r="P168">
        <v>0</v>
      </c>
      <c r="Q168">
        <v>279</v>
      </c>
      <c r="R168">
        <v>2</v>
      </c>
      <c r="S168">
        <v>85</v>
      </c>
      <c r="T168">
        <v>3</v>
      </c>
      <c r="U168" s="3">
        <f t="shared" si="26"/>
        <v>0.99616858237547889</v>
      </c>
      <c r="V168" s="3">
        <f t="shared" si="27"/>
        <v>0.99624060150375937</v>
      </c>
    </row>
    <row r="169" spans="1:22" x14ac:dyDescent="0.25">
      <c r="A169" s="2">
        <v>2017</v>
      </c>
      <c r="B169" t="s">
        <v>25</v>
      </c>
      <c r="C169" t="s">
        <v>22</v>
      </c>
      <c r="D169" s="2">
        <v>55</v>
      </c>
      <c r="E169" s="2">
        <v>7611</v>
      </c>
      <c r="F169" t="s">
        <v>414</v>
      </c>
      <c r="G169">
        <v>1</v>
      </c>
      <c r="H169">
        <v>1</v>
      </c>
      <c r="I169">
        <v>0</v>
      </c>
      <c r="J169">
        <v>0</v>
      </c>
      <c r="K169">
        <v>0</v>
      </c>
      <c r="L169" s="6">
        <f t="shared" si="23"/>
        <v>1</v>
      </c>
      <c r="M169">
        <v>5</v>
      </c>
      <c r="N169">
        <v>0</v>
      </c>
      <c r="O169" s="9">
        <v>0</v>
      </c>
      <c r="P169">
        <v>0</v>
      </c>
      <c r="Q169">
        <v>1</v>
      </c>
      <c r="R169">
        <v>0</v>
      </c>
      <c r="S169">
        <v>3</v>
      </c>
      <c r="T169">
        <v>1</v>
      </c>
      <c r="U169" s="3">
        <f t="shared" si="26"/>
        <v>1</v>
      </c>
      <c r="V169" s="3">
        <f t="shared" si="27"/>
        <v>1</v>
      </c>
    </row>
    <row r="170" spans="1:22" x14ac:dyDescent="0.25">
      <c r="A170" s="2">
        <v>2017</v>
      </c>
      <c r="B170" t="s">
        <v>25</v>
      </c>
      <c r="C170" t="s">
        <v>22</v>
      </c>
      <c r="D170" s="2">
        <v>56</v>
      </c>
      <c r="E170" s="2">
        <v>7612</v>
      </c>
      <c r="F170" t="s">
        <v>415</v>
      </c>
      <c r="G170">
        <v>2</v>
      </c>
      <c r="H170">
        <v>2</v>
      </c>
      <c r="I170">
        <v>0</v>
      </c>
      <c r="J170">
        <v>0</v>
      </c>
      <c r="K170">
        <v>0</v>
      </c>
      <c r="L170" s="6">
        <f t="shared" si="23"/>
        <v>1</v>
      </c>
      <c r="M170">
        <v>105</v>
      </c>
      <c r="N170">
        <v>6</v>
      </c>
      <c r="O170" s="9">
        <v>0</v>
      </c>
      <c r="P170">
        <v>0</v>
      </c>
      <c r="Q170">
        <v>35</v>
      </c>
      <c r="R170">
        <v>0</v>
      </c>
      <c r="S170">
        <v>63</v>
      </c>
      <c r="T170">
        <v>1</v>
      </c>
      <c r="U170" s="3">
        <f t="shared" si="26"/>
        <v>1</v>
      </c>
      <c r="V170" s="3">
        <f t="shared" si="27"/>
        <v>1</v>
      </c>
    </row>
    <row r="171" spans="1:22" x14ac:dyDescent="0.25">
      <c r="A171" s="2">
        <v>2017</v>
      </c>
      <c r="B171" t="s">
        <v>25</v>
      </c>
      <c r="C171" t="s">
        <v>22</v>
      </c>
      <c r="D171" s="2">
        <v>53</v>
      </c>
      <c r="E171" s="2">
        <v>4717</v>
      </c>
      <c r="F171" t="s">
        <v>494</v>
      </c>
      <c r="G171">
        <v>3</v>
      </c>
      <c r="H171">
        <v>3</v>
      </c>
      <c r="I171">
        <v>0</v>
      </c>
      <c r="J171">
        <v>0</v>
      </c>
      <c r="K171">
        <v>0</v>
      </c>
      <c r="L171" s="6">
        <f t="shared" si="23"/>
        <v>1</v>
      </c>
      <c r="M171">
        <v>72</v>
      </c>
      <c r="N171">
        <v>4</v>
      </c>
      <c r="O171" s="9">
        <v>0</v>
      </c>
      <c r="P171">
        <v>0</v>
      </c>
      <c r="Q171">
        <v>37</v>
      </c>
      <c r="R171">
        <v>0</v>
      </c>
      <c r="S171">
        <v>29</v>
      </c>
      <c r="T171">
        <v>2</v>
      </c>
      <c r="U171" s="3">
        <f t="shared" si="26"/>
        <v>1</v>
      </c>
      <c r="V171" s="3">
        <f t="shared" si="27"/>
        <v>1</v>
      </c>
    </row>
    <row r="172" spans="1:22" x14ac:dyDescent="0.25">
      <c r="A172" s="2">
        <v>2017</v>
      </c>
      <c r="B172" t="s">
        <v>25</v>
      </c>
      <c r="C172" t="s">
        <v>22</v>
      </c>
      <c r="D172" s="2">
        <v>45</v>
      </c>
      <c r="E172" s="2">
        <v>7400</v>
      </c>
      <c r="F172" t="s">
        <v>416</v>
      </c>
      <c r="G172">
        <v>3</v>
      </c>
      <c r="H172">
        <v>3</v>
      </c>
      <c r="I172">
        <v>0</v>
      </c>
      <c r="J172">
        <v>0</v>
      </c>
      <c r="K172">
        <v>0</v>
      </c>
      <c r="L172" s="6">
        <f t="shared" si="23"/>
        <v>1</v>
      </c>
      <c r="M172">
        <v>95</v>
      </c>
      <c r="N172">
        <v>6</v>
      </c>
      <c r="O172" s="9">
        <v>0</v>
      </c>
      <c r="P172">
        <v>0</v>
      </c>
      <c r="Q172">
        <v>58</v>
      </c>
      <c r="R172">
        <v>0</v>
      </c>
      <c r="S172">
        <v>30</v>
      </c>
      <c r="T172">
        <v>1</v>
      </c>
      <c r="U172" s="3">
        <f t="shared" si="26"/>
        <v>1</v>
      </c>
      <c r="V172" s="3">
        <f t="shared" si="27"/>
        <v>1</v>
      </c>
    </row>
    <row r="173" spans="1:22" x14ac:dyDescent="0.25">
      <c r="A173" s="2">
        <v>2017</v>
      </c>
      <c r="B173" t="s">
        <v>25</v>
      </c>
      <c r="C173" t="s">
        <v>22</v>
      </c>
      <c r="D173" s="2">
        <v>116</v>
      </c>
      <c r="E173" s="2">
        <v>119505</v>
      </c>
      <c r="F173" t="s">
        <v>417</v>
      </c>
      <c r="G173">
        <v>5</v>
      </c>
      <c r="H173">
        <v>5</v>
      </c>
      <c r="I173">
        <v>0</v>
      </c>
      <c r="J173">
        <v>0</v>
      </c>
      <c r="K173">
        <v>0</v>
      </c>
      <c r="L173" s="6">
        <f t="shared" si="23"/>
        <v>1</v>
      </c>
      <c r="M173">
        <v>51</v>
      </c>
      <c r="N173">
        <v>14</v>
      </c>
      <c r="O173" s="9">
        <v>0</v>
      </c>
      <c r="P173">
        <v>0</v>
      </c>
      <c r="Q173">
        <v>24</v>
      </c>
      <c r="R173">
        <v>0</v>
      </c>
      <c r="S173">
        <v>13</v>
      </c>
      <c r="T173">
        <v>0</v>
      </c>
      <c r="U173" s="3">
        <f t="shared" si="26"/>
        <v>1</v>
      </c>
      <c r="V173" s="3">
        <f t="shared" si="27"/>
        <v>1</v>
      </c>
    </row>
    <row r="174" spans="1:22" x14ac:dyDescent="0.25">
      <c r="A174" s="2">
        <v>2017</v>
      </c>
      <c r="B174" t="s">
        <v>25</v>
      </c>
      <c r="C174" t="s">
        <v>22</v>
      </c>
      <c r="D174" s="2">
        <v>25</v>
      </c>
      <c r="E174" s="2">
        <v>4357</v>
      </c>
      <c r="F174" t="s">
        <v>369</v>
      </c>
      <c r="G174">
        <v>39</v>
      </c>
      <c r="H174">
        <v>39</v>
      </c>
      <c r="I174">
        <v>0</v>
      </c>
      <c r="J174">
        <v>0</v>
      </c>
      <c r="K174">
        <v>0</v>
      </c>
      <c r="L174" s="6">
        <f t="shared" si="23"/>
        <v>1</v>
      </c>
      <c r="M174">
        <v>382</v>
      </c>
      <c r="N174">
        <v>85</v>
      </c>
      <c r="O174" s="9">
        <v>0</v>
      </c>
      <c r="P174">
        <v>0</v>
      </c>
      <c r="Q174">
        <v>119</v>
      </c>
      <c r="R174">
        <v>10</v>
      </c>
      <c r="S174">
        <v>164</v>
      </c>
      <c r="T174">
        <v>4</v>
      </c>
      <c r="U174" s="3">
        <f t="shared" si="26"/>
        <v>0.97382198952879584</v>
      </c>
      <c r="V174" s="3">
        <f t="shared" si="27"/>
        <v>0.97624703087885989</v>
      </c>
    </row>
    <row r="175" spans="1:22" x14ac:dyDescent="0.25">
      <c r="A175" s="2">
        <v>2017</v>
      </c>
      <c r="B175" t="s">
        <v>25</v>
      </c>
      <c r="C175" t="s">
        <v>22</v>
      </c>
      <c r="D175" s="2">
        <v>43</v>
      </c>
      <c r="E175" s="2">
        <v>7308</v>
      </c>
      <c r="F175" t="s">
        <v>418</v>
      </c>
      <c r="G175">
        <v>2</v>
      </c>
      <c r="H175">
        <v>2</v>
      </c>
      <c r="I175">
        <v>0</v>
      </c>
      <c r="J175">
        <v>0</v>
      </c>
      <c r="K175">
        <v>0</v>
      </c>
      <c r="L175" s="6">
        <f t="shared" si="23"/>
        <v>1</v>
      </c>
      <c r="M175">
        <v>73</v>
      </c>
      <c r="N175">
        <v>8</v>
      </c>
      <c r="O175" s="9">
        <v>0</v>
      </c>
      <c r="P175">
        <v>0</v>
      </c>
      <c r="Q175">
        <v>38</v>
      </c>
      <c r="R175">
        <v>0</v>
      </c>
      <c r="S175">
        <v>27</v>
      </c>
      <c r="T175">
        <v>0</v>
      </c>
      <c r="U175" s="3">
        <f t="shared" si="26"/>
        <v>1</v>
      </c>
      <c r="V175" s="3">
        <f t="shared" si="27"/>
        <v>1</v>
      </c>
    </row>
    <row r="176" spans="1:22" x14ac:dyDescent="0.25">
      <c r="A176" s="2">
        <v>2017</v>
      </c>
      <c r="B176" t="s">
        <v>25</v>
      </c>
      <c r="C176" t="s">
        <v>22</v>
      </c>
      <c r="D176" s="2">
        <v>184</v>
      </c>
      <c r="E176" s="2">
        <v>120870</v>
      </c>
      <c r="F176" t="s">
        <v>371</v>
      </c>
      <c r="G176">
        <v>35</v>
      </c>
      <c r="H176">
        <v>35</v>
      </c>
      <c r="I176">
        <v>0</v>
      </c>
      <c r="J176">
        <v>0</v>
      </c>
      <c r="K176">
        <v>0</v>
      </c>
      <c r="L176" s="6">
        <f t="shared" si="23"/>
        <v>1</v>
      </c>
      <c r="M176">
        <v>458</v>
      </c>
      <c r="N176">
        <v>82</v>
      </c>
      <c r="O176" s="9">
        <v>0</v>
      </c>
      <c r="P176">
        <v>0</v>
      </c>
      <c r="Q176">
        <v>150</v>
      </c>
      <c r="R176">
        <v>2</v>
      </c>
      <c r="S176">
        <v>218</v>
      </c>
      <c r="T176">
        <v>6</v>
      </c>
      <c r="U176" s="3">
        <f t="shared" si="26"/>
        <v>0.99563318777292575</v>
      </c>
      <c r="V176" s="3">
        <f t="shared" si="27"/>
        <v>0.99594320486815413</v>
      </c>
    </row>
    <row r="177" spans="1:22" x14ac:dyDescent="0.25">
      <c r="A177" s="2">
        <v>2017</v>
      </c>
      <c r="B177" t="s">
        <v>25</v>
      </c>
      <c r="C177" t="s">
        <v>22</v>
      </c>
      <c r="D177" s="2">
        <v>48</v>
      </c>
      <c r="E177" s="2">
        <v>7383</v>
      </c>
      <c r="F177" t="s">
        <v>419</v>
      </c>
      <c r="G177">
        <v>4</v>
      </c>
      <c r="H177">
        <v>4</v>
      </c>
      <c r="I177">
        <v>0</v>
      </c>
      <c r="J177">
        <v>0</v>
      </c>
      <c r="K177">
        <v>0</v>
      </c>
      <c r="L177" s="6">
        <f t="shared" si="23"/>
        <v>1</v>
      </c>
      <c r="M177">
        <v>76</v>
      </c>
      <c r="N177">
        <v>7</v>
      </c>
      <c r="O177" s="9">
        <v>0</v>
      </c>
      <c r="P177">
        <v>0</v>
      </c>
      <c r="Q177">
        <v>31</v>
      </c>
      <c r="R177">
        <v>0</v>
      </c>
      <c r="S177">
        <v>37</v>
      </c>
      <c r="T177">
        <v>1</v>
      </c>
      <c r="U177" s="3">
        <f t="shared" si="26"/>
        <v>1</v>
      </c>
      <c r="V177" s="3">
        <f t="shared" si="27"/>
        <v>1</v>
      </c>
    </row>
    <row r="178" spans="1:22" x14ac:dyDescent="0.25">
      <c r="A178" s="2">
        <v>2017</v>
      </c>
      <c r="B178" t="s">
        <v>25</v>
      </c>
      <c r="C178" t="s">
        <v>22</v>
      </c>
      <c r="D178" s="2">
        <v>142</v>
      </c>
      <c r="E178" s="2">
        <v>122502</v>
      </c>
      <c r="F178" t="s">
        <v>372</v>
      </c>
      <c r="G178">
        <v>25</v>
      </c>
      <c r="H178">
        <v>25</v>
      </c>
      <c r="I178">
        <v>0</v>
      </c>
      <c r="J178">
        <v>0</v>
      </c>
      <c r="K178">
        <v>0</v>
      </c>
      <c r="L178" s="6">
        <f t="shared" si="23"/>
        <v>1</v>
      </c>
      <c r="M178">
        <v>303</v>
      </c>
      <c r="N178">
        <v>75</v>
      </c>
      <c r="O178" s="9">
        <v>0</v>
      </c>
      <c r="P178">
        <v>0</v>
      </c>
      <c r="Q178">
        <v>98</v>
      </c>
      <c r="R178">
        <v>1</v>
      </c>
      <c r="S178">
        <v>123</v>
      </c>
      <c r="T178">
        <v>6</v>
      </c>
      <c r="U178" s="3">
        <f t="shared" si="26"/>
        <v>0.99669966996699666</v>
      </c>
      <c r="V178" s="3">
        <f t="shared" si="27"/>
        <v>0.99695121951219512</v>
      </c>
    </row>
    <row r="179" spans="1:22" x14ac:dyDescent="0.25">
      <c r="A179" s="2">
        <v>2017</v>
      </c>
      <c r="B179" t="s">
        <v>25</v>
      </c>
      <c r="C179" t="s">
        <v>23</v>
      </c>
      <c r="D179" s="2">
        <v>489</v>
      </c>
      <c r="E179" s="2">
        <v>7740</v>
      </c>
      <c r="F179" t="s">
        <v>40</v>
      </c>
      <c r="G179">
        <v>30</v>
      </c>
      <c r="H179">
        <v>30</v>
      </c>
      <c r="I179">
        <v>0</v>
      </c>
      <c r="J179">
        <v>0</v>
      </c>
      <c r="K179">
        <v>0</v>
      </c>
      <c r="L179" s="6">
        <f t="shared" si="23"/>
        <v>1</v>
      </c>
      <c r="M179">
        <v>301</v>
      </c>
      <c r="N179">
        <v>46</v>
      </c>
      <c r="O179" s="9">
        <v>0</v>
      </c>
      <c r="P179">
        <v>0</v>
      </c>
      <c r="Q179">
        <v>112</v>
      </c>
      <c r="R179">
        <v>0</v>
      </c>
      <c r="S179">
        <v>135</v>
      </c>
      <c r="T179">
        <v>8</v>
      </c>
      <c r="U179" s="3">
        <f t="shared" si="26"/>
        <v>1</v>
      </c>
      <c r="V179" s="3">
        <f t="shared" ref="V179:V198" si="28">(H179+I179+J179+N179+Q179+S179+T179)/(G179+M179)</f>
        <v>1</v>
      </c>
    </row>
    <row r="180" spans="1:22" x14ac:dyDescent="0.25">
      <c r="A180" s="2">
        <v>2017</v>
      </c>
      <c r="B180" t="s">
        <v>25</v>
      </c>
      <c r="C180" t="s">
        <v>23</v>
      </c>
      <c r="D180" s="2">
        <v>2</v>
      </c>
      <c r="E180" s="2">
        <v>121285</v>
      </c>
      <c r="F180" t="s">
        <v>373</v>
      </c>
      <c r="G180">
        <v>0</v>
      </c>
      <c r="H180">
        <v>0</v>
      </c>
      <c r="I180">
        <v>0</v>
      </c>
      <c r="J180">
        <v>0</v>
      </c>
      <c r="K180">
        <v>0</v>
      </c>
      <c r="L180" s="6">
        <f t="shared" si="23"/>
        <v>0</v>
      </c>
      <c r="M180">
        <v>4</v>
      </c>
      <c r="N180">
        <v>4</v>
      </c>
      <c r="O180" s="9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s="3">
        <f t="shared" si="26"/>
        <v>1</v>
      </c>
      <c r="V180" s="3">
        <f t="shared" si="28"/>
        <v>1</v>
      </c>
    </row>
    <row r="181" spans="1:22" x14ac:dyDescent="0.25">
      <c r="A181" s="2">
        <v>2017</v>
      </c>
      <c r="B181" t="s">
        <v>25</v>
      </c>
      <c r="C181" t="s">
        <v>23</v>
      </c>
      <c r="D181" s="2">
        <v>492</v>
      </c>
      <c r="E181" s="2">
        <v>7744</v>
      </c>
      <c r="F181" t="s">
        <v>374</v>
      </c>
      <c r="G181">
        <v>14</v>
      </c>
      <c r="H181">
        <v>14</v>
      </c>
      <c r="I181">
        <v>0</v>
      </c>
      <c r="J181">
        <v>0</v>
      </c>
      <c r="K181">
        <v>0</v>
      </c>
      <c r="L181" s="6">
        <f t="shared" si="23"/>
        <v>1</v>
      </c>
      <c r="M181">
        <v>337</v>
      </c>
      <c r="N181">
        <v>49</v>
      </c>
      <c r="O181" s="9">
        <v>0</v>
      </c>
      <c r="P181">
        <v>0</v>
      </c>
      <c r="Q181">
        <v>131</v>
      </c>
      <c r="R181">
        <v>5</v>
      </c>
      <c r="S181">
        <v>150</v>
      </c>
      <c r="T181">
        <v>2</v>
      </c>
      <c r="U181" s="3">
        <f t="shared" si="26"/>
        <v>0.98516320474777452</v>
      </c>
      <c r="V181" s="3">
        <f t="shared" si="28"/>
        <v>0.98575498575498577</v>
      </c>
    </row>
    <row r="182" spans="1:22" x14ac:dyDescent="0.25">
      <c r="A182" s="2">
        <v>2017</v>
      </c>
      <c r="B182" t="s">
        <v>25</v>
      </c>
      <c r="C182" t="s">
        <v>23</v>
      </c>
      <c r="D182" s="2">
        <v>555</v>
      </c>
      <c r="E182" s="2">
        <v>119114</v>
      </c>
      <c r="F182" t="s">
        <v>375</v>
      </c>
      <c r="G182">
        <v>11</v>
      </c>
      <c r="H182">
        <v>11</v>
      </c>
      <c r="I182">
        <v>0</v>
      </c>
      <c r="J182">
        <v>0</v>
      </c>
      <c r="K182">
        <v>0</v>
      </c>
      <c r="L182" s="6">
        <f t="shared" si="23"/>
        <v>1</v>
      </c>
      <c r="M182">
        <v>356</v>
      </c>
      <c r="N182">
        <v>57</v>
      </c>
      <c r="O182" s="9">
        <v>0</v>
      </c>
      <c r="P182">
        <v>0</v>
      </c>
      <c r="Q182">
        <v>175</v>
      </c>
      <c r="R182">
        <v>1</v>
      </c>
      <c r="S182">
        <v>117</v>
      </c>
      <c r="T182">
        <v>6</v>
      </c>
      <c r="U182" s="3">
        <f t="shared" si="26"/>
        <v>0.9971910112359551</v>
      </c>
      <c r="V182" s="3">
        <f t="shared" si="28"/>
        <v>0.99727520435967298</v>
      </c>
    </row>
    <row r="183" spans="1:22" x14ac:dyDescent="0.25">
      <c r="A183" s="2">
        <v>2017</v>
      </c>
      <c r="B183" t="s">
        <v>25</v>
      </c>
      <c r="C183" t="s">
        <v>23</v>
      </c>
      <c r="D183" s="2">
        <v>493</v>
      </c>
      <c r="E183" s="2">
        <v>7742</v>
      </c>
      <c r="F183" t="s">
        <v>376</v>
      </c>
      <c r="G183">
        <v>8</v>
      </c>
      <c r="H183">
        <v>8</v>
      </c>
      <c r="I183">
        <v>0</v>
      </c>
      <c r="J183">
        <v>0</v>
      </c>
      <c r="K183">
        <v>0</v>
      </c>
      <c r="L183" s="6">
        <f t="shared" si="23"/>
        <v>1</v>
      </c>
      <c r="M183">
        <v>196</v>
      </c>
      <c r="N183">
        <v>31</v>
      </c>
      <c r="O183" s="9">
        <v>0</v>
      </c>
      <c r="P183">
        <v>0</v>
      </c>
      <c r="Q183">
        <v>78</v>
      </c>
      <c r="R183">
        <v>1</v>
      </c>
      <c r="S183">
        <v>83</v>
      </c>
      <c r="T183">
        <v>3</v>
      </c>
      <c r="U183" s="3">
        <f t="shared" si="26"/>
        <v>0.99489795918367352</v>
      </c>
      <c r="V183" s="3">
        <f t="shared" si="28"/>
        <v>0.99509803921568629</v>
      </c>
    </row>
    <row r="184" spans="1:22" x14ac:dyDescent="0.25">
      <c r="A184" s="2">
        <v>2017</v>
      </c>
      <c r="B184" t="s">
        <v>25</v>
      </c>
      <c r="C184" t="s">
        <v>23</v>
      </c>
      <c r="D184" s="2">
        <v>13</v>
      </c>
      <c r="E184" s="2">
        <v>122214</v>
      </c>
      <c r="F184" t="s">
        <v>377</v>
      </c>
      <c r="G184">
        <v>0</v>
      </c>
      <c r="H184">
        <v>0</v>
      </c>
      <c r="I184">
        <v>0</v>
      </c>
      <c r="J184">
        <v>0</v>
      </c>
      <c r="K184">
        <v>0</v>
      </c>
      <c r="L184" s="6">
        <f t="shared" si="23"/>
        <v>0</v>
      </c>
      <c r="M184">
        <v>2</v>
      </c>
      <c r="N184">
        <v>2</v>
      </c>
      <c r="O184" s="9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s="3">
        <f t="shared" si="26"/>
        <v>1</v>
      </c>
      <c r="V184" s="3">
        <f t="shared" si="28"/>
        <v>1</v>
      </c>
    </row>
    <row r="185" spans="1:22" x14ac:dyDescent="0.25">
      <c r="A185" s="2">
        <v>2017</v>
      </c>
      <c r="B185" t="s">
        <v>25</v>
      </c>
      <c r="C185" t="s">
        <v>23</v>
      </c>
      <c r="D185" s="2">
        <v>286</v>
      </c>
      <c r="E185" s="2">
        <v>119469</v>
      </c>
      <c r="F185" t="s">
        <v>378</v>
      </c>
      <c r="G185">
        <v>0</v>
      </c>
      <c r="H185">
        <v>0</v>
      </c>
      <c r="I185">
        <v>0</v>
      </c>
      <c r="J185">
        <v>0</v>
      </c>
      <c r="K185">
        <v>0</v>
      </c>
      <c r="L185" s="6">
        <f t="shared" si="23"/>
        <v>0</v>
      </c>
      <c r="M185">
        <v>1</v>
      </c>
      <c r="N185">
        <v>0</v>
      </c>
      <c r="O185" s="9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 s="3">
        <f t="shared" si="26"/>
        <v>1</v>
      </c>
      <c r="V185" s="3">
        <f t="shared" si="28"/>
        <v>1</v>
      </c>
    </row>
    <row r="186" spans="1:22" x14ac:dyDescent="0.25">
      <c r="A186" s="2">
        <v>2017</v>
      </c>
      <c r="B186" t="s">
        <v>25</v>
      </c>
      <c r="C186" t="s">
        <v>23</v>
      </c>
      <c r="D186" s="2">
        <v>598</v>
      </c>
      <c r="E186" s="2">
        <v>222222222</v>
      </c>
      <c r="F186" s="5" t="s">
        <v>420</v>
      </c>
      <c r="G186">
        <v>0</v>
      </c>
      <c r="H186">
        <v>0</v>
      </c>
      <c r="I186">
        <v>0</v>
      </c>
      <c r="J186">
        <v>0</v>
      </c>
      <c r="K186">
        <v>0</v>
      </c>
      <c r="L186" s="6">
        <f t="shared" si="23"/>
        <v>0</v>
      </c>
      <c r="M186">
        <v>3</v>
      </c>
      <c r="N186">
        <v>0</v>
      </c>
      <c r="O186" s="9">
        <v>0</v>
      </c>
      <c r="P186">
        <v>0</v>
      </c>
      <c r="Q186">
        <v>2</v>
      </c>
      <c r="R186">
        <v>0</v>
      </c>
      <c r="S186">
        <v>1</v>
      </c>
      <c r="T186">
        <v>0</v>
      </c>
      <c r="U186" s="3">
        <f t="shared" si="26"/>
        <v>1</v>
      </c>
      <c r="V186" s="3">
        <f t="shared" si="28"/>
        <v>1</v>
      </c>
    </row>
    <row r="187" spans="1:22" x14ac:dyDescent="0.25">
      <c r="A187" s="2">
        <v>2017</v>
      </c>
      <c r="B187" t="s">
        <v>25</v>
      </c>
      <c r="C187" t="s">
        <v>23</v>
      </c>
      <c r="D187" s="2">
        <v>593</v>
      </c>
      <c r="E187" s="2">
        <v>122796</v>
      </c>
      <c r="F187" t="s">
        <v>379</v>
      </c>
      <c r="G187">
        <v>19</v>
      </c>
      <c r="H187">
        <v>19</v>
      </c>
      <c r="I187">
        <v>0</v>
      </c>
      <c r="J187">
        <v>0</v>
      </c>
      <c r="K187">
        <v>0</v>
      </c>
      <c r="L187" s="6">
        <f t="shared" si="23"/>
        <v>1</v>
      </c>
      <c r="M187">
        <v>240</v>
      </c>
      <c r="N187">
        <v>46</v>
      </c>
      <c r="O187" s="9">
        <v>0</v>
      </c>
      <c r="P187">
        <v>0</v>
      </c>
      <c r="Q187">
        <v>122</v>
      </c>
      <c r="R187">
        <v>0</v>
      </c>
      <c r="S187">
        <v>68</v>
      </c>
      <c r="T187">
        <v>4</v>
      </c>
      <c r="U187" s="3">
        <f t="shared" si="26"/>
        <v>1</v>
      </c>
      <c r="V187" s="3">
        <f t="shared" si="28"/>
        <v>1</v>
      </c>
    </row>
    <row r="188" spans="1:22" x14ac:dyDescent="0.25">
      <c r="A188" s="2">
        <v>2017</v>
      </c>
      <c r="B188" t="s">
        <v>25</v>
      </c>
      <c r="C188" t="s">
        <v>23</v>
      </c>
      <c r="D188" s="2">
        <v>592</v>
      </c>
      <c r="E188" s="2">
        <v>122956</v>
      </c>
      <c r="F188" t="s">
        <v>381</v>
      </c>
      <c r="G188">
        <v>5</v>
      </c>
      <c r="H188">
        <v>5</v>
      </c>
      <c r="I188">
        <v>0</v>
      </c>
      <c r="J188">
        <v>0</v>
      </c>
      <c r="K188">
        <v>0</v>
      </c>
      <c r="L188" s="6">
        <f t="shared" si="23"/>
        <v>1</v>
      </c>
      <c r="M188">
        <v>124</v>
      </c>
      <c r="N188">
        <v>25</v>
      </c>
      <c r="O188" s="9">
        <v>0</v>
      </c>
      <c r="P188">
        <v>0</v>
      </c>
      <c r="Q188">
        <v>56</v>
      </c>
      <c r="R188">
        <v>0</v>
      </c>
      <c r="S188">
        <v>43</v>
      </c>
      <c r="T188">
        <v>0</v>
      </c>
      <c r="U188" s="3">
        <f t="shared" si="26"/>
        <v>1</v>
      </c>
      <c r="V188" s="3">
        <f t="shared" si="28"/>
        <v>1</v>
      </c>
    </row>
    <row r="189" spans="1:22" x14ac:dyDescent="0.25">
      <c r="A189" s="2">
        <v>2017</v>
      </c>
      <c r="B189" t="s">
        <v>25</v>
      </c>
      <c r="C189" t="s">
        <v>23</v>
      </c>
      <c r="D189" s="2">
        <v>1</v>
      </c>
      <c r="E189" s="2">
        <v>121274</v>
      </c>
      <c r="F189" t="s">
        <v>382</v>
      </c>
      <c r="G189">
        <v>0</v>
      </c>
      <c r="H189">
        <v>0</v>
      </c>
      <c r="I189">
        <v>0</v>
      </c>
      <c r="J189">
        <v>0</v>
      </c>
      <c r="K189">
        <v>0</v>
      </c>
      <c r="L189" s="6">
        <f t="shared" si="23"/>
        <v>0</v>
      </c>
      <c r="M189">
        <v>2</v>
      </c>
      <c r="N189">
        <v>2</v>
      </c>
      <c r="O189" s="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s="3">
        <f t="shared" si="26"/>
        <v>1</v>
      </c>
      <c r="V189" s="3">
        <f t="shared" si="28"/>
        <v>1</v>
      </c>
    </row>
    <row r="190" spans="1:22" x14ac:dyDescent="0.25">
      <c r="A190" s="2">
        <v>2017</v>
      </c>
      <c r="B190" t="s">
        <v>25</v>
      </c>
      <c r="C190" t="s">
        <v>23</v>
      </c>
      <c r="D190" s="2">
        <v>494</v>
      </c>
      <c r="E190" s="2">
        <v>7743</v>
      </c>
      <c r="F190" t="s">
        <v>383</v>
      </c>
      <c r="G190">
        <v>15</v>
      </c>
      <c r="H190">
        <v>15</v>
      </c>
      <c r="I190">
        <v>0</v>
      </c>
      <c r="J190">
        <v>0</v>
      </c>
      <c r="K190">
        <v>0</v>
      </c>
      <c r="L190" s="6">
        <f t="shared" si="23"/>
        <v>1</v>
      </c>
      <c r="M190">
        <v>366</v>
      </c>
      <c r="N190">
        <v>62</v>
      </c>
      <c r="O190" s="9">
        <v>0</v>
      </c>
      <c r="P190">
        <v>0</v>
      </c>
      <c r="Q190">
        <v>117</v>
      </c>
      <c r="R190">
        <v>2</v>
      </c>
      <c r="S190">
        <v>184</v>
      </c>
      <c r="T190">
        <v>1</v>
      </c>
      <c r="U190" s="3">
        <f t="shared" si="26"/>
        <v>0.99453551912568305</v>
      </c>
      <c r="V190" s="3">
        <f t="shared" si="28"/>
        <v>0.99475065616797897</v>
      </c>
    </row>
    <row r="191" spans="1:22" x14ac:dyDescent="0.25">
      <c r="A191" s="2">
        <v>2017</v>
      </c>
      <c r="B191" t="s">
        <v>25</v>
      </c>
      <c r="C191" t="s">
        <v>23</v>
      </c>
      <c r="D191" s="2">
        <v>534</v>
      </c>
      <c r="E191" s="2">
        <v>10480</v>
      </c>
      <c r="F191" t="s">
        <v>384</v>
      </c>
      <c r="G191">
        <v>0</v>
      </c>
      <c r="H191">
        <v>0</v>
      </c>
      <c r="I191">
        <v>0</v>
      </c>
      <c r="J191">
        <v>0</v>
      </c>
      <c r="K191">
        <v>0</v>
      </c>
      <c r="L191" s="6">
        <f t="shared" si="23"/>
        <v>0</v>
      </c>
      <c r="M191">
        <v>3</v>
      </c>
      <c r="N191">
        <v>2</v>
      </c>
      <c r="O191" s="9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 s="3">
        <f t="shared" si="26"/>
        <v>1</v>
      </c>
      <c r="V191" s="3">
        <f t="shared" si="28"/>
        <v>1</v>
      </c>
    </row>
    <row r="192" spans="1:22" x14ac:dyDescent="0.25">
      <c r="A192" s="2">
        <v>2017</v>
      </c>
      <c r="B192" t="s">
        <v>25</v>
      </c>
      <c r="C192" t="s">
        <v>23</v>
      </c>
      <c r="D192" s="2">
        <v>533</v>
      </c>
      <c r="E192" s="2">
        <v>5803</v>
      </c>
      <c r="F192" t="s">
        <v>385</v>
      </c>
      <c r="G192">
        <v>0</v>
      </c>
      <c r="H192">
        <v>0</v>
      </c>
      <c r="I192">
        <v>0</v>
      </c>
      <c r="J192">
        <v>0</v>
      </c>
      <c r="K192">
        <v>0</v>
      </c>
      <c r="L192" s="6">
        <f t="shared" si="23"/>
        <v>0</v>
      </c>
      <c r="M192">
        <v>4</v>
      </c>
      <c r="N192">
        <v>2</v>
      </c>
      <c r="O192" s="9">
        <v>0</v>
      </c>
      <c r="P192">
        <v>0</v>
      </c>
      <c r="Q192">
        <v>2</v>
      </c>
      <c r="R192">
        <v>0</v>
      </c>
      <c r="S192">
        <v>0</v>
      </c>
      <c r="T192">
        <v>0</v>
      </c>
      <c r="U192" s="3">
        <f t="shared" si="26"/>
        <v>1</v>
      </c>
      <c r="V192" s="3">
        <f t="shared" si="28"/>
        <v>1</v>
      </c>
    </row>
    <row r="193" spans="1:22" x14ac:dyDescent="0.25">
      <c r="A193" s="2">
        <v>2017</v>
      </c>
      <c r="B193" t="s">
        <v>25</v>
      </c>
      <c r="C193" t="s">
        <v>23</v>
      </c>
      <c r="D193" s="2">
        <v>596</v>
      </c>
      <c r="E193" s="2">
        <v>222222222</v>
      </c>
      <c r="F193" s="5" t="s">
        <v>421</v>
      </c>
      <c r="G193">
        <v>0</v>
      </c>
      <c r="H193">
        <v>0</v>
      </c>
      <c r="I193">
        <v>0</v>
      </c>
      <c r="J193">
        <v>0</v>
      </c>
      <c r="K193">
        <v>0</v>
      </c>
      <c r="L193" s="6">
        <f t="shared" si="23"/>
        <v>0</v>
      </c>
      <c r="M193">
        <v>6</v>
      </c>
      <c r="N193">
        <v>2</v>
      </c>
      <c r="O193" s="9">
        <v>0</v>
      </c>
      <c r="P193">
        <v>0</v>
      </c>
      <c r="Q193">
        <v>2</v>
      </c>
      <c r="R193">
        <v>0</v>
      </c>
      <c r="S193">
        <v>2</v>
      </c>
      <c r="T193">
        <v>0</v>
      </c>
      <c r="U193" s="3">
        <f t="shared" si="26"/>
        <v>1</v>
      </c>
      <c r="V193" s="3">
        <f t="shared" si="28"/>
        <v>1</v>
      </c>
    </row>
    <row r="194" spans="1:22" x14ac:dyDescent="0.25">
      <c r="A194" s="2">
        <v>2017</v>
      </c>
      <c r="B194" t="s">
        <v>25</v>
      </c>
      <c r="C194" t="s">
        <v>23</v>
      </c>
      <c r="D194" s="2">
        <v>12</v>
      </c>
      <c r="E194" s="2">
        <v>122201</v>
      </c>
      <c r="F194" t="s">
        <v>386</v>
      </c>
      <c r="G194">
        <v>0</v>
      </c>
      <c r="H194">
        <v>0</v>
      </c>
      <c r="I194">
        <v>0</v>
      </c>
      <c r="J194">
        <v>0</v>
      </c>
      <c r="K194">
        <v>0</v>
      </c>
      <c r="L194" s="6">
        <f t="shared" ref="L194:L257" si="29">IF(G194=0,0,SUM(H194:J194)/G194)</f>
        <v>0</v>
      </c>
      <c r="M194">
        <v>2</v>
      </c>
      <c r="N194">
        <v>2</v>
      </c>
      <c r="O194" s="9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s="3">
        <f t="shared" si="26"/>
        <v>1</v>
      </c>
      <c r="V194" s="3">
        <f t="shared" si="28"/>
        <v>1</v>
      </c>
    </row>
    <row r="195" spans="1:22" x14ac:dyDescent="0.25">
      <c r="A195" s="2">
        <v>2017</v>
      </c>
      <c r="B195" t="s">
        <v>25</v>
      </c>
      <c r="C195" t="s">
        <v>23</v>
      </c>
      <c r="D195" s="2">
        <v>496</v>
      </c>
      <c r="E195" s="2">
        <v>7741</v>
      </c>
      <c r="F195" t="s">
        <v>387</v>
      </c>
      <c r="G195">
        <v>21</v>
      </c>
      <c r="H195">
        <v>21</v>
      </c>
      <c r="I195">
        <v>0</v>
      </c>
      <c r="J195">
        <v>0</v>
      </c>
      <c r="K195">
        <v>0</v>
      </c>
      <c r="L195" s="6">
        <f t="shared" si="29"/>
        <v>1</v>
      </c>
      <c r="M195">
        <v>366</v>
      </c>
      <c r="N195">
        <v>59</v>
      </c>
      <c r="O195" s="9">
        <v>0</v>
      </c>
      <c r="P195">
        <v>0</v>
      </c>
      <c r="Q195">
        <v>129</v>
      </c>
      <c r="R195">
        <v>0</v>
      </c>
      <c r="S195">
        <v>178</v>
      </c>
      <c r="T195">
        <v>0</v>
      </c>
      <c r="U195" s="3">
        <f t="shared" si="26"/>
        <v>1</v>
      </c>
      <c r="V195" s="3">
        <f t="shared" si="28"/>
        <v>1</v>
      </c>
    </row>
    <row r="196" spans="1:22" x14ac:dyDescent="0.25">
      <c r="A196" s="2">
        <v>2017</v>
      </c>
      <c r="B196" t="s">
        <v>25</v>
      </c>
      <c r="C196" t="s">
        <v>23</v>
      </c>
      <c r="D196" s="2">
        <v>444</v>
      </c>
      <c r="E196" s="2">
        <v>7314</v>
      </c>
      <c r="F196" t="s">
        <v>388</v>
      </c>
      <c r="G196">
        <v>8</v>
      </c>
      <c r="H196">
        <v>8</v>
      </c>
      <c r="I196">
        <v>0</v>
      </c>
      <c r="J196">
        <v>0</v>
      </c>
      <c r="K196">
        <v>0</v>
      </c>
      <c r="L196" s="6">
        <f t="shared" si="29"/>
        <v>1</v>
      </c>
      <c r="M196">
        <v>161</v>
      </c>
      <c r="N196">
        <v>20</v>
      </c>
      <c r="O196" s="9">
        <v>0</v>
      </c>
      <c r="P196">
        <v>0</v>
      </c>
      <c r="Q196">
        <v>46</v>
      </c>
      <c r="R196">
        <v>0</v>
      </c>
      <c r="S196">
        <v>93</v>
      </c>
      <c r="T196">
        <v>2</v>
      </c>
      <c r="U196" s="3">
        <f t="shared" si="26"/>
        <v>1</v>
      </c>
      <c r="V196" s="3">
        <f t="shared" si="28"/>
        <v>1</v>
      </c>
    </row>
    <row r="197" spans="1:22" x14ac:dyDescent="0.25">
      <c r="A197" s="2">
        <v>2017</v>
      </c>
      <c r="B197" t="s">
        <v>25</v>
      </c>
      <c r="C197" t="s">
        <v>23</v>
      </c>
      <c r="D197" s="2">
        <v>505</v>
      </c>
      <c r="E197" s="2">
        <v>8344</v>
      </c>
      <c r="F197" t="s">
        <v>389</v>
      </c>
      <c r="G197">
        <v>26</v>
      </c>
      <c r="H197">
        <v>26</v>
      </c>
      <c r="I197">
        <v>0</v>
      </c>
      <c r="J197">
        <v>0</v>
      </c>
      <c r="K197">
        <v>0</v>
      </c>
      <c r="L197" s="6">
        <f t="shared" si="29"/>
        <v>1</v>
      </c>
      <c r="M197">
        <v>418</v>
      </c>
      <c r="N197">
        <v>71</v>
      </c>
      <c r="O197" s="9">
        <v>0</v>
      </c>
      <c r="P197">
        <v>0</v>
      </c>
      <c r="Q197">
        <v>178</v>
      </c>
      <c r="R197">
        <v>0</v>
      </c>
      <c r="S197">
        <v>168</v>
      </c>
      <c r="T197">
        <v>1</v>
      </c>
      <c r="U197" s="3">
        <f t="shared" si="26"/>
        <v>1</v>
      </c>
      <c r="V197" s="3">
        <f t="shared" si="28"/>
        <v>1</v>
      </c>
    </row>
    <row r="198" spans="1:22" x14ac:dyDescent="0.25">
      <c r="A198" s="2">
        <v>2017</v>
      </c>
      <c r="B198" t="s">
        <v>25</v>
      </c>
      <c r="C198" t="s">
        <v>23</v>
      </c>
      <c r="D198" s="2">
        <v>599</v>
      </c>
      <c r="E198" s="2">
        <v>123211</v>
      </c>
      <c r="F198" t="s">
        <v>422</v>
      </c>
      <c r="G198">
        <v>0</v>
      </c>
      <c r="H198">
        <v>0</v>
      </c>
      <c r="I198">
        <v>0</v>
      </c>
      <c r="J198">
        <v>0</v>
      </c>
      <c r="K198">
        <v>0</v>
      </c>
      <c r="L198" s="6">
        <f t="shared" si="29"/>
        <v>0</v>
      </c>
      <c r="M198">
        <v>2</v>
      </c>
      <c r="N198">
        <v>2</v>
      </c>
      <c r="O198" s="9">
        <v>0</v>
      </c>
      <c r="P198">
        <v>0</v>
      </c>
      <c r="R198">
        <v>0</v>
      </c>
      <c r="S198">
        <v>0</v>
      </c>
      <c r="T198">
        <v>0</v>
      </c>
      <c r="U198" s="3">
        <f t="shared" si="26"/>
        <v>1</v>
      </c>
      <c r="V198" s="3">
        <f t="shared" si="28"/>
        <v>1</v>
      </c>
    </row>
    <row r="199" spans="1:22" x14ac:dyDescent="0.25">
      <c r="A199" s="2">
        <v>2017</v>
      </c>
      <c r="B199" t="s">
        <v>25</v>
      </c>
      <c r="C199" t="s">
        <v>24</v>
      </c>
      <c r="D199" s="2">
        <v>136</v>
      </c>
      <c r="E199" s="2">
        <v>121923</v>
      </c>
      <c r="F199" t="s">
        <v>41</v>
      </c>
      <c r="G199">
        <v>11</v>
      </c>
      <c r="H199">
        <v>11</v>
      </c>
      <c r="I199">
        <v>0</v>
      </c>
      <c r="J199">
        <v>0</v>
      </c>
      <c r="K199">
        <v>0</v>
      </c>
      <c r="L199" s="6">
        <f t="shared" si="29"/>
        <v>1</v>
      </c>
      <c r="M199">
        <v>147</v>
      </c>
      <c r="N199">
        <v>27</v>
      </c>
      <c r="O199" s="9">
        <v>0</v>
      </c>
      <c r="P199">
        <v>0</v>
      </c>
      <c r="Q199">
        <v>68</v>
      </c>
      <c r="R199">
        <v>0</v>
      </c>
      <c r="S199">
        <v>52</v>
      </c>
      <c r="T199">
        <v>0</v>
      </c>
      <c r="U199" s="3">
        <f t="shared" si="26"/>
        <v>1</v>
      </c>
      <c r="V199" s="3">
        <f t="shared" ref="V199:V227" si="30">(H199+I199+J199+N199+Q199+S199+T199)/(G199+M199)</f>
        <v>1</v>
      </c>
    </row>
    <row r="200" spans="1:22" x14ac:dyDescent="0.25">
      <c r="A200" s="2">
        <v>2017</v>
      </c>
      <c r="B200" t="s">
        <v>25</v>
      </c>
      <c r="C200" t="s">
        <v>24</v>
      </c>
      <c r="D200" s="2">
        <v>13</v>
      </c>
      <c r="E200" s="2">
        <v>5621</v>
      </c>
      <c r="F200" t="s">
        <v>390</v>
      </c>
      <c r="G200">
        <v>7</v>
      </c>
      <c r="H200">
        <v>7</v>
      </c>
      <c r="I200">
        <v>0</v>
      </c>
      <c r="J200">
        <v>0</v>
      </c>
      <c r="K200">
        <v>0</v>
      </c>
      <c r="L200" s="6">
        <f t="shared" si="29"/>
        <v>1</v>
      </c>
      <c r="M200">
        <v>210</v>
      </c>
      <c r="N200">
        <v>32</v>
      </c>
      <c r="O200" s="9">
        <v>0</v>
      </c>
      <c r="P200">
        <v>0</v>
      </c>
      <c r="Q200">
        <v>90</v>
      </c>
      <c r="R200">
        <v>3</v>
      </c>
      <c r="S200">
        <v>83</v>
      </c>
      <c r="T200">
        <v>2</v>
      </c>
      <c r="U200" s="3">
        <f t="shared" si="26"/>
        <v>0.98571428571428577</v>
      </c>
      <c r="V200" s="3">
        <f t="shared" si="30"/>
        <v>0.98617511520737322</v>
      </c>
    </row>
    <row r="201" spans="1:22" x14ac:dyDescent="0.25">
      <c r="A201" s="2">
        <v>2017</v>
      </c>
      <c r="B201" t="s">
        <v>25</v>
      </c>
      <c r="C201" t="s">
        <v>24</v>
      </c>
      <c r="D201" s="2">
        <v>115</v>
      </c>
      <c r="E201" s="2">
        <v>119430</v>
      </c>
      <c r="F201" t="s">
        <v>391</v>
      </c>
      <c r="G201">
        <v>4</v>
      </c>
      <c r="H201">
        <v>3</v>
      </c>
      <c r="I201">
        <v>0</v>
      </c>
      <c r="J201">
        <v>1</v>
      </c>
      <c r="K201">
        <v>0</v>
      </c>
      <c r="L201" s="6">
        <f t="shared" si="29"/>
        <v>1</v>
      </c>
      <c r="M201">
        <v>159</v>
      </c>
      <c r="N201">
        <v>36</v>
      </c>
      <c r="O201" s="9">
        <v>0</v>
      </c>
      <c r="P201">
        <v>0</v>
      </c>
      <c r="Q201">
        <v>76</v>
      </c>
      <c r="R201">
        <v>0</v>
      </c>
      <c r="S201">
        <v>46</v>
      </c>
      <c r="T201">
        <v>1</v>
      </c>
      <c r="U201" s="3">
        <f t="shared" si="26"/>
        <v>1</v>
      </c>
      <c r="V201" s="3">
        <f t="shared" si="30"/>
        <v>1</v>
      </c>
    </row>
    <row r="202" spans="1:22" x14ac:dyDescent="0.25">
      <c r="A202" s="2">
        <v>2017</v>
      </c>
      <c r="B202" t="s">
        <v>25</v>
      </c>
      <c r="C202" t="s">
        <v>24</v>
      </c>
      <c r="D202" s="2">
        <v>16</v>
      </c>
      <c r="E202" s="2">
        <v>5774</v>
      </c>
      <c r="F202" t="s">
        <v>392</v>
      </c>
      <c r="G202">
        <v>9</v>
      </c>
      <c r="H202">
        <v>9</v>
      </c>
      <c r="I202">
        <v>0</v>
      </c>
      <c r="J202">
        <v>0</v>
      </c>
      <c r="K202">
        <v>0</v>
      </c>
      <c r="L202" s="6">
        <f t="shared" si="29"/>
        <v>1</v>
      </c>
      <c r="M202">
        <v>235</v>
      </c>
      <c r="N202">
        <v>50</v>
      </c>
      <c r="O202" s="9">
        <v>0</v>
      </c>
      <c r="P202">
        <v>1</v>
      </c>
      <c r="Q202">
        <v>96</v>
      </c>
      <c r="R202">
        <v>3</v>
      </c>
      <c r="S202">
        <v>84</v>
      </c>
      <c r="T202">
        <v>1</v>
      </c>
      <c r="U202" s="3">
        <f t="shared" si="26"/>
        <v>0.98297872340425529</v>
      </c>
      <c r="V202" s="3">
        <f t="shared" si="30"/>
        <v>0.98360655737704916</v>
      </c>
    </row>
    <row r="203" spans="1:22" x14ac:dyDescent="0.25">
      <c r="A203" s="2">
        <v>2017</v>
      </c>
      <c r="B203" t="s">
        <v>25</v>
      </c>
      <c r="C203" t="s">
        <v>24</v>
      </c>
      <c r="D203" s="2">
        <v>107</v>
      </c>
      <c r="E203" s="2">
        <v>119171</v>
      </c>
      <c r="F203" t="s">
        <v>393</v>
      </c>
      <c r="G203">
        <v>7</v>
      </c>
      <c r="H203">
        <v>7</v>
      </c>
      <c r="I203">
        <v>0</v>
      </c>
      <c r="J203">
        <v>0</v>
      </c>
      <c r="K203">
        <v>0</v>
      </c>
      <c r="L203" s="6">
        <f t="shared" si="29"/>
        <v>1</v>
      </c>
      <c r="M203">
        <v>86</v>
      </c>
      <c r="N203">
        <v>20</v>
      </c>
      <c r="O203" s="9">
        <v>0</v>
      </c>
      <c r="P203">
        <v>0</v>
      </c>
      <c r="Q203">
        <v>28</v>
      </c>
      <c r="R203">
        <v>0</v>
      </c>
      <c r="S203">
        <v>36</v>
      </c>
      <c r="T203">
        <v>2</v>
      </c>
      <c r="U203" s="3">
        <f t="shared" si="26"/>
        <v>1</v>
      </c>
      <c r="V203" s="3">
        <f t="shared" si="30"/>
        <v>1</v>
      </c>
    </row>
    <row r="204" spans="1:22" x14ac:dyDescent="0.25">
      <c r="A204" s="2">
        <v>2017</v>
      </c>
      <c r="B204" t="s">
        <v>25</v>
      </c>
      <c r="C204" t="s">
        <v>24</v>
      </c>
      <c r="D204" s="2">
        <v>14</v>
      </c>
      <c r="E204" s="2">
        <v>5614</v>
      </c>
      <c r="F204" t="s">
        <v>423</v>
      </c>
      <c r="G204">
        <v>0</v>
      </c>
      <c r="H204">
        <v>0</v>
      </c>
      <c r="I204">
        <v>0</v>
      </c>
      <c r="J204">
        <v>0</v>
      </c>
      <c r="K204">
        <v>0</v>
      </c>
      <c r="L204" s="6">
        <f t="shared" si="29"/>
        <v>0</v>
      </c>
      <c r="M204">
        <v>1</v>
      </c>
      <c r="N204">
        <v>0</v>
      </c>
      <c r="O204" s="9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 s="3">
        <f t="shared" si="26"/>
        <v>1</v>
      </c>
      <c r="V204" s="3">
        <f t="shared" si="30"/>
        <v>1</v>
      </c>
    </row>
    <row r="205" spans="1:22" x14ac:dyDescent="0.25">
      <c r="A205" s="2">
        <v>2017</v>
      </c>
      <c r="B205" t="s">
        <v>25</v>
      </c>
      <c r="C205" t="s">
        <v>24</v>
      </c>
      <c r="D205" s="2">
        <v>104</v>
      </c>
      <c r="E205" s="2">
        <v>118880</v>
      </c>
      <c r="F205" t="s">
        <v>394</v>
      </c>
      <c r="G205">
        <v>11</v>
      </c>
      <c r="H205">
        <v>11</v>
      </c>
      <c r="I205">
        <v>0</v>
      </c>
      <c r="J205">
        <v>0</v>
      </c>
      <c r="K205">
        <v>0</v>
      </c>
      <c r="L205" s="6">
        <f t="shared" si="29"/>
        <v>1</v>
      </c>
      <c r="M205">
        <v>203</v>
      </c>
      <c r="N205">
        <v>45</v>
      </c>
      <c r="O205" s="9">
        <v>0</v>
      </c>
      <c r="P205">
        <v>1</v>
      </c>
      <c r="Q205">
        <v>81</v>
      </c>
      <c r="R205">
        <v>0</v>
      </c>
      <c r="S205">
        <v>76</v>
      </c>
      <c r="T205">
        <v>0</v>
      </c>
      <c r="U205" s="3">
        <f t="shared" si="26"/>
        <v>0.99507389162561577</v>
      </c>
      <c r="V205" s="3">
        <f t="shared" si="30"/>
        <v>0.99532710280373837</v>
      </c>
    </row>
    <row r="206" spans="1:22" x14ac:dyDescent="0.25">
      <c r="A206" s="2">
        <v>2017</v>
      </c>
      <c r="B206" t="s">
        <v>25</v>
      </c>
      <c r="C206" t="s">
        <v>24</v>
      </c>
      <c r="D206" s="2">
        <v>132</v>
      </c>
      <c r="E206" s="2">
        <v>121352</v>
      </c>
      <c r="F206" t="s">
        <v>395</v>
      </c>
      <c r="G206">
        <v>12</v>
      </c>
      <c r="H206">
        <v>12</v>
      </c>
      <c r="I206">
        <v>0</v>
      </c>
      <c r="J206">
        <v>0</v>
      </c>
      <c r="K206">
        <v>0</v>
      </c>
      <c r="L206" s="6">
        <f t="shared" si="29"/>
        <v>1</v>
      </c>
      <c r="M206">
        <v>277</v>
      </c>
      <c r="N206">
        <v>44</v>
      </c>
      <c r="O206" s="9">
        <v>0</v>
      </c>
      <c r="P206">
        <v>4</v>
      </c>
      <c r="Q206">
        <v>118</v>
      </c>
      <c r="R206">
        <v>2</v>
      </c>
      <c r="S206">
        <v>108</v>
      </c>
      <c r="T206">
        <v>1</v>
      </c>
      <c r="U206" s="3">
        <f t="shared" si="26"/>
        <v>0.97833935018050544</v>
      </c>
      <c r="V206" s="3">
        <f t="shared" si="30"/>
        <v>0.97923875432525953</v>
      </c>
    </row>
    <row r="207" spans="1:22" x14ac:dyDescent="0.25">
      <c r="A207" s="2">
        <v>2017</v>
      </c>
      <c r="B207" t="s">
        <v>25</v>
      </c>
      <c r="C207" t="s">
        <v>24</v>
      </c>
      <c r="D207" s="2">
        <v>84</v>
      </c>
      <c r="E207" s="2">
        <v>9529</v>
      </c>
      <c r="F207" t="s">
        <v>396</v>
      </c>
      <c r="G207">
        <v>13</v>
      </c>
      <c r="H207">
        <v>13</v>
      </c>
      <c r="I207">
        <v>0</v>
      </c>
      <c r="J207">
        <v>0</v>
      </c>
      <c r="K207">
        <v>0</v>
      </c>
      <c r="L207" s="6">
        <f t="shared" si="29"/>
        <v>1</v>
      </c>
      <c r="M207">
        <v>236</v>
      </c>
      <c r="N207">
        <v>52</v>
      </c>
      <c r="O207" s="9">
        <v>0</v>
      </c>
      <c r="P207">
        <v>0</v>
      </c>
      <c r="Q207">
        <v>100</v>
      </c>
      <c r="R207">
        <v>1</v>
      </c>
      <c r="S207">
        <v>81</v>
      </c>
      <c r="T207">
        <v>2</v>
      </c>
      <c r="U207" s="3">
        <f t="shared" si="26"/>
        <v>0.99576271186440679</v>
      </c>
      <c r="V207" s="3">
        <f t="shared" si="30"/>
        <v>0.99598393574297184</v>
      </c>
    </row>
    <row r="208" spans="1:22" x14ac:dyDescent="0.25">
      <c r="A208" s="2">
        <v>2017</v>
      </c>
      <c r="B208" t="s">
        <v>25</v>
      </c>
      <c r="C208" t="s">
        <v>24</v>
      </c>
      <c r="D208" s="2">
        <v>113</v>
      </c>
      <c r="E208" s="2">
        <v>119349</v>
      </c>
      <c r="F208" t="s">
        <v>397</v>
      </c>
      <c r="G208">
        <v>19</v>
      </c>
      <c r="H208">
        <v>19</v>
      </c>
      <c r="I208">
        <v>0</v>
      </c>
      <c r="J208">
        <v>0</v>
      </c>
      <c r="K208">
        <v>0</v>
      </c>
      <c r="L208" s="6">
        <f t="shared" si="29"/>
        <v>1</v>
      </c>
      <c r="M208">
        <v>190</v>
      </c>
      <c r="N208">
        <v>37</v>
      </c>
      <c r="O208" s="9">
        <v>0</v>
      </c>
      <c r="P208">
        <v>0</v>
      </c>
      <c r="Q208">
        <v>69</v>
      </c>
      <c r="R208">
        <v>0</v>
      </c>
      <c r="S208">
        <v>79</v>
      </c>
      <c r="T208">
        <v>5</v>
      </c>
      <c r="U208" s="3">
        <f t="shared" si="26"/>
        <v>1</v>
      </c>
      <c r="V208" s="3">
        <f t="shared" si="30"/>
        <v>1</v>
      </c>
    </row>
    <row r="209" spans="1:22" x14ac:dyDescent="0.25">
      <c r="A209" s="2">
        <v>2017</v>
      </c>
      <c r="B209" t="s">
        <v>25</v>
      </c>
      <c r="C209" t="s">
        <v>24</v>
      </c>
      <c r="D209" s="2">
        <v>135</v>
      </c>
      <c r="E209" s="2">
        <v>121924</v>
      </c>
      <c r="F209" t="s">
        <v>398</v>
      </c>
      <c r="G209">
        <v>10</v>
      </c>
      <c r="H209">
        <v>10</v>
      </c>
      <c r="I209">
        <v>0</v>
      </c>
      <c r="J209">
        <v>0</v>
      </c>
      <c r="K209">
        <v>0</v>
      </c>
      <c r="L209" s="6">
        <f t="shared" si="29"/>
        <v>1</v>
      </c>
      <c r="M209">
        <v>169</v>
      </c>
      <c r="N209">
        <v>32</v>
      </c>
      <c r="O209" s="9">
        <v>0</v>
      </c>
      <c r="P209">
        <v>0</v>
      </c>
      <c r="Q209">
        <v>74</v>
      </c>
      <c r="R209">
        <v>0</v>
      </c>
      <c r="S209">
        <v>62</v>
      </c>
      <c r="T209">
        <v>1</v>
      </c>
      <c r="U209" s="3">
        <f t="shared" si="26"/>
        <v>1</v>
      </c>
      <c r="V209" s="3">
        <f t="shared" si="30"/>
        <v>1</v>
      </c>
    </row>
    <row r="210" spans="1:22" x14ac:dyDescent="0.25">
      <c r="A210" s="2">
        <v>2017</v>
      </c>
      <c r="B210" t="s">
        <v>25</v>
      </c>
      <c r="C210" t="s">
        <v>24</v>
      </c>
      <c r="D210" s="2">
        <v>110</v>
      </c>
      <c r="E210" s="2">
        <v>118697</v>
      </c>
      <c r="F210" t="s">
        <v>399</v>
      </c>
      <c r="G210">
        <v>16</v>
      </c>
      <c r="H210">
        <v>16</v>
      </c>
      <c r="I210">
        <v>0</v>
      </c>
      <c r="J210">
        <v>0</v>
      </c>
      <c r="K210">
        <v>0</v>
      </c>
      <c r="L210" s="6">
        <f t="shared" si="29"/>
        <v>1</v>
      </c>
      <c r="M210">
        <v>159</v>
      </c>
      <c r="N210">
        <v>34</v>
      </c>
      <c r="O210" s="9">
        <v>0</v>
      </c>
      <c r="P210">
        <v>0</v>
      </c>
      <c r="Q210">
        <v>71</v>
      </c>
      <c r="R210">
        <v>0</v>
      </c>
      <c r="S210">
        <v>54</v>
      </c>
      <c r="T210">
        <v>0</v>
      </c>
      <c r="U210" s="3">
        <f t="shared" si="26"/>
        <v>1</v>
      </c>
      <c r="V210" s="3">
        <f t="shared" si="30"/>
        <v>1</v>
      </c>
    </row>
    <row r="211" spans="1:22" x14ac:dyDescent="0.25">
      <c r="A211" s="2">
        <v>2017</v>
      </c>
      <c r="B211" t="s">
        <v>25</v>
      </c>
      <c r="C211" t="s">
        <v>24</v>
      </c>
      <c r="D211" s="2">
        <v>85</v>
      </c>
      <c r="E211" s="2">
        <v>10528</v>
      </c>
      <c r="F211" t="s">
        <v>400</v>
      </c>
      <c r="G211">
        <v>4</v>
      </c>
      <c r="H211">
        <v>4</v>
      </c>
      <c r="I211">
        <v>0</v>
      </c>
      <c r="J211">
        <v>0</v>
      </c>
      <c r="K211">
        <v>0</v>
      </c>
      <c r="L211" s="6">
        <f t="shared" si="29"/>
        <v>1</v>
      </c>
      <c r="M211">
        <v>44</v>
      </c>
      <c r="N211">
        <v>7</v>
      </c>
      <c r="O211" s="9">
        <v>0</v>
      </c>
      <c r="P211">
        <v>0</v>
      </c>
      <c r="Q211">
        <v>14</v>
      </c>
      <c r="R211">
        <v>0</v>
      </c>
      <c r="S211">
        <v>23</v>
      </c>
      <c r="T211">
        <v>0</v>
      </c>
      <c r="U211" s="3">
        <f t="shared" si="26"/>
        <v>1</v>
      </c>
      <c r="V211" s="3">
        <f t="shared" si="30"/>
        <v>1</v>
      </c>
    </row>
    <row r="212" spans="1:22" x14ac:dyDescent="0.25">
      <c r="A212" s="2">
        <v>2017</v>
      </c>
      <c r="B212" t="s">
        <v>25</v>
      </c>
      <c r="C212" t="s">
        <v>24</v>
      </c>
      <c r="D212" s="2">
        <v>93</v>
      </c>
      <c r="E212" s="2">
        <v>118657</v>
      </c>
      <c r="F212" t="s">
        <v>401</v>
      </c>
      <c r="G212">
        <v>15</v>
      </c>
      <c r="H212">
        <v>15</v>
      </c>
      <c r="I212">
        <v>0</v>
      </c>
      <c r="J212">
        <v>0</v>
      </c>
      <c r="K212">
        <v>0</v>
      </c>
      <c r="L212" s="6">
        <f t="shared" si="29"/>
        <v>1</v>
      </c>
      <c r="M212">
        <v>179</v>
      </c>
      <c r="N212">
        <v>33</v>
      </c>
      <c r="O212" s="9">
        <v>0</v>
      </c>
      <c r="P212">
        <v>0</v>
      </c>
      <c r="Q212">
        <v>64</v>
      </c>
      <c r="R212">
        <v>0</v>
      </c>
      <c r="S212">
        <v>81</v>
      </c>
      <c r="T212">
        <v>1</v>
      </c>
      <c r="U212" s="3">
        <f t="shared" si="26"/>
        <v>1</v>
      </c>
      <c r="V212" s="3">
        <f t="shared" si="30"/>
        <v>1</v>
      </c>
    </row>
    <row r="213" spans="1:22" x14ac:dyDescent="0.25">
      <c r="A213" s="2">
        <v>2017</v>
      </c>
      <c r="B213" t="s">
        <v>25</v>
      </c>
      <c r="C213" t="s">
        <v>24</v>
      </c>
      <c r="D213" s="2">
        <v>36</v>
      </c>
      <c r="E213" s="2">
        <v>118472</v>
      </c>
      <c r="F213" t="s">
        <v>503</v>
      </c>
      <c r="G213">
        <v>16</v>
      </c>
      <c r="H213">
        <v>16</v>
      </c>
      <c r="I213">
        <v>0</v>
      </c>
      <c r="J213">
        <v>0</v>
      </c>
      <c r="K213">
        <v>0</v>
      </c>
      <c r="L213" s="6">
        <f t="shared" si="29"/>
        <v>1</v>
      </c>
      <c r="M213">
        <v>300</v>
      </c>
      <c r="N213">
        <v>51</v>
      </c>
      <c r="O213" s="9">
        <v>0</v>
      </c>
      <c r="P213">
        <v>2</v>
      </c>
      <c r="Q213">
        <v>146</v>
      </c>
      <c r="R213">
        <v>0</v>
      </c>
      <c r="S213">
        <v>100</v>
      </c>
      <c r="T213">
        <v>1</v>
      </c>
      <c r="U213" s="3">
        <f t="shared" ref="U213:U276" si="31">IF(M213=0,0,((N213+O213+Q213+S213+T213)/M213))</f>
        <v>0.99333333333333329</v>
      </c>
      <c r="V213" s="3">
        <f t="shared" si="30"/>
        <v>0.99367088607594933</v>
      </c>
    </row>
    <row r="214" spans="1:22" x14ac:dyDescent="0.25">
      <c r="A214" s="2">
        <v>2017</v>
      </c>
      <c r="B214" t="s">
        <v>25</v>
      </c>
      <c r="C214" t="s">
        <v>24</v>
      </c>
      <c r="D214" s="2">
        <v>1</v>
      </c>
      <c r="E214" s="2">
        <v>6777</v>
      </c>
      <c r="F214" t="s">
        <v>34</v>
      </c>
      <c r="G214">
        <v>0</v>
      </c>
      <c r="H214">
        <v>0</v>
      </c>
      <c r="I214">
        <v>0</v>
      </c>
      <c r="J214">
        <v>0</v>
      </c>
      <c r="K214">
        <v>0</v>
      </c>
      <c r="L214" s="6">
        <f t="shared" si="29"/>
        <v>0</v>
      </c>
      <c r="M214">
        <v>2</v>
      </c>
      <c r="N214">
        <v>1</v>
      </c>
      <c r="O214" s="9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 s="3">
        <f t="shared" si="31"/>
        <v>1</v>
      </c>
      <c r="V214" s="3">
        <f t="shared" si="30"/>
        <v>1</v>
      </c>
    </row>
    <row r="215" spans="1:22" x14ac:dyDescent="0.25">
      <c r="A215" s="2">
        <v>2017</v>
      </c>
      <c r="B215" t="s">
        <v>25</v>
      </c>
      <c r="C215" t="s">
        <v>24</v>
      </c>
      <c r="D215" s="2">
        <v>102</v>
      </c>
      <c r="E215" s="2">
        <v>119090</v>
      </c>
      <c r="F215" t="s">
        <v>402</v>
      </c>
      <c r="G215">
        <v>6</v>
      </c>
      <c r="H215">
        <v>6</v>
      </c>
      <c r="I215">
        <v>0</v>
      </c>
      <c r="J215">
        <v>0</v>
      </c>
      <c r="K215">
        <v>0</v>
      </c>
      <c r="L215" s="6">
        <f t="shared" si="29"/>
        <v>1</v>
      </c>
      <c r="M215">
        <v>122</v>
      </c>
      <c r="N215">
        <v>24</v>
      </c>
      <c r="O215" s="9">
        <v>0</v>
      </c>
      <c r="P215">
        <v>0</v>
      </c>
      <c r="Q215">
        <v>52</v>
      </c>
      <c r="R215">
        <v>0</v>
      </c>
      <c r="S215">
        <v>46</v>
      </c>
      <c r="T215">
        <v>0</v>
      </c>
      <c r="U215" s="3">
        <f t="shared" si="31"/>
        <v>1</v>
      </c>
      <c r="V215" s="3">
        <f t="shared" si="30"/>
        <v>1</v>
      </c>
    </row>
    <row r="216" spans="1:22" x14ac:dyDescent="0.25">
      <c r="A216" s="2">
        <v>2017</v>
      </c>
      <c r="B216" t="s">
        <v>25</v>
      </c>
      <c r="C216" t="s">
        <v>24</v>
      </c>
      <c r="D216" s="2">
        <v>24</v>
      </c>
      <c r="E216" s="2">
        <v>1674</v>
      </c>
      <c r="F216" t="s">
        <v>340</v>
      </c>
      <c r="G216">
        <v>0</v>
      </c>
      <c r="H216">
        <v>0</v>
      </c>
      <c r="I216">
        <v>0</v>
      </c>
      <c r="J216">
        <v>0</v>
      </c>
      <c r="K216">
        <v>0</v>
      </c>
      <c r="L216" s="6">
        <f t="shared" si="29"/>
        <v>0</v>
      </c>
      <c r="M216">
        <v>23</v>
      </c>
      <c r="N216">
        <v>8</v>
      </c>
      <c r="O216" s="9">
        <v>0</v>
      </c>
      <c r="P216">
        <v>0</v>
      </c>
      <c r="Q216">
        <v>9</v>
      </c>
      <c r="R216">
        <v>0</v>
      </c>
      <c r="S216">
        <v>6</v>
      </c>
      <c r="T216">
        <v>0</v>
      </c>
      <c r="U216" s="3">
        <f t="shared" si="31"/>
        <v>1</v>
      </c>
      <c r="V216" s="3">
        <f t="shared" si="30"/>
        <v>1</v>
      </c>
    </row>
    <row r="217" spans="1:22" x14ac:dyDescent="0.25">
      <c r="A217" s="2">
        <v>2017</v>
      </c>
      <c r="B217" t="s">
        <v>25</v>
      </c>
      <c r="C217" t="s">
        <v>24</v>
      </c>
      <c r="D217" s="2">
        <v>40</v>
      </c>
      <c r="E217" s="2">
        <v>6831</v>
      </c>
      <c r="F217" t="s">
        <v>28</v>
      </c>
      <c r="G217">
        <v>15</v>
      </c>
      <c r="H217">
        <v>15</v>
      </c>
      <c r="I217">
        <v>0</v>
      </c>
      <c r="J217">
        <v>0</v>
      </c>
      <c r="K217">
        <v>0</v>
      </c>
      <c r="L217" s="6">
        <f t="shared" si="29"/>
        <v>1</v>
      </c>
      <c r="M217">
        <v>278</v>
      </c>
      <c r="N217">
        <v>42</v>
      </c>
      <c r="O217" s="9">
        <v>0</v>
      </c>
      <c r="P217">
        <v>1</v>
      </c>
      <c r="Q217">
        <v>122</v>
      </c>
      <c r="R217">
        <v>0</v>
      </c>
      <c r="S217">
        <v>111</v>
      </c>
      <c r="T217">
        <v>2</v>
      </c>
      <c r="U217" s="3">
        <f t="shared" si="31"/>
        <v>0.99640287769784175</v>
      </c>
      <c r="V217" s="3">
        <f t="shared" si="30"/>
        <v>0.9965870307167235</v>
      </c>
    </row>
    <row r="218" spans="1:22" x14ac:dyDescent="0.25">
      <c r="A218" s="2">
        <v>2017</v>
      </c>
      <c r="B218" t="s">
        <v>25</v>
      </c>
      <c r="C218" t="s">
        <v>24</v>
      </c>
      <c r="D218" s="2">
        <v>111</v>
      </c>
      <c r="E218" s="2">
        <v>118696</v>
      </c>
      <c r="F218" t="s">
        <v>404</v>
      </c>
      <c r="G218">
        <v>12</v>
      </c>
      <c r="H218">
        <v>12</v>
      </c>
      <c r="I218">
        <v>0</v>
      </c>
      <c r="J218">
        <v>0</v>
      </c>
      <c r="K218">
        <v>0</v>
      </c>
      <c r="L218" s="6">
        <f t="shared" si="29"/>
        <v>1</v>
      </c>
      <c r="M218">
        <v>189</v>
      </c>
      <c r="N218">
        <v>35</v>
      </c>
      <c r="O218" s="9">
        <v>0</v>
      </c>
      <c r="P218">
        <v>0</v>
      </c>
      <c r="Q218">
        <v>79</v>
      </c>
      <c r="R218">
        <v>0</v>
      </c>
      <c r="S218">
        <v>74</v>
      </c>
      <c r="T218">
        <v>1</v>
      </c>
      <c r="U218" s="3">
        <f t="shared" si="31"/>
        <v>1</v>
      </c>
      <c r="V218" s="3">
        <f t="shared" si="30"/>
        <v>1</v>
      </c>
    </row>
    <row r="219" spans="1:22" x14ac:dyDescent="0.25">
      <c r="A219" s="2">
        <v>2017</v>
      </c>
      <c r="B219" t="s">
        <v>25</v>
      </c>
      <c r="C219" t="s">
        <v>24</v>
      </c>
      <c r="D219" s="2">
        <v>139</v>
      </c>
      <c r="E219" s="2">
        <v>122085</v>
      </c>
      <c r="F219" t="s">
        <v>405</v>
      </c>
      <c r="G219">
        <v>9</v>
      </c>
      <c r="H219">
        <v>9</v>
      </c>
      <c r="I219">
        <v>0</v>
      </c>
      <c r="J219">
        <v>0</v>
      </c>
      <c r="K219">
        <v>0</v>
      </c>
      <c r="L219" s="6">
        <f t="shared" si="29"/>
        <v>1</v>
      </c>
      <c r="M219">
        <v>225</v>
      </c>
      <c r="N219">
        <v>62</v>
      </c>
      <c r="O219" s="9">
        <v>0</v>
      </c>
      <c r="P219">
        <v>0</v>
      </c>
      <c r="Q219">
        <v>82</v>
      </c>
      <c r="R219">
        <v>0</v>
      </c>
      <c r="S219">
        <v>81</v>
      </c>
      <c r="T219">
        <v>0</v>
      </c>
      <c r="U219" s="3">
        <f t="shared" si="31"/>
        <v>1</v>
      </c>
      <c r="V219" s="3">
        <f t="shared" si="30"/>
        <v>1</v>
      </c>
    </row>
    <row r="220" spans="1:22" x14ac:dyDescent="0.25">
      <c r="A220" s="2">
        <v>2017</v>
      </c>
      <c r="B220" t="s">
        <v>25</v>
      </c>
      <c r="C220" t="s">
        <v>24</v>
      </c>
      <c r="D220" s="2">
        <v>134</v>
      </c>
      <c r="E220" s="2">
        <v>4968</v>
      </c>
      <c r="F220" t="s">
        <v>29</v>
      </c>
      <c r="G220">
        <v>9</v>
      </c>
      <c r="H220">
        <v>9</v>
      </c>
      <c r="I220">
        <v>0</v>
      </c>
      <c r="J220">
        <v>0</v>
      </c>
      <c r="K220">
        <v>0</v>
      </c>
      <c r="L220" s="6">
        <f t="shared" si="29"/>
        <v>1</v>
      </c>
      <c r="M220">
        <v>280</v>
      </c>
      <c r="N220">
        <v>55</v>
      </c>
      <c r="O220" s="9">
        <v>0</v>
      </c>
      <c r="P220">
        <v>1</v>
      </c>
      <c r="Q220">
        <v>124</v>
      </c>
      <c r="R220">
        <v>6</v>
      </c>
      <c r="S220">
        <v>93</v>
      </c>
      <c r="T220">
        <v>1</v>
      </c>
      <c r="U220" s="3">
        <f t="shared" si="31"/>
        <v>0.97499999999999998</v>
      </c>
      <c r="V220" s="3">
        <f t="shared" si="30"/>
        <v>0.97577854671280273</v>
      </c>
    </row>
    <row r="221" spans="1:22" x14ac:dyDescent="0.25">
      <c r="A221" s="2">
        <v>2017</v>
      </c>
      <c r="B221" t="s">
        <v>25</v>
      </c>
      <c r="C221" t="s">
        <v>24</v>
      </c>
      <c r="D221" s="2">
        <v>131</v>
      </c>
      <c r="E221" s="2">
        <v>121355</v>
      </c>
      <c r="F221" t="s">
        <v>504</v>
      </c>
      <c r="G221">
        <v>6</v>
      </c>
      <c r="H221">
        <v>6</v>
      </c>
      <c r="I221">
        <v>0</v>
      </c>
      <c r="J221">
        <v>0</v>
      </c>
      <c r="K221">
        <v>0</v>
      </c>
      <c r="L221" s="6">
        <f t="shared" si="29"/>
        <v>1</v>
      </c>
      <c r="M221">
        <v>101</v>
      </c>
      <c r="N221">
        <v>18</v>
      </c>
      <c r="O221" s="9">
        <v>0</v>
      </c>
      <c r="P221">
        <v>0</v>
      </c>
      <c r="Q221">
        <v>42</v>
      </c>
      <c r="R221">
        <v>0</v>
      </c>
      <c r="S221">
        <v>39</v>
      </c>
      <c r="T221">
        <v>2</v>
      </c>
      <c r="U221" s="3">
        <f t="shared" si="31"/>
        <v>1</v>
      </c>
      <c r="V221" s="3">
        <f t="shared" si="30"/>
        <v>1</v>
      </c>
    </row>
    <row r="222" spans="1:22" x14ac:dyDescent="0.25">
      <c r="A222" s="2">
        <v>2017</v>
      </c>
      <c r="B222" t="s">
        <v>25</v>
      </c>
      <c r="C222" t="s">
        <v>24</v>
      </c>
      <c r="D222" s="2">
        <v>138</v>
      </c>
      <c r="E222" s="2">
        <v>122073</v>
      </c>
      <c r="F222" t="s">
        <v>406</v>
      </c>
      <c r="G222">
        <v>13</v>
      </c>
      <c r="H222">
        <v>13</v>
      </c>
      <c r="I222">
        <v>0</v>
      </c>
      <c r="J222">
        <v>0</v>
      </c>
      <c r="K222">
        <v>0</v>
      </c>
      <c r="L222" s="6">
        <f t="shared" si="29"/>
        <v>1</v>
      </c>
      <c r="M222">
        <v>238</v>
      </c>
      <c r="N222">
        <v>40</v>
      </c>
      <c r="O222" s="9">
        <v>0</v>
      </c>
      <c r="P222">
        <v>2</v>
      </c>
      <c r="Q222">
        <v>104</v>
      </c>
      <c r="R222">
        <v>2</v>
      </c>
      <c r="S222">
        <v>90</v>
      </c>
      <c r="T222">
        <v>0</v>
      </c>
      <c r="U222" s="3">
        <f t="shared" si="31"/>
        <v>0.98319327731092432</v>
      </c>
      <c r="V222" s="3">
        <f t="shared" si="30"/>
        <v>0.98406374501992033</v>
      </c>
    </row>
    <row r="223" spans="1:22" x14ac:dyDescent="0.25">
      <c r="A223" s="2">
        <v>2017</v>
      </c>
      <c r="B223" t="s">
        <v>25</v>
      </c>
      <c r="C223" t="s">
        <v>24</v>
      </c>
      <c r="D223" s="2">
        <v>150</v>
      </c>
      <c r="E223" s="2">
        <v>123118</v>
      </c>
      <c r="F223" t="s">
        <v>30</v>
      </c>
      <c r="G223">
        <v>6</v>
      </c>
      <c r="H223">
        <v>6</v>
      </c>
      <c r="I223">
        <v>0</v>
      </c>
      <c r="J223">
        <v>0</v>
      </c>
      <c r="K223">
        <v>0</v>
      </c>
      <c r="L223" s="6">
        <f t="shared" si="29"/>
        <v>1</v>
      </c>
      <c r="M223">
        <v>130</v>
      </c>
      <c r="N223">
        <v>24</v>
      </c>
      <c r="O223" s="9">
        <v>0</v>
      </c>
      <c r="P223">
        <v>0</v>
      </c>
      <c r="Q223">
        <v>52</v>
      </c>
      <c r="R223">
        <v>0</v>
      </c>
      <c r="S223">
        <v>53</v>
      </c>
      <c r="T223">
        <v>1</v>
      </c>
      <c r="U223" s="3">
        <f t="shared" si="31"/>
        <v>1</v>
      </c>
      <c r="V223" s="3">
        <f t="shared" si="30"/>
        <v>1</v>
      </c>
    </row>
    <row r="224" spans="1:22" x14ac:dyDescent="0.25">
      <c r="A224" s="2">
        <v>2017</v>
      </c>
      <c r="B224" t="s">
        <v>25</v>
      </c>
      <c r="C224" t="s">
        <v>24</v>
      </c>
      <c r="D224" s="2">
        <v>151</v>
      </c>
      <c r="E224" s="2">
        <v>123113</v>
      </c>
      <c r="F224" t="s">
        <v>424</v>
      </c>
      <c r="G224">
        <v>7</v>
      </c>
      <c r="H224">
        <v>7</v>
      </c>
      <c r="I224">
        <v>0</v>
      </c>
      <c r="J224">
        <v>0</v>
      </c>
      <c r="K224">
        <v>0</v>
      </c>
      <c r="L224" s="6">
        <f t="shared" si="29"/>
        <v>1</v>
      </c>
      <c r="M224">
        <v>111</v>
      </c>
      <c r="N224">
        <v>15</v>
      </c>
      <c r="O224" s="9">
        <v>0</v>
      </c>
      <c r="P224">
        <v>0</v>
      </c>
      <c r="Q224">
        <v>55</v>
      </c>
      <c r="R224">
        <v>0</v>
      </c>
      <c r="S224">
        <v>41</v>
      </c>
      <c r="T224">
        <v>0</v>
      </c>
      <c r="U224" s="3">
        <f t="shared" si="31"/>
        <v>1</v>
      </c>
      <c r="V224" s="3">
        <f t="shared" si="30"/>
        <v>1</v>
      </c>
    </row>
    <row r="225" spans="1:22" x14ac:dyDescent="0.25">
      <c r="A225" s="2">
        <v>2017</v>
      </c>
      <c r="B225" t="s">
        <v>25</v>
      </c>
      <c r="C225" t="s">
        <v>24</v>
      </c>
      <c r="D225" s="2">
        <v>39</v>
      </c>
      <c r="E225" s="2">
        <v>6832</v>
      </c>
      <c r="F225" t="s">
        <v>407</v>
      </c>
      <c r="G225">
        <v>14</v>
      </c>
      <c r="H225">
        <v>14</v>
      </c>
      <c r="I225">
        <v>0</v>
      </c>
      <c r="J225">
        <v>0</v>
      </c>
      <c r="K225">
        <v>0</v>
      </c>
      <c r="L225" s="6">
        <f t="shared" si="29"/>
        <v>1</v>
      </c>
      <c r="M225">
        <v>234</v>
      </c>
      <c r="N225">
        <v>32</v>
      </c>
      <c r="O225" s="9">
        <v>0</v>
      </c>
      <c r="P225">
        <v>0</v>
      </c>
      <c r="Q225">
        <v>103</v>
      </c>
      <c r="R225">
        <v>0</v>
      </c>
      <c r="S225">
        <v>98</v>
      </c>
      <c r="T225">
        <v>1</v>
      </c>
      <c r="U225" s="3">
        <f t="shared" si="31"/>
        <v>1</v>
      </c>
      <c r="V225" s="3">
        <f t="shared" si="30"/>
        <v>1</v>
      </c>
    </row>
    <row r="226" spans="1:22" x14ac:dyDescent="0.25">
      <c r="A226" s="2">
        <v>2017</v>
      </c>
      <c r="B226" t="s">
        <v>25</v>
      </c>
      <c r="C226" t="s">
        <v>24</v>
      </c>
      <c r="D226" s="2">
        <v>78</v>
      </c>
      <c r="E226" s="2">
        <v>8720</v>
      </c>
      <c r="F226" t="s">
        <v>408</v>
      </c>
      <c r="G226">
        <v>11</v>
      </c>
      <c r="H226">
        <v>11</v>
      </c>
      <c r="I226">
        <v>0</v>
      </c>
      <c r="J226">
        <v>0</v>
      </c>
      <c r="K226">
        <v>0</v>
      </c>
      <c r="L226" s="6">
        <f t="shared" si="29"/>
        <v>1</v>
      </c>
      <c r="M226">
        <v>188</v>
      </c>
      <c r="N226">
        <v>31</v>
      </c>
      <c r="O226" s="9">
        <v>0</v>
      </c>
      <c r="P226">
        <v>3</v>
      </c>
      <c r="Q226">
        <v>85</v>
      </c>
      <c r="R226">
        <v>0</v>
      </c>
      <c r="S226">
        <v>67</v>
      </c>
      <c r="T226">
        <v>2</v>
      </c>
      <c r="U226" s="3">
        <f t="shared" si="31"/>
        <v>0.98404255319148937</v>
      </c>
      <c r="V226" s="3">
        <f t="shared" si="30"/>
        <v>0.98492462311557794</v>
      </c>
    </row>
    <row r="227" spans="1:22" x14ac:dyDescent="0.25">
      <c r="A227" s="2">
        <v>2017</v>
      </c>
      <c r="B227" t="s">
        <v>25</v>
      </c>
      <c r="C227" t="s">
        <v>20</v>
      </c>
      <c r="D227" s="2">
        <v>574</v>
      </c>
      <c r="E227" s="2">
        <v>121277</v>
      </c>
      <c r="F227" t="s">
        <v>330</v>
      </c>
      <c r="G227">
        <v>6</v>
      </c>
      <c r="H227">
        <v>6</v>
      </c>
      <c r="I227">
        <v>0</v>
      </c>
      <c r="J227">
        <v>0</v>
      </c>
      <c r="K227">
        <v>0</v>
      </c>
      <c r="L227" s="6">
        <f t="shared" si="29"/>
        <v>1</v>
      </c>
      <c r="M227">
        <v>91</v>
      </c>
      <c r="N227">
        <v>13</v>
      </c>
      <c r="O227" s="9">
        <v>0</v>
      </c>
      <c r="P227">
        <v>0</v>
      </c>
      <c r="Q227">
        <v>33</v>
      </c>
      <c r="R227">
        <v>1</v>
      </c>
      <c r="S227">
        <v>43</v>
      </c>
      <c r="T227">
        <v>1</v>
      </c>
      <c r="U227" s="3">
        <f t="shared" si="31"/>
        <v>0.98901098901098905</v>
      </c>
      <c r="V227" s="3">
        <f t="shared" si="30"/>
        <v>0.98969072164948457</v>
      </c>
    </row>
    <row r="228" spans="1:22" x14ac:dyDescent="0.25">
      <c r="A228" s="2">
        <v>2017</v>
      </c>
      <c r="B228" t="s">
        <v>25</v>
      </c>
      <c r="C228" t="s">
        <v>20</v>
      </c>
      <c r="D228" s="2">
        <v>537</v>
      </c>
      <c r="E228" s="2">
        <v>118663</v>
      </c>
      <c r="F228" t="s">
        <v>425</v>
      </c>
      <c r="G228">
        <v>0</v>
      </c>
      <c r="H228">
        <v>0</v>
      </c>
      <c r="I228">
        <v>0</v>
      </c>
      <c r="J228">
        <v>0</v>
      </c>
      <c r="K228">
        <v>0</v>
      </c>
      <c r="L228" s="6">
        <f t="shared" si="29"/>
        <v>0</v>
      </c>
      <c r="M228">
        <v>1</v>
      </c>
      <c r="N228">
        <v>0</v>
      </c>
      <c r="O228" s="9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 s="3">
        <f t="shared" si="31"/>
        <v>1</v>
      </c>
      <c r="V228" s="3">
        <f t="shared" ref="V228:V291" si="32">(H228+I228+J228+N228+Q228+S228+T228)/(G228+M228)</f>
        <v>1</v>
      </c>
    </row>
    <row r="229" spans="1:22" x14ac:dyDescent="0.25">
      <c r="A229" s="2">
        <v>2017</v>
      </c>
      <c r="B229" t="s">
        <v>25</v>
      </c>
      <c r="C229" t="s">
        <v>20</v>
      </c>
      <c r="D229" s="2">
        <v>772</v>
      </c>
      <c r="E229" s="2">
        <v>5384</v>
      </c>
      <c r="F229" t="s">
        <v>331</v>
      </c>
      <c r="G229">
        <v>0</v>
      </c>
      <c r="H229">
        <v>0</v>
      </c>
      <c r="I229">
        <v>0</v>
      </c>
      <c r="J229">
        <v>0</v>
      </c>
      <c r="K229">
        <v>0</v>
      </c>
      <c r="L229" s="6">
        <f t="shared" si="29"/>
        <v>0</v>
      </c>
      <c r="M229">
        <v>58</v>
      </c>
      <c r="N229">
        <v>4</v>
      </c>
      <c r="O229" s="9">
        <v>0</v>
      </c>
      <c r="P229">
        <v>0</v>
      </c>
      <c r="Q229">
        <v>33</v>
      </c>
      <c r="R229">
        <v>0</v>
      </c>
      <c r="S229">
        <v>18</v>
      </c>
      <c r="T229">
        <v>3</v>
      </c>
      <c r="U229" s="3">
        <f t="shared" si="31"/>
        <v>1</v>
      </c>
      <c r="V229" s="3">
        <f t="shared" si="32"/>
        <v>1</v>
      </c>
    </row>
    <row r="230" spans="1:22" x14ac:dyDescent="0.25">
      <c r="A230" s="2">
        <v>2017</v>
      </c>
      <c r="B230" t="s">
        <v>25</v>
      </c>
      <c r="C230" t="s">
        <v>20</v>
      </c>
      <c r="D230" s="2">
        <v>590</v>
      </c>
      <c r="E230" s="2">
        <v>122682</v>
      </c>
      <c r="F230" t="s">
        <v>334</v>
      </c>
      <c r="G230">
        <v>6</v>
      </c>
      <c r="H230">
        <v>6</v>
      </c>
      <c r="I230">
        <v>0</v>
      </c>
      <c r="J230">
        <v>0</v>
      </c>
      <c r="K230">
        <v>0</v>
      </c>
      <c r="L230" s="6">
        <f t="shared" si="29"/>
        <v>1</v>
      </c>
      <c r="M230">
        <v>92</v>
      </c>
      <c r="N230">
        <v>13</v>
      </c>
      <c r="O230" s="9">
        <v>0</v>
      </c>
      <c r="P230">
        <v>0</v>
      </c>
      <c r="Q230">
        <v>36</v>
      </c>
      <c r="R230">
        <v>0</v>
      </c>
      <c r="S230">
        <v>38</v>
      </c>
      <c r="T230">
        <v>5</v>
      </c>
      <c r="U230" s="3">
        <f t="shared" si="31"/>
        <v>1</v>
      </c>
      <c r="V230" s="3">
        <f t="shared" si="32"/>
        <v>1</v>
      </c>
    </row>
    <row r="231" spans="1:22" x14ac:dyDescent="0.25">
      <c r="A231" s="2">
        <v>2017</v>
      </c>
      <c r="B231" t="s">
        <v>25</v>
      </c>
      <c r="C231" t="s">
        <v>20</v>
      </c>
      <c r="D231" s="2">
        <v>582</v>
      </c>
      <c r="E231" s="2">
        <v>222222222</v>
      </c>
      <c r="F231" s="5" t="s">
        <v>426</v>
      </c>
      <c r="G231">
        <v>0</v>
      </c>
      <c r="H231">
        <v>0</v>
      </c>
      <c r="I231">
        <v>0</v>
      </c>
      <c r="J231">
        <v>0</v>
      </c>
      <c r="K231">
        <v>0</v>
      </c>
      <c r="L231" s="6">
        <f t="shared" si="29"/>
        <v>0</v>
      </c>
      <c r="M231">
        <v>4</v>
      </c>
      <c r="N231">
        <v>1</v>
      </c>
      <c r="O231" s="9">
        <v>0</v>
      </c>
      <c r="P231">
        <v>0</v>
      </c>
      <c r="Q231">
        <v>3</v>
      </c>
      <c r="R231">
        <v>0</v>
      </c>
      <c r="S231">
        <v>0</v>
      </c>
      <c r="T231">
        <v>0</v>
      </c>
      <c r="U231" s="3">
        <f t="shared" si="31"/>
        <v>1</v>
      </c>
      <c r="V231" s="3">
        <f t="shared" si="32"/>
        <v>1</v>
      </c>
    </row>
    <row r="232" spans="1:22" x14ac:dyDescent="0.25">
      <c r="A232" s="2">
        <v>2017</v>
      </c>
      <c r="B232" t="s">
        <v>25</v>
      </c>
      <c r="C232" t="s">
        <v>20</v>
      </c>
      <c r="D232" s="2">
        <v>586</v>
      </c>
      <c r="E232" s="2">
        <v>122754</v>
      </c>
      <c r="F232" t="s">
        <v>335</v>
      </c>
      <c r="G232">
        <v>18</v>
      </c>
      <c r="H232">
        <v>17</v>
      </c>
      <c r="I232">
        <v>1</v>
      </c>
      <c r="J232">
        <v>0</v>
      </c>
      <c r="K232">
        <v>0</v>
      </c>
      <c r="L232" s="6">
        <f t="shared" si="29"/>
        <v>1</v>
      </c>
      <c r="M232">
        <v>134</v>
      </c>
      <c r="N232">
        <v>12</v>
      </c>
      <c r="O232" s="9">
        <v>0</v>
      </c>
      <c r="P232">
        <v>0</v>
      </c>
      <c r="Q232">
        <v>60</v>
      </c>
      <c r="R232">
        <v>0</v>
      </c>
      <c r="S232">
        <v>57</v>
      </c>
      <c r="T232">
        <v>5</v>
      </c>
      <c r="U232" s="3">
        <f t="shared" si="31"/>
        <v>1</v>
      </c>
      <c r="V232" s="3">
        <f t="shared" si="32"/>
        <v>1</v>
      </c>
    </row>
    <row r="233" spans="1:22" x14ac:dyDescent="0.25">
      <c r="A233" s="2">
        <v>2017</v>
      </c>
      <c r="B233" t="s">
        <v>25</v>
      </c>
      <c r="C233" t="s">
        <v>20</v>
      </c>
      <c r="D233" s="2">
        <v>547</v>
      </c>
      <c r="E233" s="2">
        <v>222222222</v>
      </c>
      <c r="F233" t="s">
        <v>427</v>
      </c>
      <c r="G233">
        <v>0</v>
      </c>
      <c r="H233">
        <v>0</v>
      </c>
      <c r="I233">
        <v>0</v>
      </c>
      <c r="J233">
        <v>0</v>
      </c>
      <c r="K233">
        <v>0</v>
      </c>
      <c r="L233" s="6">
        <f t="shared" si="29"/>
        <v>0</v>
      </c>
      <c r="M233">
        <v>1</v>
      </c>
      <c r="N233">
        <v>0</v>
      </c>
      <c r="O233" s="9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 s="3">
        <f t="shared" si="31"/>
        <v>1</v>
      </c>
      <c r="V233" s="3">
        <f t="shared" si="32"/>
        <v>1</v>
      </c>
    </row>
    <row r="234" spans="1:22" x14ac:dyDescent="0.25">
      <c r="A234" s="2">
        <v>2017</v>
      </c>
      <c r="B234" t="s">
        <v>25</v>
      </c>
      <c r="C234" t="s">
        <v>20</v>
      </c>
      <c r="D234" s="2">
        <v>560</v>
      </c>
      <c r="E234" s="2">
        <v>119664</v>
      </c>
      <c r="F234" t="s">
        <v>336</v>
      </c>
      <c r="G234">
        <v>6</v>
      </c>
      <c r="H234">
        <v>6</v>
      </c>
      <c r="I234">
        <v>0</v>
      </c>
      <c r="J234">
        <v>0</v>
      </c>
      <c r="K234">
        <v>0</v>
      </c>
      <c r="L234" s="6">
        <f t="shared" si="29"/>
        <v>1</v>
      </c>
      <c r="M234">
        <v>205</v>
      </c>
      <c r="N234">
        <v>25</v>
      </c>
      <c r="O234" s="9">
        <v>0</v>
      </c>
      <c r="P234">
        <v>0</v>
      </c>
      <c r="Q234">
        <v>123</v>
      </c>
      <c r="R234">
        <v>3</v>
      </c>
      <c r="S234">
        <v>50</v>
      </c>
      <c r="T234">
        <v>4</v>
      </c>
      <c r="U234" s="3">
        <f t="shared" si="31"/>
        <v>0.98536585365853657</v>
      </c>
      <c r="V234" s="3">
        <f t="shared" si="32"/>
        <v>0.98578199052132698</v>
      </c>
    </row>
    <row r="235" spans="1:22" x14ac:dyDescent="0.25">
      <c r="A235" s="2">
        <v>2017</v>
      </c>
      <c r="B235" t="s">
        <v>25</v>
      </c>
      <c r="C235" t="s">
        <v>20</v>
      </c>
      <c r="D235" s="2">
        <v>530</v>
      </c>
      <c r="E235" s="2">
        <v>10559</v>
      </c>
      <c r="F235" t="s">
        <v>32</v>
      </c>
      <c r="G235">
        <v>6</v>
      </c>
      <c r="H235">
        <v>6</v>
      </c>
      <c r="I235">
        <v>0</v>
      </c>
      <c r="J235">
        <v>0</v>
      </c>
      <c r="K235">
        <v>0</v>
      </c>
      <c r="L235" s="6">
        <f t="shared" si="29"/>
        <v>1</v>
      </c>
      <c r="M235">
        <v>289</v>
      </c>
      <c r="N235">
        <v>22</v>
      </c>
      <c r="O235" s="9">
        <v>0</v>
      </c>
      <c r="P235">
        <v>0</v>
      </c>
      <c r="Q235">
        <v>171</v>
      </c>
      <c r="R235">
        <v>0</v>
      </c>
      <c r="S235">
        <v>92</v>
      </c>
      <c r="T235">
        <v>4</v>
      </c>
      <c r="U235" s="3">
        <f t="shared" si="31"/>
        <v>1</v>
      </c>
      <c r="V235" s="3">
        <f t="shared" si="32"/>
        <v>1</v>
      </c>
    </row>
    <row r="236" spans="1:22" x14ac:dyDescent="0.25">
      <c r="A236" s="2">
        <v>2017</v>
      </c>
      <c r="B236" t="s">
        <v>25</v>
      </c>
      <c r="C236" t="s">
        <v>20</v>
      </c>
      <c r="D236" s="2">
        <v>527</v>
      </c>
      <c r="E236" s="2">
        <v>9715</v>
      </c>
      <c r="F236" t="s">
        <v>337</v>
      </c>
      <c r="G236">
        <v>40</v>
      </c>
      <c r="H236">
        <v>39</v>
      </c>
      <c r="I236">
        <v>0</v>
      </c>
      <c r="J236">
        <v>0</v>
      </c>
      <c r="K236">
        <v>1</v>
      </c>
      <c r="L236" s="6">
        <f t="shared" si="29"/>
        <v>0.97499999999999998</v>
      </c>
      <c r="M236">
        <v>452</v>
      </c>
      <c r="N236">
        <v>57</v>
      </c>
      <c r="O236" s="9">
        <v>0</v>
      </c>
      <c r="P236">
        <v>0</v>
      </c>
      <c r="Q236">
        <v>227</v>
      </c>
      <c r="R236">
        <v>1</v>
      </c>
      <c r="S236">
        <v>164</v>
      </c>
      <c r="T236">
        <v>3</v>
      </c>
      <c r="U236" s="3">
        <f t="shared" si="31"/>
        <v>0.99778761061946908</v>
      </c>
      <c r="V236" s="3">
        <f t="shared" si="32"/>
        <v>0.99593495934959353</v>
      </c>
    </row>
    <row r="237" spans="1:22" x14ac:dyDescent="0.25">
      <c r="A237" s="2">
        <v>2017</v>
      </c>
      <c r="B237" t="s">
        <v>25</v>
      </c>
      <c r="C237" t="s">
        <v>20</v>
      </c>
      <c r="D237" s="2">
        <v>548</v>
      </c>
      <c r="E237" s="2">
        <v>10618</v>
      </c>
      <c r="F237" t="s">
        <v>338</v>
      </c>
      <c r="G237">
        <v>5</v>
      </c>
      <c r="H237">
        <v>5</v>
      </c>
      <c r="I237">
        <v>0</v>
      </c>
      <c r="J237">
        <v>0</v>
      </c>
      <c r="K237">
        <v>0</v>
      </c>
      <c r="L237" s="6">
        <f t="shared" si="29"/>
        <v>1</v>
      </c>
      <c r="M237">
        <v>51</v>
      </c>
      <c r="N237">
        <v>5</v>
      </c>
      <c r="O237" s="9">
        <v>0</v>
      </c>
      <c r="P237">
        <v>1</v>
      </c>
      <c r="Q237">
        <v>29</v>
      </c>
      <c r="R237">
        <v>0</v>
      </c>
      <c r="S237">
        <v>16</v>
      </c>
      <c r="T237">
        <v>0</v>
      </c>
      <c r="U237" s="3">
        <f t="shared" si="31"/>
        <v>0.98039215686274506</v>
      </c>
      <c r="V237" s="3">
        <f t="shared" si="32"/>
        <v>0.9821428571428571</v>
      </c>
    </row>
    <row r="238" spans="1:22" x14ac:dyDescent="0.25">
      <c r="A238" s="2">
        <v>2017</v>
      </c>
      <c r="B238" t="s">
        <v>25</v>
      </c>
      <c r="C238" t="s">
        <v>20</v>
      </c>
      <c r="D238" s="2">
        <v>587</v>
      </c>
      <c r="E238" s="2">
        <v>5597</v>
      </c>
      <c r="F238" t="s">
        <v>33</v>
      </c>
      <c r="G238">
        <v>1</v>
      </c>
      <c r="H238">
        <v>1</v>
      </c>
      <c r="I238">
        <v>0</v>
      </c>
      <c r="J238">
        <v>0</v>
      </c>
      <c r="K238">
        <v>0</v>
      </c>
      <c r="L238" s="6">
        <f t="shared" si="29"/>
        <v>1</v>
      </c>
      <c r="M238">
        <v>38</v>
      </c>
      <c r="N238">
        <v>3</v>
      </c>
      <c r="O238" s="9">
        <v>0</v>
      </c>
      <c r="P238">
        <v>0</v>
      </c>
      <c r="Q238">
        <v>20</v>
      </c>
      <c r="R238">
        <v>0</v>
      </c>
      <c r="S238">
        <v>15</v>
      </c>
      <c r="T238">
        <v>0</v>
      </c>
      <c r="U238" s="3">
        <f t="shared" si="31"/>
        <v>1</v>
      </c>
      <c r="V238" s="3">
        <f t="shared" si="32"/>
        <v>1</v>
      </c>
    </row>
    <row r="239" spans="1:22" x14ac:dyDescent="0.25">
      <c r="A239" s="2">
        <v>2017</v>
      </c>
      <c r="B239" t="s">
        <v>25</v>
      </c>
      <c r="C239" t="s">
        <v>20</v>
      </c>
      <c r="D239" s="2">
        <v>404</v>
      </c>
      <c r="E239" s="2">
        <v>6777</v>
      </c>
      <c r="F239" t="s">
        <v>34</v>
      </c>
      <c r="G239">
        <v>4</v>
      </c>
      <c r="H239">
        <v>4</v>
      </c>
      <c r="I239">
        <v>0</v>
      </c>
      <c r="J239">
        <v>0</v>
      </c>
      <c r="K239">
        <v>0</v>
      </c>
      <c r="L239" s="6">
        <f t="shared" si="29"/>
        <v>1</v>
      </c>
      <c r="M239">
        <v>72</v>
      </c>
      <c r="N239">
        <v>7</v>
      </c>
      <c r="O239" s="9">
        <v>0</v>
      </c>
      <c r="P239">
        <v>0</v>
      </c>
      <c r="Q239">
        <v>35</v>
      </c>
      <c r="R239">
        <v>0</v>
      </c>
      <c r="S239">
        <v>25</v>
      </c>
      <c r="T239">
        <v>5</v>
      </c>
      <c r="U239" s="3">
        <f t="shared" si="31"/>
        <v>1</v>
      </c>
      <c r="V239" s="3">
        <f t="shared" si="32"/>
        <v>1</v>
      </c>
    </row>
    <row r="240" spans="1:22" x14ac:dyDescent="0.25">
      <c r="A240" s="2">
        <v>2017</v>
      </c>
      <c r="B240" t="s">
        <v>25</v>
      </c>
      <c r="C240" t="s">
        <v>20</v>
      </c>
      <c r="D240" s="2">
        <v>566</v>
      </c>
      <c r="E240" s="2">
        <v>120961</v>
      </c>
      <c r="F240" t="s">
        <v>339</v>
      </c>
      <c r="G240">
        <v>3</v>
      </c>
      <c r="H240">
        <v>3</v>
      </c>
      <c r="I240">
        <v>0</v>
      </c>
      <c r="J240">
        <v>0</v>
      </c>
      <c r="K240">
        <v>0</v>
      </c>
      <c r="L240" s="6">
        <f t="shared" si="29"/>
        <v>1</v>
      </c>
      <c r="M240">
        <v>47</v>
      </c>
      <c r="N240">
        <v>6</v>
      </c>
      <c r="O240" s="9">
        <v>0</v>
      </c>
      <c r="P240">
        <v>0</v>
      </c>
      <c r="Q240">
        <v>23</v>
      </c>
      <c r="R240">
        <v>0</v>
      </c>
      <c r="S240">
        <v>16</v>
      </c>
      <c r="T240">
        <v>2</v>
      </c>
      <c r="U240" s="3">
        <f t="shared" si="31"/>
        <v>1</v>
      </c>
      <c r="V240" s="3">
        <f t="shared" si="32"/>
        <v>1</v>
      </c>
    </row>
    <row r="241" spans="1:22" x14ac:dyDescent="0.25">
      <c r="A241" s="2">
        <v>2017</v>
      </c>
      <c r="B241" t="s">
        <v>25</v>
      </c>
      <c r="C241" t="s">
        <v>20</v>
      </c>
      <c r="D241" s="2">
        <v>559</v>
      </c>
      <c r="E241" s="2">
        <v>8697</v>
      </c>
      <c r="F241" t="s">
        <v>368</v>
      </c>
      <c r="G241">
        <v>0</v>
      </c>
      <c r="H241">
        <v>0</v>
      </c>
      <c r="I241">
        <v>0</v>
      </c>
      <c r="J241">
        <v>0</v>
      </c>
      <c r="K241">
        <v>0</v>
      </c>
      <c r="L241" s="6">
        <f t="shared" si="29"/>
        <v>0</v>
      </c>
      <c r="M241">
        <v>36</v>
      </c>
      <c r="N241">
        <v>7</v>
      </c>
      <c r="O241" s="9">
        <v>0</v>
      </c>
      <c r="P241">
        <v>0</v>
      </c>
      <c r="Q241">
        <v>25</v>
      </c>
      <c r="R241">
        <v>0</v>
      </c>
      <c r="S241">
        <v>4</v>
      </c>
      <c r="T241">
        <v>0</v>
      </c>
      <c r="U241" s="3">
        <f t="shared" si="31"/>
        <v>1</v>
      </c>
      <c r="V241" s="3">
        <f t="shared" si="32"/>
        <v>1</v>
      </c>
    </row>
    <row r="242" spans="1:22" x14ac:dyDescent="0.25">
      <c r="A242" s="2">
        <v>2017</v>
      </c>
      <c r="B242" t="s">
        <v>25</v>
      </c>
      <c r="C242" t="s">
        <v>20</v>
      </c>
      <c r="D242" s="2">
        <v>455</v>
      </c>
      <c r="E242" s="2">
        <v>7401</v>
      </c>
      <c r="F242" t="s">
        <v>36</v>
      </c>
      <c r="G242">
        <v>17</v>
      </c>
      <c r="H242">
        <v>16</v>
      </c>
      <c r="I242">
        <v>1</v>
      </c>
      <c r="J242">
        <v>0</v>
      </c>
      <c r="K242">
        <v>0</v>
      </c>
      <c r="L242" s="6">
        <f t="shared" si="29"/>
        <v>1</v>
      </c>
      <c r="M242">
        <v>115</v>
      </c>
      <c r="N242">
        <v>13</v>
      </c>
      <c r="O242" s="9">
        <v>0</v>
      </c>
      <c r="P242">
        <v>0</v>
      </c>
      <c r="Q242">
        <v>51</v>
      </c>
      <c r="R242">
        <v>0</v>
      </c>
      <c r="S242">
        <v>50</v>
      </c>
      <c r="T242">
        <v>1</v>
      </c>
      <c r="U242" s="3">
        <f t="shared" si="31"/>
        <v>1</v>
      </c>
      <c r="V242" s="3">
        <f t="shared" si="32"/>
        <v>1</v>
      </c>
    </row>
    <row r="243" spans="1:22" x14ac:dyDescent="0.25">
      <c r="A243" s="2">
        <v>2017</v>
      </c>
      <c r="B243" t="s">
        <v>25</v>
      </c>
      <c r="C243" t="s">
        <v>20</v>
      </c>
      <c r="D243" s="2">
        <v>356</v>
      </c>
      <c r="E243" s="2">
        <v>1674</v>
      </c>
      <c r="F243" t="s">
        <v>340</v>
      </c>
      <c r="G243">
        <v>3</v>
      </c>
      <c r="H243">
        <v>3</v>
      </c>
      <c r="I243">
        <v>0</v>
      </c>
      <c r="J243">
        <v>0</v>
      </c>
      <c r="K243">
        <v>0</v>
      </c>
      <c r="L243" s="6">
        <f t="shared" si="29"/>
        <v>1</v>
      </c>
      <c r="M243">
        <v>61</v>
      </c>
      <c r="N243">
        <v>8</v>
      </c>
      <c r="O243" s="9">
        <v>0</v>
      </c>
      <c r="P243">
        <v>0</v>
      </c>
      <c r="Q243">
        <v>20</v>
      </c>
      <c r="R243">
        <v>0</v>
      </c>
      <c r="S243">
        <v>31</v>
      </c>
      <c r="T243">
        <v>2</v>
      </c>
      <c r="U243" s="3">
        <f t="shared" si="31"/>
        <v>1</v>
      </c>
      <c r="V243" s="3">
        <f t="shared" si="32"/>
        <v>1</v>
      </c>
    </row>
    <row r="244" spans="1:22" x14ac:dyDescent="0.25">
      <c r="A244" s="2">
        <v>2017</v>
      </c>
      <c r="B244" t="s">
        <v>25</v>
      </c>
      <c r="C244" t="s">
        <v>20</v>
      </c>
      <c r="D244" s="2">
        <v>842</v>
      </c>
      <c r="E244" s="2">
        <v>5618</v>
      </c>
      <c r="F244" t="s">
        <v>37</v>
      </c>
      <c r="G244">
        <v>11</v>
      </c>
      <c r="H244">
        <v>11</v>
      </c>
      <c r="I244">
        <v>0</v>
      </c>
      <c r="J244">
        <v>0</v>
      </c>
      <c r="K244">
        <v>0</v>
      </c>
      <c r="L244" s="6">
        <f t="shared" si="29"/>
        <v>1</v>
      </c>
      <c r="M244">
        <v>232</v>
      </c>
      <c r="N244">
        <v>18</v>
      </c>
      <c r="O244" s="9">
        <v>0</v>
      </c>
      <c r="P244">
        <v>0</v>
      </c>
      <c r="Q244">
        <v>89</v>
      </c>
      <c r="R244">
        <v>1</v>
      </c>
      <c r="S244">
        <v>120</v>
      </c>
      <c r="T244">
        <v>4</v>
      </c>
      <c r="U244" s="3">
        <f t="shared" si="31"/>
        <v>0.99568965517241381</v>
      </c>
      <c r="V244" s="3">
        <f t="shared" si="32"/>
        <v>0.99588477366255146</v>
      </c>
    </row>
    <row r="245" spans="1:22" x14ac:dyDescent="0.25">
      <c r="A245" s="2">
        <v>2017</v>
      </c>
      <c r="B245" t="s">
        <v>25</v>
      </c>
      <c r="C245" t="s">
        <v>20</v>
      </c>
      <c r="D245" s="2">
        <v>543</v>
      </c>
      <c r="E245" s="2">
        <v>10917</v>
      </c>
      <c r="F245" t="s">
        <v>341</v>
      </c>
      <c r="G245">
        <v>11</v>
      </c>
      <c r="H245">
        <v>11</v>
      </c>
      <c r="I245">
        <v>0</v>
      </c>
      <c r="J245">
        <v>0</v>
      </c>
      <c r="K245">
        <v>0</v>
      </c>
      <c r="L245" s="6">
        <f t="shared" si="29"/>
        <v>1</v>
      </c>
      <c r="M245">
        <v>186</v>
      </c>
      <c r="N245">
        <v>28</v>
      </c>
      <c r="O245" s="9">
        <v>0</v>
      </c>
      <c r="P245">
        <v>0</v>
      </c>
      <c r="Q245">
        <v>90</v>
      </c>
      <c r="R245">
        <v>0</v>
      </c>
      <c r="S245">
        <v>67</v>
      </c>
      <c r="T245">
        <v>1</v>
      </c>
      <c r="U245" s="3">
        <f t="shared" si="31"/>
        <v>1</v>
      </c>
      <c r="V245" s="3">
        <f t="shared" si="32"/>
        <v>1</v>
      </c>
    </row>
    <row r="246" spans="1:22" x14ac:dyDescent="0.25">
      <c r="A246" s="2">
        <v>2017</v>
      </c>
      <c r="B246" t="s">
        <v>25</v>
      </c>
      <c r="C246" t="s">
        <v>20</v>
      </c>
      <c r="D246" s="2">
        <v>525</v>
      </c>
      <c r="E246" s="2">
        <v>10340</v>
      </c>
      <c r="F246" t="s">
        <v>343</v>
      </c>
      <c r="G246">
        <v>28</v>
      </c>
      <c r="H246">
        <v>28</v>
      </c>
      <c r="I246">
        <v>0</v>
      </c>
      <c r="J246">
        <v>0</v>
      </c>
      <c r="K246">
        <v>0</v>
      </c>
      <c r="L246" s="6">
        <f t="shared" si="29"/>
        <v>1</v>
      </c>
      <c r="M246">
        <v>283</v>
      </c>
      <c r="N246">
        <v>37</v>
      </c>
      <c r="O246" s="9">
        <v>0</v>
      </c>
      <c r="P246">
        <v>0</v>
      </c>
      <c r="Q246">
        <v>121</v>
      </c>
      <c r="R246">
        <v>4</v>
      </c>
      <c r="S246">
        <v>115</v>
      </c>
      <c r="T246">
        <v>6</v>
      </c>
      <c r="U246" s="3">
        <f t="shared" si="31"/>
        <v>0.98586572438162545</v>
      </c>
      <c r="V246" s="3">
        <f t="shared" si="32"/>
        <v>0.98713826366559487</v>
      </c>
    </row>
    <row r="247" spans="1:22" x14ac:dyDescent="0.25">
      <c r="A247" s="2">
        <v>2017</v>
      </c>
      <c r="B247" t="s">
        <v>25</v>
      </c>
      <c r="C247" t="s">
        <v>20</v>
      </c>
      <c r="D247" s="2">
        <v>550</v>
      </c>
      <c r="E247" s="2">
        <v>119292</v>
      </c>
      <c r="F247" t="s">
        <v>344</v>
      </c>
      <c r="G247">
        <v>7</v>
      </c>
      <c r="H247">
        <v>7</v>
      </c>
      <c r="I247">
        <v>0</v>
      </c>
      <c r="J247">
        <v>0</v>
      </c>
      <c r="K247">
        <v>0</v>
      </c>
      <c r="L247" s="6">
        <f t="shared" si="29"/>
        <v>1</v>
      </c>
      <c r="M247">
        <v>163</v>
      </c>
      <c r="N247">
        <v>28</v>
      </c>
      <c r="O247" s="9">
        <v>0</v>
      </c>
      <c r="P247">
        <v>0</v>
      </c>
      <c r="Q247">
        <v>82</v>
      </c>
      <c r="R247">
        <v>0</v>
      </c>
      <c r="S247">
        <v>52</v>
      </c>
      <c r="T247">
        <v>1</v>
      </c>
      <c r="U247" s="3">
        <f t="shared" si="31"/>
        <v>1</v>
      </c>
      <c r="V247" s="3">
        <f t="shared" si="32"/>
        <v>1</v>
      </c>
    </row>
    <row r="248" spans="1:22" x14ac:dyDescent="0.25">
      <c r="A248" s="2">
        <v>2017</v>
      </c>
      <c r="B248" t="s">
        <v>25</v>
      </c>
      <c r="C248" t="s">
        <v>20</v>
      </c>
      <c r="D248" s="2">
        <v>546</v>
      </c>
      <c r="E248" s="2">
        <v>119467</v>
      </c>
      <c r="F248" t="s">
        <v>345</v>
      </c>
      <c r="G248">
        <v>5</v>
      </c>
      <c r="H248">
        <v>5</v>
      </c>
      <c r="I248">
        <v>0</v>
      </c>
      <c r="J248">
        <v>0</v>
      </c>
      <c r="K248">
        <v>0</v>
      </c>
      <c r="L248" s="6">
        <f t="shared" si="29"/>
        <v>1</v>
      </c>
      <c r="M248">
        <v>192</v>
      </c>
      <c r="N248">
        <v>27</v>
      </c>
      <c r="O248" s="9">
        <v>0</v>
      </c>
      <c r="P248">
        <v>0</v>
      </c>
      <c r="Q248">
        <v>106</v>
      </c>
      <c r="R248">
        <v>0</v>
      </c>
      <c r="S248">
        <v>51</v>
      </c>
      <c r="T248">
        <v>8</v>
      </c>
      <c r="U248" s="3">
        <f t="shared" si="31"/>
        <v>1</v>
      </c>
      <c r="V248" s="3">
        <f t="shared" si="32"/>
        <v>1</v>
      </c>
    </row>
    <row r="249" spans="1:22" x14ac:dyDescent="0.25">
      <c r="A249" s="2">
        <v>2017</v>
      </c>
      <c r="B249" t="s">
        <v>25</v>
      </c>
      <c r="C249" t="s">
        <v>20</v>
      </c>
      <c r="D249" s="2">
        <v>520</v>
      </c>
      <c r="E249" s="2">
        <v>8687</v>
      </c>
      <c r="F249" t="s">
        <v>346</v>
      </c>
      <c r="G249">
        <v>10</v>
      </c>
      <c r="H249">
        <v>10</v>
      </c>
      <c r="I249">
        <v>0</v>
      </c>
      <c r="J249">
        <v>0</v>
      </c>
      <c r="K249">
        <v>0</v>
      </c>
      <c r="L249" s="6">
        <f t="shared" si="29"/>
        <v>1</v>
      </c>
      <c r="M249">
        <v>291</v>
      </c>
      <c r="N249">
        <v>42</v>
      </c>
      <c r="O249" s="9">
        <v>0</v>
      </c>
      <c r="P249">
        <v>1</v>
      </c>
      <c r="Q249">
        <v>159</v>
      </c>
      <c r="R249">
        <v>1</v>
      </c>
      <c r="S249">
        <v>85</v>
      </c>
      <c r="T249">
        <v>3</v>
      </c>
      <c r="U249" s="3">
        <f t="shared" si="31"/>
        <v>0.99312714776632305</v>
      </c>
      <c r="V249" s="3">
        <f t="shared" si="32"/>
        <v>0.99335548172757471</v>
      </c>
    </row>
    <row r="250" spans="1:22" x14ac:dyDescent="0.25">
      <c r="A250" s="2">
        <v>2017</v>
      </c>
      <c r="B250" t="s">
        <v>25</v>
      </c>
      <c r="C250" t="s">
        <v>20</v>
      </c>
      <c r="D250" s="2">
        <v>563</v>
      </c>
      <c r="E250" s="2">
        <v>5246</v>
      </c>
      <c r="F250" t="s">
        <v>347</v>
      </c>
      <c r="G250">
        <v>1</v>
      </c>
      <c r="H250">
        <v>1</v>
      </c>
      <c r="I250">
        <v>0</v>
      </c>
      <c r="J250">
        <v>0</v>
      </c>
      <c r="K250">
        <v>0</v>
      </c>
      <c r="L250" s="6">
        <f t="shared" si="29"/>
        <v>1</v>
      </c>
      <c r="M250">
        <v>30</v>
      </c>
      <c r="N250">
        <v>8</v>
      </c>
      <c r="O250" s="9">
        <v>0</v>
      </c>
      <c r="P250">
        <v>0</v>
      </c>
      <c r="Q250">
        <v>18</v>
      </c>
      <c r="R250">
        <v>1</v>
      </c>
      <c r="S250">
        <v>3</v>
      </c>
      <c r="T250">
        <v>0</v>
      </c>
      <c r="U250" s="3">
        <f t="shared" si="31"/>
        <v>0.96666666666666667</v>
      </c>
      <c r="V250" s="3">
        <f t="shared" si="32"/>
        <v>0.967741935483871</v>
      </c>
    </row>
    <row r="251" spans="1:22" x14ac:dyDescent="0.25">
      <c r="A251" s="2">
        <v>2017</v>
      </c>
      <c r="B251" t="s">
        <v>25</v>
      </c>
      <c r="C251" t="s">
        <v>21</v>
      </c>
      <c r="D251" s="2">
        <v>528</v>
      </c>
      <c r="E251" s="2">
        <v>10623</v>
      </c>
      <c r="F251" t="s">
        <v>42</v>
      </c>
      <c r="G251">
        <v>2</v>
      </c>
      <c r="H251">
        <v>2</v>
      </c>
      <c r="I251">
        <v>0</v>
      </c>
      <c r="J251">
        <v>0</v>
      </c>
      <c r="K251">
        <v>0</v>
      </c>
      <c r="L251" s="6">
        <f t="shared" si="29"/>
        <v>1</v>
      </c>
      <c r="M251">
        <v>148</v>
      </c>
      <c r="N251">
        <v>23</v>
      </c>
      <c r="O251" s="9">
        <v>0</v>
      </c>
      <c r="P251">
        <v>0</v>
      </c>
      <c r="Q251">
        <v>102</v>
      </c>
      <c r="R251">
        <v>0</v>
      </c>
      <c r="S251">
        <v>22</v>
      </c>
      <c r="T251">
        <v>1</v>
      </c>
      <c r="U251" s="3">
        <f t="shared" si="31"/>
        <v>1</v>
      </c>
      <c r="V251" s="3">
        <f t="shared" si="32"/>
        <v>1</v>
      </c>
    </row>
    <row r="252" spans="1:22" x14ac:dyDescent="0.25">
      <c r="A252" s="2">
        <v>2017</v>
      </c>
      <c r="B252" t="s">
        <v>25</v>
      </c>
      <c r="C252" t="s">
        <v>21</v>
      </c>
      <c r="D252" s="2">
        <v>537</v>
      </c>
      <c r="E252" s="2">
        <v>118663</v>
      </c>
      <c r="F252" t="s">
        <v>425</v>
      </c>
      <c r="G252">
        <v>14</v>
      </c>
      <c r="H252">
        <v>14</v>
      </c>
      <c r="I252">
        <v>0</v>
      </c>
      <c r="J252">
        <v>0</v>
      </c>
      <c r="K252">
        <v>0</v>
      </c>
      <c r="L252" s="6">
        <f t="shared" si="29"/>
        <v>1</v>
      </c>
      <c r="M252">
        <v>121</v>
      </c>
      <c r="N252">
        <v>12</v>
      </c>
      <c r="O252" s="9">
        <v>0</v>
      </c>
      <c r="P252">
        <v>0</v>
      </c>
      <c r="Q252">
        <v>48</v>
      </c>
      <c r="R252">
        <v>0</v>
      </c>
      <c r="S252">
        <v>59</v>
      </c>
      <c r="T252">
        <v>2</v>
      </c>
      <c r="U252" s="3">
        <f t="shared" si="31"/>
        <v>1</v>
      </c>
      <c r="V252" s="3">
        <f t="shared" si="32"/>
        <v>1</v>
      </c>
    </row>
    <row r="253" spans="1:22" x14ac:dyDescent="0.25">
      <c r="A253" s="2">
        <v>2017</v>
      </c>
      <c r="B253" t="s">
        <v>25</v>
      </c>
      <c r="C253" t="s">
        <v>21</v>
      </c>
      <c r="D253" s="2">
        <v>585</v>
      </c>
      <c r="E253" s="2">
        <v>122955</v>
      </c>
      <c r="F253" t="s">
        <v>332</v>
      </c>
      <c r="G253">
        <v>6</v>
      </c>
      <c r="H253">
        <v>6</v>
      </c>
      <c r="I253">
        <v>0</v>
      </c>
      <c r="J253">
        <v>0</v>
      </c>
      <c r="K253">
        <v>0</v>
      </c>
      <c r="L253" s="6">
        <f t="shared" si="29"/>
        <v>1</v>
      </c>
      <c r="M253">
        <v>46</v>
      </c>
      <c r="N253">
        <v>7</v>
      </c>
      <c r="O253" s="9">
        <v>0</v>
      </c>
      <c r="P253">
        <v>0</v>
      </c>
      <c r="Q253">
        <v>25</v>
      </c>
      <c r="R253">
        <v>0</v>
      </c>
      <c r="S253">
        <v>10</v>
      </c>
      <c r="T253">
        <v>4</v>
      </c>
      <c r="U253" s="3">
        <f t="shared" si="31"/>
        <v>1</v>
      </c>
      <c r="V253" s="3">
        <f t="shared" si="32"/>
        <v>1</v>
      </c>
    </row>
    <row r="254" spans="1:22" x14ac:dyDescent="0.25">
      <c r="A254" s="2">
        <v>2017</v>
      </c>
      <c r="B254" t="s">
        <v>25</v>
      </c>
      <c r="C254" t="s">
        <v>21</v>
      </c>
      <c r="D254" s="2">
        <v>586</v>
      </c>
      <c r="E254" s="2">
        <v>122754</v>
      </c>
      <c r="F254" t="s">
        <v>335</v>
      </c>
      <c r="G254">
        <v>7</v>
      </c>
      <c r="H254">
        <v>7</v>
      </c>
      <c r="I254">
        <v>0</v>
      </c>
      <c r="J254">
        <v>0</v>
      </c>
      <c r="K254">
        <v>0</v>
      </c>
      <c r="L254" s="6">
        <f t="shared" si="29"/>
        <v>1</v>
      </c>
      <c r="M254">
        <v>96</v>
      </c>
      <c r="N254">
        <v>13</v>
      </c>
      <c r="O254" s="9">
        <v>0</v>
      </c>
      <c r="P254">
        <v>0</v>
      </c>
      <c r="Q254">
        <v>53</v>
      </c>
      <c r="R254">
        <v>0</v>
      </c>
      <c r="S254">
        <v>29</v>
      </c>
      <c r="T254">
        <v>1</v>
      </c>
      <c r="U254" s="3">
        <f t="shared" si="31"/>
        <v>1</v>
      </c>
      <c r="V254" s="3">
        <f t="shared" si="32"/>
        <v>1</v>
      </c>
    </row>
    <row r="255" spans="1:22" x14ac:dyDescent="0.25">
      <c r="A255" s="2">
        <v>2017</v>
      </c>
      <c r="B255" t="s">
        <v>25</v>
      </c>
      <c r="C255" t="s">
        <v>21</v>
      </c>
      <c r="D255" s="2">
        <v>403</v>
      </c>
      <c r="E255" s="2">
        <v>6783</v>
      </c>
      <c r="F255" t="s">
        <v>348</v>
      </c>
      <c r="G255">
        <v>8</v>
      </c>
      <c r="H255">
        <v>8</v>
      </c>
      <c r="I255">
        <v>0</v>
      </c>
      <c r="J255">
        <v>0</v>
      </c>
      <c r="K255">
        <v>0</v>
      </c>
      <c r="L255" s="6">
        <f t="shared" si="29"/>
        <v>1</v>
      </c>
      <c r="M255">
        <v>425</v>
      </c>
      <c r="N255">
        <v>52</v>
      </c>
      <c r="O255" s="9">
        <v>0</v>
      </c>
      <c r="P255">
        <v>0</v>
      </c>
      <c r="Q255">
        <v>265</v>
      </c>
      <c r="R255">
        <v>2</v>
      </c>
      <c r="S255">
        <v>102</v>
      </c>
      <c r="T255">
        <v>4</v>
      </c>
      <c r="U255" s="3">
        <f t="shared" si="31"/>
        <v>0.99529411764705877</v>
      </c>
      <c r="V255" s="3">
        <f t="shared" si="32"/>
        <v>0.99538106235565815</v>
      </c>
    </row>
    <row r="256" spans="1:22" x14ac:dyDescent="0.25">
      <c r="A256" s="2">
        <v>2017</v>
      </c>
      <c r="B256" t="s">
        <v>25</v>
      </c>
      <c r="C256" t="s">
        <v>21</v>
      </c>
      <c r="D256" s="2">
        <v>527</v>
      </c>
      <c r="E256" s="2">
        <v>9715</v>
      </c>
      <c r="F256" t="s">
        <v>337</v>
      </c>
      <c r="G256">
        <v>6</v>
      </c>
      <c r="H256">
        <v>6</v>
      </c>
      <c r="I256">
        <v>0</v>
      </c>
      <c r="J256">
        <v>0</v>
      </c>
      <c r="K256">
        <v>0</v>
      </c>
      <c r="L256" s="6">
        <f t="shared" si="29"/>
        <v>1</v>
      </c>
      <c r="M256">
        <v>59</v>
      </c>
      <c r="N256">
        <v>7</v>
      </c>
      <c r="O256" s="9">
        <v>0</v>
      </c>
      <c r="P256">
        <v>0</v>
      </c>
      <c r="Q256">
        <v>31</v>
      </c>
      <c r="R256">
        <v>0</v>
      </c>
      <c r="S256">
        <v>21</v>
      </c>
      <c r="T256">
        <v>0</v>
      </c>
      <c r="U256" s="3">
        <f t="shared" si="31"/>
        <v>1</v>
      </c>
      <c r="V256" s="3">
        <f t="shared" si="32"/>
        <v>1</v>
      </c>
    </row>
    <row r="257" spans="1:22" x14ac:dyDescent="0.25">
      <c r="A257" s="2">
        <v>2017</v>
      </c>
      <c r="B257" t="s">
        <v>25</v>
      </c>
      <c r="C257" t="s">
        <v>21</v>
      </c>
      <c r="D257" s="2">
        <v>548</v>
      </c>
      <c r="E257" s="2">
        <v>10618</v>
      </c>
      <c r="F257" t="s">
        <v>338</v>
      </c>
      <c r="G257">
        <v>0</v>
      </c>
      <c r="H257">
        <v>0</v>
      </c>
      <c r="I257">
        <v>0</v>
      </c>
      <c r="J257">
        <v>0</v>
      </c>
      <c r="K257">
        <v>0</v>
      </c>
      <c r="L257" s="6">
        <f t="shared" si="29"/>
        <v>0</v>
      </c>
      <c r="M257">
        <v>27</v>
      </c>
      <c r="N257">
        <v>3</v>
      </c>
      <c r="O257" s="9">
        <v>0</v>
      </c>
      <c r="P257">
        <v>0</v>
      </c>
      <c r="Q257">
        <v>17</v>
      </c>
      <c r="R257">
        <v>1</v>
      </c>
      <c r="S257">
        <v>6</v>
      </c>
      <c r="T257">
        <v>0</v>
      </c>
      <c r="U257" s="3">
        <f t="shared" si="31"/>
        <v>0.96296296296296291</v>
      </c>
      <c r="V257" s="3">
        <f t="shared" si="32"/>
        <v>0.96296296296296291</v>
      </c>
    </row>
    <row r="258" spans="1:22" x14ac:dyDescent="0.25">
      <c r="A258" s="2">
        <v>2017</v>
      </c>
      <c r="B258" t="s">
        <v>25</v>
      </c>
      <c r="C258" t="s">
        <v>21</v>
      </c>
      <c r="D258" s="2">
        <v>587</v>
      </c>
      <c r="E258" s="2">
        <v>5597</v>
      </c>
      <c r="F258" t="s">
        <v>33</v>
      </c>
      <c r="G258">
        <v>10</v>
      </c>
      <c r="H258">
        <v>10</v>
      </c>
      <c r="I258">
        <v>0</v>
      </c>
      <c r="J258">
        <v>0</v>
      </c>
      <c r="K258">
        <v>0</v>
      </c>
      <c r="L258" s="6">
        <f t="shared" ref="L258:L321" si="33">IF(G258=0,0,SUM(H258:J258)/G258)</f>
        <v>1</v>
      </c>
      <c r="M258">
        <v>160</v>
      </c>
      <c r="N258">
        <v>24</v>
      </c>
      <c r="O258" s="9">
        <v>0</v>
      </c>
      <c r="P258">
        <v>0</v>
      </c>
      <c r="Q258">
        <v>90</v>
      </c>
      <c r="R258">
        <v>0</v>
      </c>
      <c r="S258">
        <v>45</v>
      </c>
      <c r="T258">
        <v>1</v>
      </c>
      <c r="U258" s="3">
        <f t="shared" si="31"/>
        <v>1</v>
      </c>
      <c r="V258" s="3">
        <f t="shared" si="32"/>
        <v>1</v>
      </c>
    </row>
    <row r="259" spans="1:22" x14ac:dyDescent="0.25">
      <c r="A259" s="2">
        <v>2017</v>
      </c>
      <c r="B259" t="s">
        <v>25</v>
      </c>
      <c r="C259" t="s">
        <v>21</v>
      </c>
      <c r="D259" s="2">
        <v>531</v>
      </c>
      <c r="E259" s="2">
        <v>9506</v>
      </c>
      <c r="F259" t="s">
        <v>57</v>
      </c>
      <c r="G259">
        <v>0</v>
      </c>
      <c r="H259">
        <v>0</v>
      </c>
      <c r="I259">
        <v>0</v>
      </c>
      <c r="J259">
        <v>0</v>
      </c>
      <c r="K259">
        <v>0</v>
      </c>
      <c r="L259" s="6">
        <f t="shared" si="33"/>
        <v>0</v>
      </c>
      <c r="M259">
        <v>1</v>
      </c>
      <c r="N259">
        <v>1</v>
      </c>
      <c r="O259" s="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s="3">
        <f t="shared" si="31"/>
        <v>1</v>
      </c>
      <c r="V259" s="3">
        <f t="shared" si="32"/>
        <v>1</v>
      </c>
    </row>
    <row r="260" spans="1:22" x14ac:dyDescent="0.25">
      <c r="A260" s="2">
        <v>2017</v>
      </c>
      <c r="B260" t="s">
        <v>25</v>
      </c>
      <c r="C260" t="s">
        <v>21</v>
      </c>
      <c r="D260" s="2">
        <v>404</v>
      </c>
      <c r="E260" s="2">
        <v>6777</v>
      </c>
      <c r="F260" t="s">
        <v>34</v>
      </c>
      <c r="G260">
        <v>0</v>
      </c>
      <c r="H260">
        <v>0</v>
      </c>
      <c r="I260">
        <v>0</v>
      </c>
      <c r="J260">
        <v>0</v>
      </c>
      <c r="K260">
        <v>0</v>
      </c>
      <c r="L260" s="6">
        <f t="shared" si="33"/>
        <v>0</v>
      </c>
      <c r="M260">
        <v>28</v>
      </c>
      <c r="N260">
        <v>1</v>
      </c>
      <c r="O260" s="9">
        <v>0</v>
      </c>
      <c r="P260">
        <v>0</v>
      </c>
      <c r="Q260">
        <v>18</v>
      </c>
      <c r="R260">
        <v>0</v>
      </c>
      <c r="S260">
        <v>9</v>
      </c>
      <c r="T260">
        <v>0</v>
      </c>
      <c r="U260" s="3">
        <f t="shared" si="31"/>
        <v>1</v>
      </c>
      <c r="V260" s="3">
        <f t="shared" si="32"/>
        <v>1</v>
      </c>
    </row>
    <row r="261" spans="1:22" x14ac:dyDescent="0.25">
      <c r="A261" s="2">
        <v>2017</v>
      </c>
      <c r="B261" t="s">
        <v>25</v>
      </c>
      <c r="C261" t="s">
        <v>21</v>
      </c>
      <c r="D261" s="2">
        <v>566</v>
      </c>
      <c r="E261" s="2">
        <v>120961</v>
      </c>
      <c r="F261" t="s">
        <v>339</v>
      </c>
      <c r="G261">
        <v>1</v>
      </c>
      <c r="H261">
        <v>1</v>
      </c>
      <c r="I261">
        <v>0</v>
      </c>
      <c r="J261">
        <v>0</v>
      </c>
      <c r="K261">
        <v>0</v>
      </c>
      <c r="L261" s="6">
        <f t="shared" si="33"/>
        <v>1</v>
      </c>
      <c r="M261">
        <v>32</v>
      </c>
      <c r="N261">
        <v>2</v>
      </c>
      <c r="O261" s="9">
        <v>0</v>
      </c>
      <c r="P261">
        <v>0</v>
      </c>
      <c r="Q261">
        <v>22</v>
      </c>
      <c r="R261">
        <v>0</v>
      </c>
      <c r="S261">
        <v>8</v>
      </c>
      <c r="T261">
        <v>0</v>
      </c>
      <c r="U261" s="3">
        <f t="shared" si="31"/>
        <v>1</v>
      </c>
      <c r="V261" s="3">
        <f t="shared" si="32"/>
        <v>1</v>
      </c>
    </row>
    <row r="262" spans="1:22" x14ac:dyDescent="0.25">
      <c r="A262" s="2">
        <v>2017</v>
      </c>
      <c r="B262" t="s">
        <v>25</v>
      </c>
      <c r="C262" t="s">
        <v>21</v>
      </c>
      <c r="D262" s="2">
        <v>559</v>
      </c>
      <c r="E262" s="2">
        <v>8697</v>
      </c>
      <c r="F262" t="s">
        <v>368</v>
      </c>
      <c r="G262">
        <v>6</v>
      </c>
      <c r="H262">
        <v>6</v>
      </c>
      <c r="I262">
        <v>0</v>
      </c>
      <c r="J262">
        <v>0</v>
      </c>
      <c r="K262">
        <v>0</v>
      </c>
      <c r="L262" s="6">
        <f t="shared" si="33"/>
        <v>1</v>
      </c>
      <c r="M262">
        <v>38</v>
      </c>
      <c r="N262">
        <v>6</v>
      </c>
      <c r="O262" s="9">
        <v>0</v>
      </c>
      <c r="P262">
        <v>0</v>
      </c>
      <c r="Q262">
        <v>24</v>
      </c>
      <c r="R262">
        <v>0</v>
      </c>
      <c r="S262">
        <v>8</v>
      </c>
      <c r="T262">
        <v>0</v>
      </c>
      <c r="U262" s="3">
        <f t="shared" si="31"/>
        <v>1</v>
      </c>
      <c r="V262" s="3">
        <f t="shared" si="32"/>
        <v>1</v>
      </c>
    </row>
    <row r="263" spans="1:22" x14ac:dyDescent="0.25">
      <c r="A263" s="2">
        <v>2017</v>
      </c>
      <c r="B263" t="s">
        <v>25</v>
      </c>
      <c r="C263" t="s">
        <v>21</v>
      </c>
      <c r="D263" s="2">
        <v>595</v>
      </c>
      <c r="E263" s="2">
        <v>123208</v>
      </c>
      <c r="F263" t="s">
        <v>35</v>
      </c>
      <c r="G263">
        <v>0</v>
      </c>
      <c r="H263">
        <v>0</v>
      </c>
      <c r="I263">
        <v>0</v>
      </c>
      <c r="J263">
        <v>0</v>
      </c>
      <c r="K263">
        <v>0</v>
      </c>
      <c r="L263" s="6">
        <f t="shared" si="33"/>
        <v>0</v>
      </c>
      <c r="M263">
        <v>17</v>
      </c>
      <c r="N263">
        <v>0</v>
      </c>
      <c r="O263" s="9">
        <v>0</v>
      </c>
      <c r="P263">
        <v>0</v>
      </c>
      <c r="Q263">
        <v>16</v>
      </c>
      <c r="R263">
        <v>0</v>
      </c>
      <c r="S263">
        <v>1</v>
      </c>
      <c r="T263">
        <v>0</v>
      </c>
      <c r="U263" s="3">
        <f t="shared" si="31"/>
        <v>1</v>
      </c>
      <c r="V263" s="3">
        <f t="shared" si="32"/>
        <v>1</v>
      </c>
    </row>
    <row r="264" spans="1:22" x14ac:dyDescent="0.25">
      <c r="A264" s="2">
        <v>2017</v>
      </c>
      <c r="B264" t="s">
        <v>25</v>
      </c>
      <c r="C264" t="s">
        <v>21</v>
      </c>
      <c r="D264" s="2">
        <v>455</v>
      </c>
      <c r="E264" s="2">
        <v>7401</v>
      </c>
      <c r="F264" t="s">
        <v>36</v>
      </c>
      <c r="G264">
        <v>3</v>
      </c>
      <c r="H264">
        <v>3</v>
      </c>
      <c r="I264">
        <v>0</v>
      </c>
      <c r="J264">
        <v>0</v>
      </c>
      <c r="K264">
        <v>0</v>
      </c>
      <c r="L264" s="6">
        <f t="shared" si="33"/>
        <v>1</v>
      </c>
      <c r="M264">
        <v>61</v>
      </c>
      <c r="N264">
        <v>6</v>
      </c>
      <c r="O264" s="9">
        <v>0</v>
      </c>
      <c r="P264">
        <v>0</v>
      </c>
      <c r="Q264">
        <v>39</v>
      </c>
      <c r="R264">
        <v>0</v>
      </c>
      <c r="S264">
        <v>16</v>
      </c>
      <c r="T264">
        <v>0</v>
      </c>
      <c r="U264" s="3">
        <f t="shared" si="31"/>
        <v>1</v>
      </c>
      <c r="V264" s="3">
        <f t="shared" si="32"/>
        <v>1</v>
      </c>
    </row>
    <row r="265" spans="1:22" x14ac:dyDescent="0.25">
      <c r="A265" s="2">
        <v>2017</v>
      </c>
      <c r="B265" t="s">
        <v>25</v>
      </c>
      <c r="C265" t="s">
        <v>21</v>
      </c>
      <c r="D265" s="2">
        <v>842</v>
      </c>
      <c r="E265" s="2">
        <v>5618</v>
      </c>
      <c r="F265" t="s">
        <v>37</v>
      </c>
      <c r="G265">
        <v>8</v>
      </c>
      <c r="H265">
        <v>8</v>
      </c>
      <c r="I265">
        <v>0</v>
      </c>
      <c r="J265">
        <v>0</v>
      </c>
      <c r="K265">
        <v>0</v>
      </c>
      <c r="L265" s="6">
        <f t="shared" si="33"/>
        <v>1</v>
      </c>
      <c r="M265">
        <v>121</v>
      </c>
      <c r="N265">
        <v>11</v>
      </c>
      <c r="O265" s="9">
        <v>0</v>
      </c>
      <c r="P265">
        <v>0</v>
      </c>
      <c r="Q265">
        <v>44</v>
      </c>
      <c r="R265">
        <v>0</v>
      </c>
      <c r="S265">
        <v>66</v>
      </c>
      <c r="T265">
        <v>0</v>
      </c>
      <c r="U265" s="3">
        <f t="shared" si="31"/>
        <v>1</v>
      </c>
      <c r="V265" s="3">
        <f t="shared" si="32"/>
        <v>1</v>
      </c>
    </row>
    <row r="266" spans="1:22" x14ac:dyDescent="0.25">
      <c r="A266" s="2">
        <v>2017</v>
      </c>
      <c r="B266" t="s">
        <v>25</v>
      </c>
      <c r="C266" t="s">
        <v>21</v>
      </c>
      <c r="D266" s="2">
        <v>554</v>
      </c>
      <c r="E266" s="2">
        <v>119543</v>
      </c>
      <c r="F266" t="s">
        <v>502</v>
      </c>
      <c r="G266">
        <v>0</v>
      </c>
      <c r="H266">
        <v>0</v>
      </c>
      <c r="I266">
        <v>0</v>
      </c>
      <c r="J266">
        <v>0</v>
      </c>
      <c r="K266">
        <v>0</v>
      </c>
      <c r="L266" s="6">
        <f t="shared" si="33"/>
        <v>0</v>
      </c>
      <c r="M266">
        <v>148</v>
      </c>
      <c r="N266">
        <v>22</v>
      </c>
      <c r="O266" s="9">
        <v>0</v>
      </c>
      <c r="P266">
        <v>0</v>
      </c>
      <c r="Q266">
        <v>115</v>
      </c>
      <c r="R266">
        <v>0</v>
      </c>
      <c r="S266">
        <v>9</v>
      </c>
      <c r="T266">
        <v>2</v>
      </c>
      <c r="U266" s="3">
        <f t="shared" si="31"/>
        <v>1</v>
      </c>
      <c r="V266" s="3">
        <f t="shared" si="32"/>
        <v>1</v>
      </c>
    </row>
    <row r="267" spans="1:22" x14ac:dyDescent="0.25">
      <c r="A267" s="2">
        <v>2017</v>
      </c>
      <c r="B267" t="s">
        <v>25</v>
      </c>
      <c r="C267" t="s">
        <v>21</v>
      </c>
      <c r="D267" s="2">
        <v>766</v>
      </c>
      <c r="E267" s="2">
        <v>6781</v>
      </c>
      <c r="F267" t="s">
        <v>349</v>
      </c>
      <c r="G267">
        <v>31</v>
      </c>
      <c r="H267">
        <v>31</v>
      </c>
      <c r="I267">
        <v>0</v>
      </c>
      <c r="J267">
        <v>0</v>
      </c>
      <c r="K267">
        <v>0</v>
      </c>
      <c r="L267" s="6">
        <f t="shared" si="33"/>
        <v>1</v>
      </c>
      <c r="M267">
        <v>367</v>
      </c>
      <c r="N267">
        <v>42</v>
      </c>
      <c r="O267" s="9">
        <v>0</v>
      </c>
      <c r="P267">
        <v>3</v>
      </c>
      <c r="Q267">
        <v>148</v>
      </c>
      <c r="R267">
        <v>2</v>
      </c>
      <c r="S267">
        <v>169</v>
      </c>
      <c r="T267">
        <v>3</v>
      </c>
      <c r="U267" s="3">
        <f t="shared" si="31"/>
        <v>0.98637602179836514</v>
      </c>
      <c r="V267" s="3">
        <f t="shared" si="32"/>
        <v>0.98743718592964824</v>
      </c>
    </row>
    <row r="268" spans="1:22" x14ac:dyDescent="0.25">
      <c r="A268" s="2">
        <v>2017</v>
      </c>
      <c r="B268" t="s">
        <v>25</v>
      </c>
      <c r="C268" t="s">
        <v>21</v>
      </c>
      <c r="D268" s="2">
        <v>777</v>
      </c>
      <c r="E268" s="2">
        <v>5357</v>
      </c>
      <c r="F268" t="s">
        <v>350</v>
      </c>
      <c r="G268">
        <v>28</v>
      </c>
      <c r="H268">
        <v>27</v>
      </c>
      <c r="I268">
        <v>0</v>
      </c>
      <c r="J268">
        <v>0</v>
      </c>
      <c r="K268">
        <v>1</v>
      </c>
      <c r="L268" s="6">
        <f t="shared" si="33"/>
        <v>0.9642857142857143</v>
      </c>
      <c r="M268">
        <v>442</v>
      </c>
      <c r="N268">
        <v>54</v>
      </c>
      <c r="O268" s="9">
        <v>0</v>
      </c>
      <c r="P268">
        <v>0</v>
      </c>
      <c r="Q268">
        <v>206</v>
      </c>
      <c r="R268">
        <v>0</v>
      </c>
      <c r="S268">
        <v>177</v>
      </c>
      <c r="T268">
        <v>5</v>
      </c>
      <c r="U268" s="3">
        <f t="shared" si="31"/>
        <v>1</v>
      </c>
      <c r="V268" s="3">
        <f t="shared" si="32"/>
        <v>0.99787234042553197</v>
      </c>
    </row>
    <row r="269" spans="1:22" x14ac:dyDescent="0.25">
      <c r="A269" s="2">
        <v>2017</v>
      </c>
      <c r="B269" t="s">
        <v>25</v>
      </c>
      <c r="C269" t="s">
        <v>21</v>
      </c>
      <c r="D269" s="2">
        <v>543</v>
      </c>
      <c r="E269" s="2">
        <v>10917</v>
      </c>
      <c r="F269" t="s">
        <v>341</v>
      </c>
      <c r="G269">
        <v>11</v>
      </c>
      <c r="H269">
        <v>11</v>
      </c>
      <c r="I269">
        <v>0</v>
      </c>
      <c r="J269">
        <v>0</v>
      </c>
      <c r="K269">
        <v>0</v>
      </c>
      <c r="L269" s="6">
        <f t="shared" si="33"/>
        <v>1</v>
      </c>
      <c r="M269">
        <v>154</v>
      </c>
      <c r="N269">
        <v>16</v>
      </c>
      <c r="O269" s="9">
        <v>0</v>
      </c>
      <c r="P269">
        <v>0</v>
      </c>
      <c r="Q269">
        <v>71</v>
      </c>
      <c r="R269">
        <v>1</v>
      </c>
      <c r="S269">
        <v>64</v>
      </c>
      <c r="T269">
        <v>2</v>
      </c>
      <c r="U269" s="3">
        <f t="shared" si="31"/>
        <v>0.99350649350649356</v>
      </c>
      <c r="V269" s="3">
        <f t="shared" si="32"/>
        <v>0.9939393939393939</v>
      </c>
    </row>
    <row r="270" spans="1:22" x14ac:dyDescent="0.25">
      <c r="A270" s="2">
        <v>2017</v>
      </c>
      <c r="B270" t="s">
        <v>25</v>
      </c>
      <c r="C270" t="s">
        <v>21</v>
      </c>
      <c r="D270" s="2">
        <v>576</v>
      </c>
      <c r="E270" s="2">
        <v>122114</v>
      </c>
      <c r="F270" t="s">
        <v>342</v>
      </c>
      <c r="G270">
        <v>8</v>
      </c>
      <c r="H270">
        <v>8</v>
      </c>
      <c r="I270">
        <v>0</v>
      </c>
      <c r="J270">
        <v>0</v>
      </c>
      <c r="K270">
        <v>0</v>
      </c>
      <c r="L270" s="6">
        <f t="shared" si="33"/>
        <v>1</v>
      </c>
      <c r="M270">
        <v>222</v>
      </c>
      <c r="N270">
        <v>31</v>
      </c>
      <c r="O270" s="9">
        <v>0</v>
      </c>
      <c r="P270">
        <v>0</v>
      </c>
      <c r="Q270">
        <v>114</v>
      </c>
      <c r="R270">
        <v>0</v>
      </c>
      <c r="S270">
        <v>76</v>
      </c>
      <c r="T270">
        <v>1</v>
      </c>
      <c r="U270" s="3">
        <f t="shared" si="31"/>
        <v>1</v>
      </c>
      <c r="V270" s="3">
        <f t="shared" si="32"/>
        <v>1</v>
      </c>
    </row>
    <row r="271" spans="1:22" x14ac:dyDescent="0.25">
      <c r="A271" s="2">
        <v>2017</v>
      </c>
      <c r="B271" t="s">
        <v>25</v>
      </c>
      <c r="C271" t="s">
        <v>21</v>
      </c>
      <c r="D271" s="2">
        <v>536</v>
      </c>
      <c r="E271" s="2">
        <v>10757</v>
      </c>
      <c r="F271" t="s">
        <v>351</v>
      </c>
      <c r="G271">
        <v>0</v>
      </c>
      <c r="H271">
        <v>0</v>
      </c>
      <c r="I271">
        <v>0</v>
      </c>
      <c r="J271">
        <v>0</v>
      </c>
      <c r="K271">
        <v>0</v>
      </c>
      <c r="L271" s="6">
        <f t="shared" si="33"/>
        <v>0</v>
      </c>
      <c r="M271">
        <v>363</v>
      </c>
      <c r="N271">
        <v>47</v>
      </c>
      <c r="O271" s="9">
        <v>0</v>
      </c>
      <c r="P271">
        <v>0</v>
      </c>
      <c r="Q271">
        <v>251</v>
      </c>
      <c r="R271">
        <v>1</v>
      </c>
      <c r="S271">
        <v>64</v>
      </c>
      <c r="T271">
        <v>0</v>
      </c>
      <c r="U271" s="3">
        <f t="shared" si="31"/>
        <v>0.99724517906336085</v>
      </c>
      <c r="V271" s="3">
        <f t="shared" si="32"/>
        <v>0.99724517906336085</v>
      </c>
    </row>
    <row r="272" spans="1:22" x14ac:dyDescent="0.25">
      <c r="A272" s="2">
        <v>2017</v>
      </c>
      <c r="B272" t="s">
        <v>25</v>
      </c>
      <c r="C272" t="s">
        <v>21</v>
      </c>
      <c r="D272" s="2">
        <v>550</v>
      </c>
      <c r="E272" s="2">
        <v>119292</v>
      </c>
      <c r="F272" t="s">
        <v>344</v>
      </c>
      <c r="G272">
        <v>16</v>
      </c>
      <c r="H272">
        <v>15</v>
      </c>
      <c r="I272">
        <v>0</v>
      </c>
      <c r="J272">
        <v>0</v>
      </c>
      <c r="K272">
        <v>1</v>
      </c>
      <c r="L272" s="6">
        <f t="shared" si="33"/>
        <v>0.9375</v>
      </c>
      <c r="M272">
        <v>158</v>
      </c>
      <c r="N272">
        <v>25</v>
      </c>
      <c r="O272" s="9">
        <v>0</v>
      </c>
      <c r="P272">
        <v>0</v>
      </c>
      <c r="Q272">
        <v>65</v>
      </c>
      <c r="R272">
        <v>0</v>
      </c>
      <c r="S272">
        <v>67</v>
      </c>
      <c r="T272">
        <v>1</v>
      </c>
      <c r="U272" s="3">
        <f t="shared" si="31"/>
        <v>1</v>
      </c>
      <c r="V272" s="3">
        <f t="shared" si="32"/>
        <v>0.99425287356321834</v>
      </c>
    </row>
    <row r="273" spans="1:22" x14ac:dyDescent="0.25">
      <c r="A273" s="2">
        <v>2017</v>
      </c>
      <c r="B273" t="s">
        <v>25</v>
      </c>
      <c r="C273" t="s">
        <v>21</v>
      </c>
      <c r="D273" s="2">
        <v>546</v>
      </c>
      <c r="E273" s="2">
        <v>119467</v>
      </c>
      <c r="F273" t="s">
        <v>345</v>
      </c>
      <c r="G273">
        <v>2</v>
      </c>
      <c r="H273">
        <v>2</v>
      </c>
      <c r="I273">
        <v>0</v>
      </c>
      <c r="J273">
        <v>0</v>
      </c>
      <c r="K273">
        <v>0</v>
      </c>
      <c r="L273" s="6">
        <f t="shared" si="33"/>
        <v>1</v>
      </c>
      <c r="M273">
        <v>34</v>
      </c>
      <c r="N273">
        <v>5</v>
      </c>
      <c r="O273" s="9">
        <v>0</v>
      </c>
      <c r="P273">
        <v>0</v>
      </c>
      <c r="Q273">
        <v>16</v>
      </c>
      <c r="R273">
        <v>0</v>
      </c>
      <c r="S273">
        <v>13</v>
      </c>
      <c r="T273">
        <v>0</v>
      </c>
      <c r="U273" s="3">
        <f t="shared" si="31"/>
        <v>1</v>
      </c>
      <c r="V273" s="3">
        <f t="shared" si="32"/>
        <v>1</v>
      </c>
    </row>
    <row r="274" spans="1:22" x14ac:dyDescent="0.25">
      <c r="A274" s="2">
        <v>2017</v>
      </c>
      <c r="B274" t="s">
        <v>25</v>
      </c>
      <c r="C274" t="s">
        <v>21</v>
      </c>
      <c r="D274" s="2">
        <v>520</v>
      </c>
      <c r="E274" s="2">
        <v>8687</v>
      </c>
      <c r="F274" t="s">
        <v>346</v>
      </c>
      <c r="G274">
        <v>2</v>
      </c>
      <c r="H274">
        <v>2</v>
      </c>
      <c r="I274">
        <v>0</v>
      </c>
      <c r="J274">
        <v>0</v>
      </c>
      <c r="K274">
        <v>0</v>
      </c>
      <c r="L274" s="6">
        <f t="shared" si="33"/>
        <v>1</v>
      </c>
      <c r="M274">
        <v>35</v>
      </c>
      <c r="N274">
        <v>5</v>
      </c>
      <c r="O274" s="9">
        <v>0</v>
      </c>
      <c r="P274">
        <v>0</v>
      </c>
      <c r="Q274">
        <v>12</v>
      </c>
      <c r="R274">
        <v>0</v>
      </c>
      <c r="S274">
        <v>18</v>
      </c>
      <c r="T274">
        <v>0</v>
      </c>
      <c r="U274" s="3">
        <f t="shared" si="31"/>
        <v>1</v>
      </c>
      <c r="V274" s="3">
        <f t="shared" si="32"/>
        <v>1</v>
      </c>
    </row>
    <row r="275" spans="1:22" x14ac:dyDescent="0.25">
      <c r="A275" s="2">
        <v>2017</v>
      </c>
      <c r="B275" t="s">
        <v>25</v>
      </c>
      <c r="C275" t="s">
        <v>21</v>
      </c>
      <c r="D275" s="2">
        <v>563</v>
      </c>
      <c r="E275" s="2">
        <v>5246</v>
      </c>
      <c r="F275" t="s">
        <v>347</v>
      </c>
      <c r="G275">
        <v>0</v>
      </c>
      <c r="H275">
        <v>0</v>
      </c>
      <c r="I275">
        <v>0</v>
      </c>
      <c r="J275">
        <v>0</v>
      </c>
      <c r="K275">
        <v>0</v>
      </c>
      <c r="L275" s="6">
        <f t="shared" si="33"/>
        <v>0</v>
      </c>
      <c r="M275">
        <v>43</v>
      </c>
      <c r="N275">
        <v>4</v>
      </c>
      <c r="O275" s="9">
        <v>0</v>
      </c>
      <c r="P275">
        <v>0</v>
      </c>
      <c r="Q275">
        <v>28</v>
      </c>
      <c r="R275">
        <v>1</v>
      </c>
      <c r="S275">
        <v>10</v>
      </c>
      <c r="T275">
        <v>0</v>
      </c>
      <c r="U275" s="3">
        <f t="shared" si="31"/>
        <v>0.97674418604651159</v>
      </c>
      <c r="V275" s="3">
        <f t="shared" si="32"/>
        <v>0.97674418604651159</v>
      </c>
    </row>
    <row r="276" spans="1:22" x14ac:dyDescent="0.25">
      <c r="A276" s="2">
        <v>2017</v>
      </c>
      <c r="B276" t="s">
        <v>25</v>
      </c>
      <c r="C276" t="s">
        <v>1</v>
      </c>
      <c r="D276" s="2">
        <v>53</v>
      </c>
      <c r="E276" s="2">
        <v>4713</v>
      </c>
      <c r="F276" t="s">
        <v>470</v>
      </c>
      <c r="G276">
        <v>15</v>
      </c>
      <c r="H276">
        <v>15</v>
      </c>
      <c r="I276">
        <v>0</v>
      </c>
      <c r="J276">
        <v>0</v>
      </c>
      <c r="K276">
        <v>0</v>
      </c>
      <c r="L276" s="6">
        <f t="shared" si="33"/>
        <v>1</v>
      </c>
      <c r="M276">
        <v>175</v>
      </c>
      <c r="N276">
        <v>27</v>
      </c>
      <c r="O276" s="9">
        <v>0</v>
      </c>
      <c r="P276">
        <v>0</v>
      </c>
      <c r="Q276">
        <v>80</v>
      </c>
      <c r="R276">
        <v>0</v>
      </c>
      <c r="S276">
        <v>68</v>
      </c>
      <c r="T276">
        <v>0</v>
      </c>
      <c r="U276" s="3">
        <f t="shared" si="31"/>
        <v>1</v>
      </c>
      <c r="V276" s="3">
        <f t="shared" si="32"/>
        <v>1</v>
      </c>
    </row>
    <row r="277" spans="1:22" x14ac:dyDescent="0.25">
      <c r="A277" s="2">
        <v>2017</v>
      </c>
      <c r="B277" t="s">
        <v>25</v>
      </c>
      <c r="C277" t="s">
        <v>1</v>
      </c>
      <c r="D277" s="2">
        <v>243</v>
      </c>
      <c r="E277" s="2">
        <v>4498</v>
      </c>
      <c r="F277" t="s">
        <v>471</v>
      </c>
      <c r="G277">
        <v>8</v>
      </c>
      <c r="H277">
        <v>8</v>
      </c>
      <c r="I277">
        <v>0</v>
      </c>
      <c r="J277">
        <v>0</v>
      </c>
      <c r="K277">
        <v>0</v>
      </c>
      <c r="L277" s="6">
        <f t="shared" si="33"/>
        <v>1</v>
      </c>
      <c r="M277">
        <v>79</v>
      </c>
      <c r="N277">
        <v>16</v>
      </c>
      <c r="O277" s="9">
        <v>0</v>
      </c>
      <c r="P277">
        <v>0</v>
      </c>
      <c r="Q277">
        <v>35</v>
      </c>
      <c r="R277">
        <v>0</v>
      </c>
      <c r="S277">
        <v>28</v>
      </c>
      <c r="T277">
        <v>0</v>
      </c>
      <c r="U277" s="3">
        <f t="shared" ref="U277:U309" si="34">IF(M277=0,0,((N277+O277+Q277+S277+T277)/M277))</f>
        <v>1</v>
      </c>
      <c r="V277" s="3">
        <f t="shared" si="32"/>
        <v>1</v>
      </c>
    </row>
    <row r="278" spans="1:22" x14ac:dyDescent="0.25">
      <c r="A278" s="2">
        <v>2017</v>
      </c>
      <c r="B278" t="s">
        <v>25</v>
      </c>
      <c r="C278" t="s">
        <v>1</v>
      </c>
      <c r="D278" s="2">
        <v>16594</v>
      </c>
      <c r="E278" s="2">
        <v>119329</v>
      </c>
      <c r="F278" t="s">
        <v>472</v>
      </c>
      <c r="G278">
        <v>8</v>
      </c>
      <c r="H278">
        <v>8</v>
      </c>
      <c r="I278">
        <v>0</v>
      </c>
      <c r="J278">
        <v>0</v>
      </c>
      <c r="K278">
        <v>0</v>
      </c>
      <c r="L278" s="6">
        <f t="shared" si="33"/>
        <v>1</v>
      </c>
      <c r="M278">
        <v>108</v>
      </c>
      <c r="N278">
        <v>24</v>
      </c>
      <c r="O278" s="9">
        <v>0</v>
      </c>
      <c r="P278">
        <v>0</v>
      </c>
      <c r="Q278">
        <v>47</v>
      </c>
      <c r="R278">
        <v>0</v>
      </c>
      <c r="S278">
        <v>36</v>
      </c>
      <c r="T278">
        <v>1</v>
      </c>
      <c r="U278" s="3">
        <f t="shared" si="34"/>
        <v>1</v>
      </c>
      <c r="V278" s="3">
        <f t="shared" si="32"/>
        <v>1</v>
      </c>
    </row>
    <row r="279" spans="1:22" x14ac:dyDescent="0.25">
      <c r="A279" s="2">
        <v>2017</v>
      </c>
      <c r="B279" t="s">
        <v>25</v>
      </c>
      <c r="C279" t="s">
        <v>1</v>
      </c>
      <c r="D279" s="2">
        <v>335</v>
      </c>
      <c r="E279" s="2">
        <v>2726</v>
      </c>
      <c r="F279" t="s">
        <v>473</v>
      </c>
      <c r="G279">
        <v>23</v>
      </c>
      <c r="H279">
        <v>23</v>
      </c>
      <c r="I279">
        <v>0</v>
      </c>
      <c r="J279">
        <v>0</v>
      </c>
      <c r="K279">
        <v>0</v>
      </c>
      <c r="L279" s="6">
        <f t="shared" si="33"/>
        <v>1</v>
      </c>
      <c r="M279">
        <v>190</v>
      </c>
      <c r="N279">
        <v>29</v>
      </c>
      <c r="O279" s="9">
        <v>0</v>
      </c>
      <c r="P279">
        <v>0</v>
      </c>
      <c r="Q279">
        <v>91</v>
      </c>
      <c r="R279">
        <v>0</v>
      </c>
      <c r="S279">
        <v>70</v>
      </c>
      <c r="T279">
        <v>0</v>
      </c>
      <c r="U279" s="3">
        <f t="shared" si="34"/>
        <v>1</v>
      </c>
      <c r="V279" s="3">
        <f t="shared" si="32"/>
        <v>1</v>
      </c>
    </row>
    <row r="280" spans="1:22" x14ac:dyDescent="0.25">
      <c r="A280" s="2">
        <v>2017</v>
      </c>
      <c r="B280" t="s">
        <v>25</v>
      </c>
      <c r="C280" t="s">
        <v>1</v>
      </c>
      <c r="D280" s="2">
        <v>473</v>
      </c>
      <c r="E280" s="2">
        <v>5243</v>
      </c>
      <c r="F280" t="s">
        <v>474</v>
      </c>
      <c r="G280">
        <v>13</v>
      </c>
      <c r="H280">
        <v>13</v>
      </c>
      <c r="I280">
        <v>0</v>
      </c>
      <c r="J280">
        <v>0</v>
      </c>
      <c r="K280">
        <v>0</v>
      </c>
      <c r="L280" s="6">
        <f t="shared" si="33"/>
        <v>1</v>
      </c>
      <c r="M280">
        <v>174</v>
      </c>
      <c r="N280">
        <v>31</v>
      </c>
      <c r="O280" s="9">
        <v>0</v>
      </c>
      <c r="P280">
        <v>0</v>
      </c>
      <c r="Q280">
        <v>74</v>
      </c>
      <c r="R280">
        <v>0</v>
      </c>
      <c r="S280">
        <v>69</v>
      </c>
      <c r="T280">
        <v>0</v>
      </c>
      <c r="U280" s="3">
        <f t="shared" si="34"/>
        <v>1</v>
      </c>
      <c r="V280" s="3">
        <f t="shared" si="32"/>
        <v>1</v>
      </c>
    </row>
    <row r="281" spans="1:22" x14ac:dyDescent="0.25">
      <c r="A281" s="2">
        <v>2017</v>
      </c>
      <c r="B281" t="s">
        <v>25</v>
      </c>
      <c r="C281" t="s">
        <v>1</v>
      </c>
      <c r="D281" s="2">
        <v>67</v>
      </c>
      <c r="E281" s="2">
        <v>2833</v>
      </c>
      <c r="F281" t="s">
        <v>475</v>
      </c>
      <c r="G281">
        <v>3</v>
      </c>
      <c r="H281">
        <v>3</v>
      </c>
      <c r="I281">
        <v>0</v>
      </c>
      <c r="J281">
        <v>0</v>
      </c>
      <c r="K281">
        <v>0</v>
      </c>
      <c r="L281" s="6">
        <f t="shared" si="33"/>
        <v>1</v>
      </c>
      <c r="M281">
        <v>55</v>
      </c>
      <c r="N281">
        <v>10</v>
      </c>
      <c r="O281" s="9">
        <v>0</v>
      </c>
      <c r="P281">
        <v>0</v>
      </c>
      <c r="Q281">
        <v>24</v>
      </c>
      <c r="R281">
        <v>0</v>
      </c>
      <c r="S281">
        <v>21</v>
      </c>
      <c r="T281">
        <v>0</v>
      </c>
      <c r="U281" s="3">
        <f t="shared" si="34"/>
        <v>1</v>
      </c>
      <c r="V281" s="3">
        <f t="shared" si="32"/>
        <v>1</v>
      </c>
    </row>
    <row r="282" spans="1:22" x14ac:dyDescent="0.25">
      <c r="A282" s="2">
        <v>2017</v>
      </c>
      <c r="B282" t="s">
        <v>25</v>
      </c>
      <c r="C282" t="s">
        <v>1</v>
      </c>
      <c r="D282" s="2">
        <v>3621</v>
      </c>
      <c r="E282" s="2">
        <v>9748</v>
      </c>
      <c r="F282" t="s">
        <v>476</v>
      </c>
      <c r="G282">
        <v>1</v>
      </c>
      <c r="H282">
        <v>1</v>
      </c>
      <c r="I282">
        <v>0</v>
      </c>
      <c r="J282">
        <v>0</v>
      </c>
      <c r="K282">
        <v>0</v>
      </c>
      <c r="L282" s="6">
        <f t="shared" si="33"/>
        <v>1</v>
      </c>
      <c r="M282">
        <v>192</v>
      </c>
      <c r="N282">
        <v>48</v>
      </c>
      <c r="O282" s="9">
        <v>0</v>
      </c>
      <c r="P282">
        <v>0</v>
      </c>
      <c r="Q282">
        <v>113</v>
      </c>
      <c r="R282">
        <v>0</v>
      </c>
      <c r="S282">
        <v>30</v>
      </c>
      <c r="T282">
        <v>1</v>
      </c>
      <c r="U282" s="3">
        <f t="shared" si="34"/>
        <v>1</v>
      </c>
      <c r="V282" s="3">
        <f t="shared" si="32"/>
        <v>1</v>
      </c>
    </row>
    <row r="283" spans="1:22" x14ac:dyDescent="0.25">
      <c r="A283" s="2">
        <v>2017</v>
      </c>
      <c r="B283" t="s">
        <v>25</v>
      </c>
      <c r="C283" t="s">
        <v>1</v>
      </c>
      <c r="D283" s="2">
        <v>567</v>
      </c>
      <c r="E283" s="2">
        <v>3218</v>
      </c>
      <c r="F283" t="s">
        <v>477</v>
      </c>
      <c r="G283">
        <v>26</v>
      </c>
      <c r="H283">
        <v>26</v>
      </c>
      <c r="I283">
        <v>0</v>
      </c>
      <c r="J283">
        <v>0</v>
      </c>
      <c r="K283">
        <v>0</v>
      </c>
      <c r="L283" s="6">
        <f t="shared" si="33"/>
        <v>1</v>
      </c>
      <c r="M283">
        <v>317</v>
      </c>
      <c r="N283">
        <v>64</v>
      </c>
      <c r="O283" s="9">
        <v>0</v>
      </c>
      <c r="P283">
        <v>0</v>
      </c>
      <c r="Q283">
        <v>126</v>
      </c>
      <c r="R283">
        <v>1</v>
      </c>
      <c r="S283">
        <v>124</v>
      </c>
      <c r="T283">
        <v>2</v>
      </c>
      <c r="U283" s="3">
        <f t="shared" si="34"/>
        <v>0.99684542586750791</v>
      </c>
      <c r="V283" s="3">
        <f t="shared" si="32"/>
        <v>0.99708454810495628</v>
      </c>
    </row>
    <row r="284" spans="1:22" x14ac:dyDescent="0.25">
      <c r="A284" s="2">
        <v>2017</v>
      </c>
      <c r="B284" t="s">
        <v>25</v>
      </c>
      <c r="C284" t="s">
        <v>1</v>
      </c>
      <c r="D284" s="2">
        <v>20430</v>
      </c>
      <c r="E284" s="2">
        <v>120449</v>
      </c>
      <c r="F284" t="s">
        <v>505</v>
      </c>
      <c r="G284">
        <v>1</v>
      </c>
      <c r="H284">
        <v>1</v>
      </c>
      <c r="I284">
        <v>0</v>
      </c>
      <c r="J284">
        <v>0</v>
      </c>
      <c r="K284">
        <v>0</v>
      </c>
      <c r="L284" s="6">
        <f t="shared" si="33"/>
        <v>1</v>
      </c>
      <c r="M284">
        <v>17</v>
      </c>
      <c r="N284">
        <v>2</v>
      </c>
      <c r="O284" s="9">
        <v>0</v>
      </c>
      <c r="P284">
        <v>0</v>
      </c>
      <c r="Q284">
        <v>6</v>
      </c>
      <c r="R284">
        <v>0</v>
      </c>
      <c r="S284">
        <v>9</v>
      </c>
      <c r="T284">
        <v>0</v>
      </c>
      <c r="U284" s="3">
        <f t="shared" si="34"/>
        <v>1</v>
      </c>
      <c r="V284" s="3">
        <f t="shared" si="32"/>
        <v>1</v>
      </c>
    </row>
    <row r="285" spans="1:22" x14ac:dyDescent="0.25">
      <c r="A285" s="2">
        <v>2017</v>
      </c>
      <c r="B285" t="s">
        <v>25</v>
      </c>
      <c r="C285" t="s">
        <v>1</v>
      </c>
      <c r="D285" s="2">
        <v>627</v>
      </c>
      <c r="E285" s="2">
        <v>3693</v>
      </c>
      <c r="F285" t="s">
        <v>478</v>
      </c>
      <c r="G285">
        <v>24</v>
      </c>
      <c r="H285">
        <v>24</v>
      </c>
      <c r="I285">
        <v>0</v>
      </c>
      <c r="J285">
        <v>0</v>
      </c>
      <c r="K285">
        <v>0</v>
      </c>
      <c r="L285" s="6">
        <f t="shared" si="33"/>
        <v>1</v>
      </c>
      <c r="M285">
        <v>382</v>
      </c>
      <c r="N285">
        <v>83</v>
      </c>
      <c r="O285" s="9">
        <v>0</v>
      </c>
      <c r="P285">
        <v>0</v>
      </c>
      <c r="Q285">
        <v>187</v>
      </c>
      <c r="R285">
        <v>0</v>
      </c>
      <c r="S285">
        <v>109</v>
      </c>
      <c r="T285">
        <v>3</v>
      </c>
      <c r="U285" s="3">
        <f t="shared" si="34"/>
        <v>1</v>
      </c>
      <c r="V285" s="3">
        <f t="shared" si="32"/>
        <v>1</v>
      </c>
    </row>
    <row r="286" spans="1:22" x14ac:dyDescent="0.25">
      <c r="A286" s="2">
        <v>2017</v>
      </c>
      <c r="B286" t="s">
        <v>25</v>
      </c>
      <c r="C286" t="s">
        <v>1</v>
      </c>
      <c r="D286" s="2">
        <v>130</v>
      </c>
      <c r="E286" s="2">
        <v>5419</v>
      </c>
      <c r="F286" t="s">
        <v>479</v>
      </c>
      <c r="G286">
        <v>8</v>
      </c>
      <c r="H286">
        <v>8</v>
      </c>
      <c r="I286">
        <v>0</v>
      </c>
      <c r="J286">
        <v>0</v>
      </c>
      <c r="K286">
        <v>0</v>
      </c>
      <c r="L286" s="6">
        <f t="shared" si="33"/>
        <v>1</v>
      </c>
      <c r="M286">
        <v>151</v>
      </c>
      <c r="N286">
        <v>33</v>
      </c>
      <c r="O286" s="9">
        <v>0</v>
      </c>
      <c r="P286">
        <v>0</v>
      </c>
      <c r="Q286">
        <v>72</v>
      </c>
      <c r="R286">
        <v>0</v>
      </c>
      <c r="S286">
        <v>46</v>
      </c>
      <c r="T286">
        <v>0</v>
      </c>
      <c r="U286" s="3">
        <f t="shared" si="34"/>
        <v>1</v>
      </c>
      <c r="V286" s="3">
        <f t="shared" si="32"/>
        <v>1</v>
      </c>
    </row>
    <row r="287" spans="1:22" x14ac:dyDescent="0.25">
      <c r="A287" s="2">
        <v>2017</v>
      </c>
      <c r="B287" t="s">
        <v>25</v>
      </c>
      <c r="C287" t="s">
        <v>1</v>
      </c>
      <c r="D287" s="2">
        <v>1397</v>
      </c>
      <c r="E287" s="2">
        <v>3661</v>
      </c>
      <c r="F287" t="s">
        <v>480</v>
      </c>
      <c r="G287">
        <v>13</v>
      </c>
      <c r="H287">
        <v>13</v>
      </c>
      <c r="I287">
        <v>0</v>
      </c>
      <c r="J287">
        <v>0</v>
      </c>
      <c r="K287">
        <v>0</v>
      </c>
      <c r="L287" s="6">
        <f t="shared" si="33"/>
        <v>1</v>
      </c>
      <c r="M287">
        <v>177</v>
      </c>
      <c r="N287">
        <v>29</v>
      </c>
      <c r="O287" s="9">
        <v>0</v>
      </c>
      <c r="P287">
        <v>0</v>
      </c>
      <c r="Q287">
        <v>78</v>
      </c>
      <c r="R287">
        <v>0</v>
      </c>
      <c r="S287">
        <v>70</v>
      </c>
      <c r="T287">
        <v>0</v>
      </c>
      <c r="U287" s="3">
        <f t="shared" si="34"/>
        <v>1</v>
      </c>
      <c r="V287" s="3">
        <f t="shared" si="32"/>
        <v>1</v>
      </c>
    </row>
    <row r="288" spans="1:22" x14ac:dyDescent="0.25">
      <c r="A288" s="2">
        <v>2017</v>
      </c>
      <c r="B288" t="s">
        <v>25</v>
      </c>
      <c r="C288" t="s">
        <v>1</v>
      </c>
      <c r="D288" s="2">
        <v>1508</v>
      </c>
      <c r="E288" s="2">
        <v>3157</v>
      </c>
      <c r="F288" t="s">
        <v>481</v>
      </c>
      <c r="G288">
        <v>0</v>
      </c>
      <c r="H288">
        <v>0</v>
      </c>
      <c r="I288">
        <v>0</v>
      </c>
      <c r="J288">
        <v>0</v>
      </c>
      <c r="K288">
        <v>0</v>
      </c>
      <c r="L288" s="6">
        <f t="shared" si="33"/>
        <v>0</v>
      </c>
      <c r="M288">
        <v>1</v>
      </c>
      <c r="N288">
        <v>0</v>
      </c>
      <c r="O288" s="9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 s="3">
        <f t="shared" si="34"/>
        <v>1</v>
      </c>
      <c r="V288" s="3">
        <f t="shared" si="32"/>
        <v>1</v>
      </c>
    </row>
    <row r="289" spans="1:22" x14ac:dyDescent="0.25">
      <c r="A289" s="2">
        <v>2017</v>
      </c>
      <c r="B289" t="s">
        <v>25</v>
      </c>
      <c r="C289" t="s">
        <v>1</v>
      </c>
      <c r="D289" s="2">
        <v>136</v>
      </c>
      <c r="E289" s="2">
        <v>2834</v>
      </c>
      <c r="F289" t="s">
        <v>482</v>
      </c>
      <c r="G289">
        <v>6</v>
      </c>
      <c r="H289">
        <v>6</v>
      </c>
      <c r="I289">
        <v>0</v>
      </c>
      <c r="J289">
        <v>0</v>
      </c>
      <c r="K289">
        <v>0</v>
      </c>
      <c r="L289" s="6">
        <f t="shared" si="33"/>
        <v>1</v>
      </c>
      <c r="M289">
        <v>55</v>
      </c>
      <c r="N289">
        <v>10</v>
      </c>
      <c r="O289" s="9">
        <v>0</v>
      </c>
      <c r="P289">
        <v>0</v>
      </c>
      <c r="Q289">
        <v>30</v>
      </c>
      <c r="R289">
        <v>0</v>
      </c>
      <c r="S289">
        <v>15</v>
      </c>
      <c r="T289">
        <v>0</v>
      </c>
      <c r="U289" s="3">
        <f t="shared" si="34"/>
        <v>1</v>
      </c>
      <c r="V289" s="3">
        <f t="shared" si="32"/>
        <v>1</v>
      </c>
    </row>
    <row r="290" spans="1:22" x14ac:dyDescent="0.25">
      <c r="A290" s="2">
        <v>2017</v>
      </c>
      <c r="B290" t="s">
        <v>25</v>
      </c>
      <c r="C290" t="s">
        <v>1</v>
      </c>
      <c r="D290" s="2">
        <v>138</v>
      </c>
      <c r="E290" s="2">
        <v>2741</v>
      </c>
      <c r="F290" t="s">
        <v>483</v>
      </c>
      <c r="G290">
        <v>5</v>
      </c>
      <c r="H290">
        <v>5</v>
      </c>
      <c r="I290">
        <v>0</v>
      </c>
      <c r="J290">
        <v>0</v>
      </c>
      <c r="K290">
        <v>0</v>
      </c>
      <c r="L290" s="6">
        <f t="shared" si="33"/>
        <v>1</v>
      </c>
      <c r="M290">
        <v>164</v>
      </c>
      <c r="N290">
        <v>34</v>
      </c>
      <c r="O290" s="9">
        <v>0</v>
      </c>
      <c r="P290">
        <v>0</v>
      </c>
      <c r="Q290">
        <v>72</v>
      </c>
      <c r="R290">
        <v>0</v>
      </c>
      <c r="S290">
        <v>58</v>
      </c>
      <c r="T290">
        <v>0</v>
      </c>
      <c r="U290" s="3">
        <f t="shared" si="34"/>
        <v>1</v>
      </c>
      <c r="V290" s="3">
        <f t="shared" si="32"/>
        <v>1</v>
      </c>
    </row>
    <row r="291" spans="1:22" x14ac:dyDescent="0.25">
      <c r="A291" s="2">
        <v>2017</v>
      </c>
      <c r="B291" t="s">
        <v>25</v>
      </c>
      <c r="C291" t="s">
        <v>1</v>
      </c>
      <c r="D291" s="2">
        <v>19352</v>
      </c>
      <c r="E291" s="2">
        <v>122191</v>
      </c>
      <c r="F291" t="s">
        <v>484</v>
      </c>
      <c r="G291">
        <v>7</v>
      </c>
      <c r="H291">
        <v>7</v>
      </c>
      <c r="I291">
        <v>0</v>
      </c>
      <c r="J291">
        <v>0</v>
      </c>
      <c r="K291">
        <v>0</v>
      </c>
      <c r="L291" s="6">
        <f t="shared" si="33"/>
        <v>1</v>
      </c>
      <c r="M291">
        <v>177</v>
      </c>
      <c r="N291">
        <v>39</v>
      </c>
      <c r="O291" s="9">
        <v>0</v>
      </c>
      <c r="P291">
        <v>0</v>
      </c>
      <c r="Q291">
        <v>65</v>
      </c>
      <c r="R291">
        <v>0</v>
      </c>
      <c r="S291">
        <v>73</v>
      </c>
      <c r="T291">
        <v>0</v>
      </c>
      <c r="U291" s="3">
        <f t="shared" si="34"/>
        <v>1</v>
      </c>
      <c r="V291" s="3">
        <f t="shared" si="32"/>
        <v>1</v>
      </c>
    </row>
    <row r="292" spans="1:22" x14ac:dyDescent="0.25">
      <c r="A292" s="2">
        <v>2017</v>
      </c>
      <c r="B292" t="s">
        <v>25</v>
      </c>
      <c r="C292" t="s">
        <v>1</v>
      </c>
      <c r="D292" s="2">
        <v>1632</v>
      </c>
      <c r="E292" s="2">
        <v>2953</v>
      </c>
      <c r="F292" t="s">
        <v>485</v>
      </c>
      <c r="G292">
        <v>7</v>
      </c>
      <c r="H292">
        <v>7</v>
      </c>
      <c r="I292">
        <v>0</v>
      </c>
      <c r="J292">
        <v>0</v>
      </c>
      <c r="K292">
        <v>0</v>
      </c>
      <c r="L292" s="6">
        <f t="shared" si="33"/>
        <v>1</v>
      </c>
      <c r="M292">
        <v>161</v>
      </c>
      <c r="N292">
        <v>29</v>
      </c>
      <c r="O292" s="9">
        <v>0</v>
      </c>
      <c r="P292">
        <v>0</v>
      </c>
      <c r="Q292">
        <v>67</v>
      </c>
      <c r="R292">
        <v>0</v>
      </c>
      <c r="S292">
        <v>65</v>
      </c>
      <c r="T292">
        <v>0</v>
      </c>
      <c r="U292" s="3">
        <f t="shared" si="34"/>
        <v>1</v>
      </c>
      <c r="V292" s="3">
        <f t="shared" ref="V292:V304" si="35">(H292+I292+J292+N292+Q292+S292+T292)/(G292+M292)</f>
        <v>1</v>
      </c>
    </row>
    <row r="293" spans="1:22" x14ac:dyDescent="0.25">
      <c r="A293" s="2">
        <v>2017</v>
      </c>
      <c r="B293" t="s">
        <v>25</v>
      </c>
      <c r="C293" t="s">
        <v>1</v>
      </c>
      <c r="D293" s="2">
        <v>1661</v>
      </c>
      <c r="E293" s="2">
        <v>104</v>
      </c>
      <c r="F293" t="s">
        <v>486</v>
      </c>
      <c r="G293">
        <v>1</v>
      </c>
      <c r="H293">
        <v>1</v>
      </c>
      <c r="I293">
        <v>0</v>
      </c>
      <c r="J293">
        <v>0</v>
      </c>
      <c r="K293">
        <v>0</v>
      </c>
      <c r="L293" s="6">
        <f t="shared" si="33"/>
        <v>1</v>
      </c>
      <c r="M293">
        <v>85</v>
      </c>
      <c r="N293">
        <v>22</v>
      </c>
      <c r="O293" s="9">
        <v>0</v>
      </c>
      <c r="P293">
        <v>0</v>
      </c>
      <c r="Q293">
        <v>28</v>
      </c>
      <c r="R293">
        <v>0</v>
      </c>
      <c r="S293">
        <v>34</v>
      </c>
      <c r="T293">
        <v>1</v>
      </c>
      <c r="U293" s="3">
        <f t="shared" si="34"/>
        <v>1</v>
      </c>
      <c r="V293" s="3">
        <f t="shared" si="35"/>
        <v>1</v>
      </c>
    </row>
    <row r="294" spans="1:22" x14ac:dyDescent="0.25">
      <c r="A294" s="2">
        <v>2017</v>
      </c>
      <c r="B294" t="s">
        <v>25</v>
      </c>
      <c r="C294" t="s">
        <v>1</v>
      </c>
      <c r="D294" s="2">
        <v>1667</v>
      </c>
      <c r="E294" s="2">
        <v>4727</v>
      </c>
      <c r="F294" t="s">
        <v>487</v>
      </c>
      <c r="G294">
        <v>6</v>
      </c>
      <c r="H294">
        <v>6</v>
      </c>
      <c r="I294">
        <v>0</v>
      </c>
      <c r="J294">
        <v>0</v>
      </c>
      <c r="K294">
        <v>0</v>
      </c>
      <c r="L294" s="6">
        <f t="shared" si="33"/>
        <v>1</v>
      </c>
      <c r="M294">
        <v>102</v>
      </c>
      <c r="N294">
        <v>19</v>
      </c>
      <c r="O294" s="9">
        <v>0</v>
      </c>
      <c r="P294">
        <v>0</v>
      </c>
      <c r="Q294">
        <v>54</v>
      </c>
      <c r="R294">
        <v>0</v>
      </c>
      <c r="S294">
        <v>29</v>
      </c>
      <c r="T294">
        <v>0</v>
      </c>
      <c r="U294" s="3">
        <f t="shared" si="34"/>
        <v>1</v>
      </c>
      <c r="V294" s="3">
        <f t="shared" si="35"/>
        <v>1</v>
      </c>
    </row>
    <row r="295" spans="1:22" x14ac:dyDescent="0.25">
      <c r="A295" s="2">
        <v>2017</v>
      </c>
      <c r="B295" t="s">
        <v>25</v>
      </c>
      <c r="C295" t="s">
        <v>1</v>
      </c>
      <c r="D295" s="2">
        <v>20010</v>
      </c>
      <c r="E295" s="2">
        <v>119432</v>
      </c>
      <c r="F295" t="s">
        <v>488</v>
      </c>
      <c r="G295">
        <v>12</v>
      </c>
      <c r="H295">
        <v>12</v>
      </c>
      <c r="I295">
        <v>0</v>
      </c>
      <c r="J295">
        <v>0</v>
      </c>
      <c r="K295">
        <v>0</v>
      </c>
      <c r="L295" s="6">
        <f t="shared" si="33"/>
        <v>1</v>
      </c>
      <c r="M295">
        <v>249</v>
      </c>
      <c r="N295">
        <v>47</v>
      </c>
      <c r="O295" s="9">
        <v>0</v>
      </c>
      <c r="P295">
        <v>0</v>
      </c>
      <c r="Q295">
        <v>109</v>
      </c>
      <c r="R295">
        <v>1</v>
      </c>
      <c r="S295">
        <v>92</v>
      </c>
      <c r="T295">
        <v>0</v>
      </c>
      <c r="U295" s="3">
        <f t="shared" si="34"/>
        <v>0.99598393574297184</v>
      </c>
      <c r="V295" s="3">
        <f t="shared" si="35"/>
        <v>0.99616858237547889</v>
      </c>
    </row>
    <row r="296" spans="1:22" x14ac:dyDescent="0.25">
      <c r="A296" s="2">
        <v>2017</v>
      </c>
      <c r="B296" t="s">
        <v>25</v>
      </c>
      <c r="C296" t="s">
        <v>1</v>
      </c>
      <c r="D296" s="2">
        <v>639</v>
      </c>
      <c r="E296" s="2">
        <v>4723</v>
      </c>
      <c r="F296" t="s">
        <v>489</v>
      </c>
      <c r="G296">
        <v>14</v>
      </c>
      <c r="H296">
        <v>14</v>
      </c>
      <c r="I296">
        <v>0</v>
      </c>
      <c r="J296">
        <v>0</v>
      </c>
      <c r="K296">
        <v>0</v>
      </c>
      <c r="L296" s="6">
        <f t="shared" si="33"/>
        <v>1</v>
      </c>
      <c r="M296">
        <v>225</v>
      </c>
      <c r="N296">
        <v>55</v>
      </c>
      <c r="O296" s="9">
        <v>0</v>
      </c>
      <c r="P296">
        <v>0</v>
      </c>
      <c r="Q296">
        <v>101</v>
      </c>
      <c r="R296">
        <v>1</v>
      </c>
      <c r="S296">
        <v>67</v>
      </c>
      <c r="T296">
        <v>1</v>
      </c>
      <c r="U296" s="3">
        <f t="shared" si="34"/>
        <v>0.99555555555555553</v>
      </c>
      <c r="V296" s="3">
        <f t="shared" si="35"/>
        <v>0.99581589958159</v>
      </c>
    </row>
    <row r="297" spans="1:22" x14ac:dyDescent="0.25">
      <c r="A297" s="2">
        <v>2017</v>
      </c>
      <c r="B297" t="s">
        <v>25</v>
      </c>
      <c r="C297" t="s">
        <v>1</v>
      </c>
      <c r="D297" s="2">
        <v>1909</v>
      </c>
      <c r="E297" s="2">
        <v>5437</v>
      </c>
      <c r="F297" t="s">
        <v>490</v>
      </c>
      <c r="G297">
        <v>7</v>
      </c>
      <c r="H297">
        <v>7</v>
      </c>
      <c r="I297">
        <v>0</v>
      </c>
      <c r="J297">
        <v>0</v>
      </c>
      <c r="K297">
        <v>0</v>
      </c>
      <c r="L297" s="6">
        <f t="shared" si="33"/>
        <v>1</v>
      </c>
      <c r="M297">
        <v>183</v>
      </c>
      <c r="N297">
        <v>50</v>
      </c>
      <c r="O297" s="9">
        <v>0</v>
      </c>
      <c r="P297">
        <v>0</v>
      </c>
      <c r="Q297">
        <v>77</v>
      </c>
      <c r="R297">
        <v>0</v>
      </c>
      <c r="S297">
        <v>55</v>
      </c>
      <c r="T297">
        <v>1</v>
      </c>
      <c r="U297" s="3">
        <f t="shared" si="34"/>
        <v>1</v>
      </c>
      <c r="V297" s="3">
        <f t="shared" si="35"/>
        <v>1</v>
      </c>
    </row>
    <row r="298" spans="1:22" x14ac:dyDescent="0.25">
      <c r="A298" s="2">
        <v>2017</v>
      </c>
      <c r="B298" t="s">
        <v>25</v>
      </c>
      <c r="C298" t="s">
        <v>1</v>
      </c>
      <c r="D298" s="2">
        <v>3622</v>
      </c>
      <c r="E298" s="2">
        <v>5670</v>
      </c>
      <c r="F298" t="s">
        <v>491</v>
      </c>
      <c r="G298">
        <v>20</v>
      </c>
      <c r="H298">
        <v>20</v>
      </c>
      <c r="I298">
        <v>0</v>
      </c>
      <c r="J298">
        <v>0</v>
      </c>
      <c r="K298">
        <v>0</v>
      </c>
      <c r="L298" s="6">
        <f t="shared" si="33"/>
        <v>1</v>
      </c>
      <c r="M298">
        <v>284</v>
      </c>
      <c r="N298">
        <v>56</v>
      </c>
      <c r="O298" s="9">
        <v>0</v>
      </c>
      <c r="P298">
        <v>0</v>
      </c>
      <c r="Q298">
        <v>120</v>
      </c>
      <c r="R298">
        <v>1</v>
      </c>
      <c r="S298">
        <v>107</v>
      </c>
      <c r="T298">
        <v>0</v>
      </c>
      <c r="U298" s="3">
        <f t="shared" si="34"/>
        <v>0.99647887323943662</v>
      </c>
      <c r="V298" s="3">
        <f t="shared" si="35"/>
        <v>0.99671052631578949</v>
      </c>
    </row>
    <row r="299" spans="1:22" x14ac:dyDescent="0.25">
      <c r="A299" s="2">
        <v>2017</v>
      </c>
      <c r="B299" t="s">
        <v>25</v>
      </c>
      <c r="C299" t="s">
        <v>1</v>
      </c>
      <c r="D299" s="2">
        <v>15555</v>
      </c>
      <c r="E299" s="2">
        <v>9514</v>
      </c>
      <c r="F299" t="s">
        <v>492</v>
      </c>
      <c r="G299">
        <v>9</v>
      </c>
      <c r="H299">
        <v>9</v>
      </c>
      <c r="I299">
        <v>0</v>
      </c>
      <c r="J299">
        <v>0</v>
      </c>
      <c r="K299">
        <v>0</v>
      </c>
      <c r="L299" s="6">
        <f t="shared" si="33"/>
        <v>1</v>
      </c>
      <c r="M299">
        <v>219</v>
      </c>
      <c r="N299">
        <v>47</v>
      </c>
      <c r="O299" s="9">
        <v>0</v>
      </c>
      <c r="P299">
        <v>0</v>
      </c>
      <c r="Q299">
        <v>103</v>
      </c>
      <c r="R299">
        <v>0</v>
      </c>
      <c r="S299">
        <v>69</v>
      </c>
      <c r="T299">
        <v>0</v>
      </c>
      <c r="U299" s="3">
        <f t="shared" si="34"/>
        <v>1</v>
      </c>
      <c r="V299" s="3">
        <f t="shared" si="35"/>
        <v>1</v>
      </c>
    </row>
    <row r="300" spans="1:22" x14ac:dyDescent="0.25">
      <c r="A300" s="2">
        <v>2017</v>
      </c>
      <c r="B300" t="s">
        <v>25</v>
      </c>
      <c r="C300" t="s">
        <v>1</v>
      </c>
      <c r="D300" s="2">
        <v>820</v>
      </c>
      <c r="E300" s="2">
        <v>5431</v>
      </c>
      <c r="F300" t="s">
        <v>493</v>
      </c>
      <c r="G300">
        <v>15</v>
      </c>
      <c r="H300">
        <v>15</v>
      </c>
      <c r="I300">
        <v>0</v>
      </c>
      <c r="J300">
        <v>0</v>
      </c>
      <c r="K300">
        <v>0</v>
      </c>
      <c r="L300" s="6">
        <f t="shared" si="33"/>
        <v>1</v>
      </c>
      <c r="M300">
        <v>232</v>
      </c>
      <c r="N300">
        <v>35</v>
      </c>
      <c r="O300" s="9">
        <v>0</v>
      </c>
      <c r="P300">
        <v>0</v>
      </c>
      <c r="Q300">
        <v>97</v>
      </c>
      <c r="R300">
        <v>0</v>
      </c>
      <c r="S300">
        <v>100</v>
      </c>
      <c r="T300">
        <v>0</v>
      </c>
      <c r="U300" s="3">
        <f t="shared" si="34"/>
        <v>1</v>
      </c>
      <c r="V300" s="3">
        <f t="shared" si="35"/>
        <v>1</v>
      </c>
    </row>
    <row r="301" spans="1:22" x14ac:dyDescent="0.25">
      <c r="A301" s="2">
        <v>2017</v>
      </c>
      <c r="B301" t="s">
        <v>25</v>
      </c>
      <c r="C301" t="s">
        <v>1</v>
      </c>
      <c r="D301" s="2">
        <v>853</v>
      </c>
      <c r="E301" s="2">
        <v>4717</v>
      </c>
      <c r="F301" t="s">
        <v>494</v>
      </c>
      <c r="G301">
        <v>1</v>
      </c>
      <c r="H301">
        <v>1</v>
      </c>
      <c r="I301">
        <v>0</v>
      </c>
      <c r="J301">
        <v>0</v>
      </c>
      <c r="K301">
        <v>0</v>
      </c>
      <c r="L301" s="6">
        <f t="shared" si="33"/>
        <v>1</v>
      </c>
      <c r="M301">
        <v>10</v>
      </c>
      <c r="N301">
        <v>3</v>
      </c>
      <c r="O301" s="9">
        <v>0</v>
      </c>
      <c r="P301">
        <v>0</v>
      </c>
      <c r="Q301">
        <v>6</v>
      </c>
      <c r="R301">
        <v>0</v>
      </c>
      <c r="S301">
        <v>1</v>
      </c>
      <c r="T301">
        <v>0</v>
      </c>
      <c r="U301" s="3">
        <f t="shared" si="34"/>
        <v>1</v>
      </c>
      <c r="V301" s="3">
        <f t="shared" si="35"/>
        <v>1</v>
      </c>
    </row>
    <row r="302" spans="1:22" x14ac:dyDescent="0.25">
      <c r="A302" s="2">
        <v>2017</v>
      </c>
      <c r="B302" t="s">
        <v>25</v>
      </c>
      <c r="C302" t="s">
        <v>1</v>
      </c>
      <c r="D302" s="2">
        <v>3595</v>
      </c>
      <c r="E302" s="2">
        <v>9918</v>
      </c>
      <c r="F302" t="s">
        <v>495</v>
      </c>
      <c r="G302">
        <v>3</v>
      </c>
      <c r="H302">
        <v>3</v>
      </c>
      <c r="I302">
        <v>0</v>
      </c>
      <c r="J302">
        <v>0</v>
      </c>
      <c r="K302">
        <v>0</v>
      </c>
      <c r="L302" s="6">
        <f t="shared" si="33"/>
        <v>1</v>
      </c>
      <c r="M302">
        <v>156</v>
      </c>
      <c r="N302">
        <v>34</v>
      </c>
      <c r="O302" s="9">
        <v>0</v>
      </c>
      <c r="P302">
        <v>0</v>
      </c>
      <c r="Q302">
        <v>95</v>
      </c>
      <c r="R302">
        <v>0</v>
      </c>
      <c r="S302">
        <v>27</v>
      </c>
      <c r="T302">
        <v>0</v>
      </c>
      <c r="U302" s="3">
        <f t="shared" si="34"/>
        <v>1</v>
      </c>
      <c r="V302" s="3">
        <f t="shared" si="35"/>
        <v>1</v>
      </c>
    </row>
    <row r="303" spans="1:22" x14ac:dyDescent="0.25">
      <c r="A303" s="2">
        <v>2017</v>
      </c>
      <c r="B303" t="s">
        <v>25</v>
      </c>
      <c r="C303" t="s">
        <v>1</v>
      </c>
      <c r="D303" s="2">
        <v>1016</v>
      </c>
      <c r="E303" s="2">
        <v>2749</v>
      </c>
      <c r="F303" t="s">
        <v>496</v>
      </c>
      <c r="G303">
        <v>4</v>
      </c>
      <c r="H303">
        <v>4</v>
      </c>
      <c r="I303">
        <v>0</v>
      </c>
      <c r="J303">
        <v>0</v>
      </c>
      <c r="K303">
        <v>0</v>
      </c>
      <c r="L303" s="6">
        <f t="shared" si="33"/>
        <v>1</v>
      </c>
      <c r="M303">
        <v>143</v>
      </c>
      <c r="N303">
        <v>19</v>
      </c>
      <c r="O303" s="9">
        <v>0</v>
      </c>
      <c r="P303">
        <v>0</v>
      </c>
      <c r="Q303">
        <v>61</v>
      </c>
      <c r="R303">
        <v>0</v>
      </c>
      <c r="S303">
        <v>63</v>
      </c>
      <c r="T303">
        <v>0</v>
      </c>
      <c r="U303" s="3">
        <f t="shared" si="34"/>
        <v>1</v>
      </c>
      <c r="V303" s="3">
        <f t="shared" si="35"/>
        <v>1</v>
      </c>
    </row>
    <row r="304" spans="1:22" x14ac:dyDescent="0.25">
      <c r="A304" s="2">
        <v>2017</v>
      </c>
      <c r="B304" t="s">
        <v>25</v>
      </c>
      <c r="C304" t="s">
        <v>1</v>
      </c>
      <c r="D304" s="2">
        <v>1050</v>
      </c>
      <c r="E304" s="2">
        <v>5302</v>
      </c>
      <c r="F304" t="s">
        <v>497</v>
      </c>
      <c r="G304">
        <v>0</v>
      </c>
      <c r="H304">
        <v>0</v>
      </c>
      <c r="I304">
        <v>0</v>
      </c>
      <c r="J304">
        <v>0</v>
      </c>
      <c r="K304">
        <v>0</v>
      </c>
      <c r="L304" s="6">
        <f t="shared" si="33"/>
        <v>0</v>
      </c>
      <c r="M304">
        <v>53</v>
      </c>
      <c r="N304">
        <v>12</v>
      </c>
      <c r="O304" s="9">
        <v>0</v>
      </c>
      <c r="P304">
        <v>0</v>
      </c>
      <c r="Q304">
        <v>35</v>
      </c>
      <c r="R304">
        <v>0</v>
      </c>
      <c r="S304">
        <v>6</v>
      </c>
      <c r="T304">
        <v>0</v>
      </c>
      <c r="U304" s="3">
        <f t="shared" si="34"/>
        <v>1</v>
      </c>
      <c r="V304" s="3">
        <f t="shared" si="35"/>
        <v>1</v>
      </c>
    </row>
    <row r="305" spans="1:22" x14ac:dyDescent="0.25">
      <c r="A305" s="2">
        <v>2017</v>
      </c>
      <c r="B305" t="s">
        <v>25</v>
      </c>
      <c r="C305" t="s">
        <v>1</v>
      </c>
      <c r="D305" s="2">
        <v>1108</v>
      </c>
      <c r="E305" s="2">
        <v>4332</v>
      </c>
      <c r="F305" t="s">
        <v>498</v>
      </c>
      <c r="G305">
        <v>9</v>
      </c>
      <c r="H305">
        <v>9</v>
      </c>
      <c r="I305">
        <v>0</v>
      </c>
      <c r="J305">
        <v>0</v>
      </c>
      <c r="K305">
        <v>0</v>
      </c>
      <c r="L305" s="6">
        <f t="shared" si="33"/>
        <v>1</v>
      </c>
      <c r="M305">
        <v>184</v>
      </c>
      <c r="N305">
        <v>29</v>
      </c>
      <c r="O305" s="9">
        <v>0</v>
      </c>
      <c r="P305">
        <v>0</v>
      </c>
      <c r="Q305">
        <v>68</v>
      </c>
      <c r="R305">
        <v>0</v>
      </c>
      <c r="S305">
        <v>85</v>
      </c>
      <c r="T305">
        <v>2</v>
      </c>
      <c r="U305" s="3">
        <f t="shared" si="34"/>
        <v>1</v>
      </c>
      <c r="V305" s="3">
        <f t="shared" ref="V305:V308" si="36">(H305+I305+J305+N305+Q305+S305+T305)/(G305+M305)</f>
        <v>1</v>
      </c>
    </row>
    <row r="306" spans="1:22" x14ac:dyDescent="0.25">
      <c r="A306" s="2">
        <v>2017</v>
      </c>
      <c r="B306" t="s">
        <v>25</v>
      </c>
      <c r="C306" t="s">
        <v>1</v>
      </c>
      <c r="D306" s="2">
        <v>3623</v>
      </c>
      <c r="E306" s="2">
        <v>6046</v>
      </c>
      <c r="F306" t="s">
        <v>499</v>
      </c>
      <c r="G306">
        <v>6</v>
      </c>
      <c r="H306">
        <v>6</v>
      </c>
      <c r="I306">
        <v>0</v>
      </c>
      <c r="J306">
        <v>0</v>
      </c>
      <c r="K306">
        <v>0</v>
      </c>
      <c r="L306" s="6">
        <f t="shared" si="33"/>
        <v>1</v>
      </c>
      <c r="M306">
        <v>225</v>
      </c>
      <c r="N306">
        <v>47</v>
      </c>
      <c r="O306" s="9">
        <v>0</v>
      </c>
      <c r="P306">
        <v>0</v>
      </c>
      <c r="Q306">
        <v>136</v>
      </c>
      <c r="R306">
        <v>0</v>
      </c>
      <c r="S306">
        <v>41</v>
      </c>
      <c r="T306">
        <v>1</v>
      </c>
      <c r="U306" s="3">
        <f t="shared" si="34"/>
        <v>1</v>
      </c>
      <c r="V306" s="3">
        <f t="shared" si="36"/>
        <v>1</v>
      </c>
    </row>
    <row r="307" spans="1:22" x14ac:dyDescent="0.25">
      <c r="A307" s="2">
        <v>2017</v>
      </c>
      <c r="B307" t="s">
        <v>25</v>
      </c>
      <c r="C307" t="s">
        <v>1</v>
      </c>
      <c r="D307" s="2">
        <v>14791</v>
      </c>
      <c r="E307" s="2">
        <v>118895</v>
      </c>
      <c r="F307" t="s">
        <v>500</v>
      </c>
      <c r="G307">
        <v>6</v>
      </c>
      <c r="H307">
        <v>6</v>
      </c>
      <c r="I307">
        <v>0</v>
      </c>
      <c r="J307">
        <v>0</v>
      </c>
      <c r="K307">
        <v>0</v>
      </c>
      <c r="L307" s="6">
        <f t="shared" si="33"/>
        <v>1</v>
      </c>
      <c r="M307">
        <v>99</v>
      </c>
      <c r="N307">
        <v>16</v>
      </c>
      <c r="O307" s="9">
        <v>0</v>
      </c>
      <c r="P307">
        <v>0</v>
      </c>
      <c r="Q307">
        <v>45</v>
      </c>
      <c r="R307">
        <v>0</v>
      </c>
      <c r="S307">
        <v>38</v>
      </c>
      <c r="T307">
        <v>0</v>
      </c>
      <c r="U307" s="3">
        <f t="shared" si="34"/>
        <v>1</v>
      </c>
      <c r="V307" s="3">
        <f t="shared" si="36"/>
        <v>1</v>
      </c>
    </row>
    <row r="308" spans="1:22" x14ac:dyDescent="0.25">
      <c r="A308" s="2">
        <v>2017</v>
      </c>
      <c r="B308" t="s">
        <v>25</v>
      </c>
      <c r="C308" t="s">
        <v>1</v>
      </c>
      <c r="D308" s="2">
        <v>15880</v>
      </c>
      <c r="E308" s="2">
        <v>9708</v>
      </c>
      <c r="F308" t="s">
        <v>501</v>
      </c>
      <c r="G308">
        <v>16</v>
      </c>
      <c r="H308">
        <v>16</v>
      </c>
      <c r="I308">
        <v>0</v>
      </c>
      <c r="J308">
        <v>0</v>
      </c>
      <c r="K308">
        <v>0</v>
      </c>
      <c r="L308" s="6">
        <f t="shared" si="33"/>
        <v>1</v>
      </c>
      <c r="M308">
        <v>209</v>
      </c>
      <c r="N308">
        <v>42</v>
      </c>
      <c r="O308" s="9">
        <v>0</v>
      </c>
      <c r="P308">
        <v>0</v>
      </c>
      <c r="Q308">
        <v>81</v>
      </c>
      <c r="R308">
        <v>0</v>
      </c>
      <c r="S308">
        <v>86</v>
      </c>
      <c r="T308">
        <v>0</v>
      </c>
      <c r="U308" s="3">
        <f t="shared" si="34"/>
        <v>1</v>
      </c>
      <c r="V308" s="3">
        <f t="shared" si="36"/>
        <v>1</v>
      </c>
    </row>
    <row r="309" spans="1:22" x14ac:dyDescent="0.25">
      <c r="A309" s="2">
        <v>2017</v>
      </c>
      <c r="B309" t="s">
        <v>26</v>
      </c>
      <c r="C309" t="s">
        <v>1</v>
      </c>
      <c r="D309" s="2">
        <v>53</v>
      </c>
      <c r="E309" s="2">
        <v>4713</v>
      </c>
      <c r="F309" t="s">
        <v>470</v>
      </c>
      <c r="G309">
        <v>26</v>
      </c>
      <c r="H309">
        <v>26</v>
      </c>
      <c r="I309">
        <v>0</v>
      </c>
      <c r="J309">
        <v>0</v>
      </c>
      <c r="K309">
        <v>0</v>
      </c>
      <c r="L309" s="6">
        <f t="shared" si="33"/>
        <v>1</v>
      </c>
      <c r="M309">
        <v>239</v>
      </c>
      <c r="N309">
        <v>39</v>
      </c>
      <c r="O309" s="9">
        <v>0</v>
      </c>
      <c r="P309">
        <v>0</v>
      </c>
      <c r="Q309">
        <v>87</v>
      </c>
      <c r="R309">
        <v>2</v>
      </c>
      <c r="S309">
        <v>110</v>
      </c>
      <c r="T309">
        <v>1</v>
      </c>
      <c r="U309" s="3">
        <f t="shared" si="34"/>
        <v>0.99163179916317989</v>
      </c>
      <c r="V309" s="3">
        <f t="shared" ref="V309" si="37">(H309+I309+J309+N309+Q309+S309+T309)/(G309+M309)</f>
        <v>0.99245283018867925</v>
      </c>
    </row>
    <row r="310" spans="1:22" x14ac:dyDescent="0.25">
      <c r="A310" s="2">
        <v>2017</v>
      </c>
      <c r="B310" t="s">
        <v>26</v>
      </c>
      <c r="C310" t="s">
        <v>1</v>
      </c>
      <c r="D310" s="2">
        <v>243</v>
      </c>
      <c r="E310" s="2">
        <v>4498</v>
      </c>
      <c r="F310" t="s">
        <v>471</v>
      </c>
      <c r="G310">
        <v>1</v>
      </c>
      <c r="H310">
        <v>1</v>
      </c>
      <c r="I310">
        <v>0</v>
      </c>
      <c r="J310">
        <v>0</v>
      </c>
      <c r="K310">
        <v>0</v>
      </c>
      <c r="L310" s="6">
        <f t="shared" si="33"/>
        <v>1</v>
      </c>
      <c r="M310">
        <v>113</v>
      </c>
      <c r="N310">
        <v>26</v>
      </c>
      <c r="O310" s="9">
        <v>0</v>
      </c>
      <c r="P310">
        <v>0</v>
      </c>
      <c r="Q310">
        <v>42</v>
      </c>
      <c r="R310">
        <v>0</v>
      </c>
      <c r="S310">
        <v>45</v>
      </c>
      <c r="T310">
        <v>0</v>
      </c>
      <c r="U310" s="3">
        <f t="shared" ref="U310:U342" si="38">IF(M310=0,0,((N310+O310+Q310+S310+T310)/M310))</f>
        <v>1</v>
      </c>
      <c r="V310" s="3">
        <f t="shared" ref="V310:V342" si="39">(H310+I310+J310+N310+Q310+S310+T310)/(G310+M310)</f>
        <v>1</v>
      </c>
    </row>
    <row r="311" spans="1:22" x14ac:dyDescent="0.25">
      <c r="A311" s="2">
        <v>2017</v>
      </c>
      <c r="B311" t="s">
        <v>26</v>
      </c>
      <c r="C311" t="s">
        <v>1</v>
      </c>
      <c r="D311" s="2">
        <v>16594</v>
      </c>
      <c r="E311" s="2">
        <v>119329</v>
      </c>
      <c r="F311" t="s">
        <v>472</v>
      </c>
      <c r="G311">
        <v>9</v>
      </c>
      <c r="H311">
        <v>9</v>
      </c>
      <c r="I311">
        <v>0</v>
      </c>
      <c r="J311">
        <v>0</v>
      </c>
      <c r="K311">
        <v>0</v>
      </c>
      <c r="L311" s="6">
        <f t="shared" si="33"/>
        <v>1</v>
      </c>
      <c r="M311">
        <v>162</v>
      </c>
      <c r="N311">
        <v>28</v>
      </c>
      <c r="O311" s="9">
        <v>0</v>
      </c>
      <c r="P311">
        <v>0</v>
      </c>
      <c r="Q311">
        <v>64</v>
      </c>
      <c r="R311">
        <v>1</v>
      </c>
      <c r="S311">
        <v>68</v>
      </c>
      <c r="T311">
        <v>1</v>
      </c>
      <c r="U311" s="3">
        <f t="shared" si="38"/>
        <v>0.99382716049382713</v>
      </c>
      <c r="V311" s="3">
        <f t="shared" si="39"/>
        <v>0.99415204678362568</v>
      </c>
    </row>
    <row r="312" spans="1:22" x14ac:dyDescent="0.25">
      <c r="A312" s="2">
        <v>2017</v>
      </c>
      <c r="B312" t="s">
        <v>26</v>
      </c>
      <c r="C312" t="s">
        <v>1</v>
      </c>
      <c r="D312" s="2">
        <v>0</v>
      </c>
      <c r="E312" s="2">
        <v>119331</v>
      </c>
      <c r="F312" t="s">
        <v>506</v>
      </c>
      <c r="G312">
        <v>0</v>
      </c>
      <c r="H312">
        <v>0</v>
      </c>
      <c r="I312">
        <v>0</v>
      </c>
      <c r="J312">
        <v>0</v>
      </c>
      <c r="K312">
        <v>0</v>
      </c>
      <c r="L312" s="6">
        <f t="shared" si="33"/>
        <v>0</v>
      </c>
      <c r="M312">
        <v>3</v>
      </c>
      <c r="N312">
        <v>1</v>
      </c>
      <c r="O312" s="9">
        <v>0</v>
      </c>
      <c r="P312">
        <v>0</v>
      </c>
      <c r="Q312">
        <v>1</v>
      </c>
      <c r="R312">
        <v>0</v>
      </c>
      <c r="S312">
        <v>1</v>
      </c>
      <c r="T312">
        <v>0</v>
      </c>
      <c r="U312" s="3">
        <f t="shared" si="38"/>
        <v>1</v>
      </c>
      <c r="V312" s="3">
        <f t="shared" si="39"/>
        <v>1</v>
      </c>
    </row>
    <row r="313" spans="1:22" x14ac:dyDescent="0.25">
      <c r="A313" s="2">
        <v>2017</v>
      </c>
      <c r="B313" t="s">
        <v>26</v>
      </c>
      <c r="C313" t="s">
        <v>1</v>
      </c>
      <c r="D313" s="2">
        <v>335</v>
      </c>
      <c r="E313" s="2">
        <v>2726</v>
      </c>
      <c r="F313" t="s">
        <v>473</v>
      </c>
      <c r="G313">
        <v>26</v>
      </c>
      <c r="H313">
        <v>26</v>
      </c>
      <c r="I313">
        <v>0</v>
      </c>
      <c r="J313">
        <v>0</v>
      </c>
      <c r="K313">
        <v>0</v>
      </c>
      <c r="L313" s="6">
        <f t="shared" si="33"/>
        <v>1</v>
      </c>
      <c r="M313">
        <v>288</v>
      </c>
      <c r="N313">
        <v>45</v>
      </c>
      <c r="O313" s="9">
        <v>0</v>
      </c>
      <c r="P313">
        <v>0</v>
      </c>
      <c r="Q313">
        <v>99</v>
      </c>
      <c r="R313">
        <v>1</v>
      </c>
      <c r="S313">
        <v>143</v>
      </c>
      <c r="T313">
        <v>0</v>
      </c>
      <c r="U313" s="3">
        <f t="shared" si="38"/>
        <v>0.99652777777777779</v>
      </c>
      <c r="V313" s="3">
        <f t="shared" si="39"/>
        <v>0.99681528662420382</v>
      </c>
    </row>
    <row r="314" spans="1:22" x14ac:dyDescent="0.25">
      <c r="A314" s="2">
        <v>2017</v>
      </c>
      <c r="B314" t="s">
        <v>26</v>
      </c>
      <c r="C314" t="s">
        <v>1</v>
      </c>
      <c r="D314" s="2">
        <v>473</v>
      </c>
      <c r="E314" s="2">
        <v>5243</v>
      </c>
      <c r="F314" t="s">
        <v>474</v>
      </c>
      <c r="G314">
        <v>15</v>
      </c>
      <c r="H314">
        <v>15</v>
      </c>
      <c r="I314">
        <v>0</v>
      </c>
      <c r="J314">
        <v>0</v>
      </c>
      <c r="K314">
        <v>0</v>
      </c>
      <c r="L314" s="6">
        <f t="shared" si="33"/>
        <v>1</v>
      </c>
      <c r="M314">
        <v>235</v>
      </c>
      <c r="N314">
        <v>52</v>
      </c>
      <c r="O314" s="9">
        <v>0</v>
      </c>
      <c r="P314">
        <v>0</v>
      </c>
      <c r="Q314">
        <v>110</v>
      </c>
      <c r="R314">
        <v>1</v>
      </c>
      <c r="S314">
        <v>70</v>
      </c>
      <c r="T314">
        <v>2</v>
      </c>
      <c r="U314" s="3">
        <f t="shared" si="38"/>
        <v>0.99574468085106382</v>
      </c>
      <c r="V314" s="3">
        <f t="shared" si="39"/>
        <v>0.996</v>
      </c>
    </row>
    <row r="315" spans="1:22" x14ac:dyDescent="0.25">
      <c r="A315" s="2">
        <v>2017</v>
      </c>
      <c r="B315" t="s">
        <v>26</v>
      </c>
      <c r="C315" t="s">
        <v>1</v>
      </c>
      <c r="D315" s="2">
        <v>67</v>
      </c>
      <c r="E315" s="2">
        <v>2833</v>
      </c>
      <c r="F315" t="s">
        <v>475</v>
      </c>
      <c r="G315">
        <v>3</v>
      </c>
      <c r="H315">
        <v>3</v>
      </c>
      <c r="I315">
        <v>0</v>
      </c>
      <c r="J315">
        <v>0</v>
      </c>
      <c r="K315">
        <v>0</v>
      </c>
      <c r="L315" s="6">
        <f t="shared" si="33"/>
        <v>1</v>
      </c>
      <c r="M315">
        <v>108</v>
      </c>
      <c r="N315">
        <v>31</v>
      </c>
      <c r="O315" s="9">
        <v>0</v>
      </c>
      <c r="P315">
        <v>0</v>
      </c>
      <c r="Q315">
        <v>51</v>
      </c>
      <c r="R315">
        <v>0</v>
      </c>
      <c r="S315">
        <v>26</v>
      </c>
      <c r="T315">
        <v>0</v>
      </c>
      <c r="U315" s="3">
        <f t="shared" si="38"/>
        <v>1</v>
      </c>
      <c r="V315" s="3">
        <f t="shared" si="39"/>
        <v>1</v>
      </c>
    </row>
    <row r="316" spans="1:22" x14ac:dyDescent="0.25">
      <c r="A316" s="2">
        <v>2017</v>
      </c>
      <c r="B316" t="s">
        <v>26</v>
      </c>
      <c r="C316" t="s">
        <v>1</v>
      </c>
      <c r="D316" s="2">
        <v>3621</v>
      </c>
      <c r="E316" s="2">
        <v>9748</v>
      </c>
      <c r="F316" t="s">
        <v>476</v>
      </c>
      <c r="G316">
        <v>7</v>
      </c>
      <c r="H316">
        <v>7</v>
      </c>
      <c r="I316">
        <v>0</v>
      </c>
      <c r="J316">
        <v>0</v>
      </c>
      <c r="K316">
        <v>0</v>
      </c>
      <c r="L316" s="6">
        <f t="shared" si="33"/>
        <v>1</v>
      </c>
      <c r="M316">
        <v>240</v>
      </c>
      <c r="N316">
        <v>67</v>
      </c>
      <c r="O316" s="9">
        <v>0</v>
      </c>
      <c r="P316">
        <v>0</v>
      </c>
      <c r="Q316">
        <v>101</v>
      </c>
      <c r="R316">
        <v>1</v>
      </c>
      <c r="S316">
        <v>71</v>
      </c>
      <c r="T316">
        <v>0</v>
      </c>
      <c r="U316" s="3">
        <f t="shared" si="38"/>
        <v>0.99583333333333335</v>
      </c>
      <c r="V316" s="3">
        <f t="shared" si="39"/>
        <v>0.99595141700404854</v>
      </c>
    </row>
    <row r="317" spans="1:22" x14ac:dyDescent="0.25">
      <c r="A317" s="2">
        <v>2017</v>
      </c>
      <c r="B317" t="s">
        <v>26</v>
      </c>
      <c r="C317" t="s">
        <v>1</v>
      </c>
      <c r="D317" s="2">
        <v>567</v>
      </c>
      <c r="E317" s="2">
        <v>3218</v>
      </c>
      <c r="F317" t="s">
        <v>477</v>
      </c>
      <c r="G317">
        <v>26</v>
      </c>
      <c r="H317">
        <v>26</v>
      </c>
      <c r="I317">
        <v>0</v>
      </c>
      <c r="J317">
        <v>0</v>
      </c>
      <c r="K317">
        <v>0</v>
      </c>
      <c r="L317" s="6">
        <f t="shared" si="33"/>
        <v>1</v>
      </c>
      <c r="M317">
        <v>313</v>
      </c>
      <c r="N317">
        <v>56</v>
      </c>
      <c r="O317" s="9">
        <v>0</v>
      </c>
      <c r="P317">
        <v>0</v>
      </c>
      <c r="Q317">
        <v>124</v>
      </c>
      <c r="R317">
        <v>1</v>
      </c>
      <c r="S317">
        <v>132</v>
      </c>
      <c r="T317">
        <v>0</v>
      </c>
      <c r="U317" s="3">
        <f t="shared" si="38"/>
        <v>0.99680511182108622</v>
      </c>
      <c r="V317" s="3">
        <f t="shared" si="39"/>
        <v>0.99705014749262533</v>
      </c>
    </row>
    <row r="318" spans="1:22" x14ac:dyDescent="0.25">
      <c r="A318" s="2">
        <v>2017</v>
      </c>
      <c r="B318" t="s">
        <v>26</v>
      </c>
      <c r="C318" t="s">
        <v>1</v>
      </c>
      <c r="D318" s="2">
        <v>20430</v>
      </c>
      <c r="E318" s="2">
        <v>120449</v>
      </c>
      <c r="F318" t="s">
        <v>505</v>
      </c>
      <c r="G318">
        <v>6</v>
      </c>
      <c r="H318">
        <v>6</v>
      </c>
      <c r="I318">
        <v>0</v>
      </c>
      <c r="J318">
        <v>0</v>
      </c>
      <c r="K318">
        <v>0</v>
      </c>
      <c r="L318" s="6">
        <f t="shared" si="33"/>
        <v>1</v>
      </c>
      <c r="M318">
        <v>17</v>
      </c>
      <c r="N318">
        <v>4</v>
      </c>
      <c r="O318" s="9">
        <v>0</v>
      </c>
      <c r="P318">
        <v>0</v>
      </c>
      <c r="Q318">
        <v>10</v>
      </c>
      <c r="R318">
        <v>0</v>
      </c>
      <c r="S318">
        <v>3</v>
      </c>
      <c r="T318">
        <v>0</v>
      </c>
      <c r="U318" s="3">
        <f t="shared" si="38"/>
        <v>1</v>
      </c>
      <c r="V318" s="3">
        <f t="shared" si="39"/>
        <v>1</v>
      </c>
    </row>
    <row r="319" spans="1:22" x14ac:dyDescent="0.25">
      <c r="A319" s="2">
        <v>2017</v>
      </c>
      <c r="B319" t="s">
        <v>26</v>
      </c>
      <c r="C319" t="s">
        <v>1</v>
      </c>
      <c r="D319" s="2">
        <v>627</v>
      </c>
      <c r="E319" s="2">
        <v>3693</v>
      </c>
      <c r="F319" t="s">
        <v>478</v>
      </c>
      <c r="G319">
        <v>35</v>
      </c>
      <c r="H319">
        <v>35</v>
      </c>
      <c r="I319">
        <v>0</v>
      </c>
      <c r="J319">
        <v>0</v>
      </c>
      <c r="K319">
        <v>0</v>
      </c>
      <c r="L319" s="6">
        <f t="shared" si="33"/>
        <v>1</v>
      </c>
      <c r="M319">
        <v>427</v>
      </c>
      <c r="N319">
        <v>72</v>
      </c>
      <c r="O319" s="9">
        <v>0</v>
      </c>
      <c r="P319">
        <v>1</v>
      </c>
      <c r="Q319">
        <v>173</v>
      </c>
      <c r="R319">
        <v>1</v>
      </c>
      <c r="S319">
        <v>179</v>
      </c>
      <c r="T319">
        <v>1</v>
      </c>
      <c r="U319" s="3">
        <f t="shared" si="38"/>
        <v>0.99531615925058547</v>
      </c>
      <c r="V319" s="3">
        <f t="shared" si="39"/>
        <v>0.99567099567099571</v>
      </c>
    </row>
    <row r="320" spans="1:22" x14ac:dyDescent="0.25">
      <c r="A320" s="2">
        <v>2017</v>
      </c>
      <c r="B320" t="s">
        <v>26</v>
      </c>
      <c r="C320" t="s">
        <v>1</v>
      </c>
      <c r="D320" s="2">
        <v>130</v>
      </c>
      <c r="E320" s="2">
        <v>5419</v>
      </c>
      <c r="F320" t="s">
        <v>479</v>
      </c>
      <c r="G320">
        <v>10</v>
      </c>
      <c r="H320">
        <v>10</v>
      </c>
      <c r="I320">
        <v>0</v>
      </c>
      <c r="J320">
        <v>0</v>
      </c>
      <c r="K320">
        <v>0</v>
      </c>
      <c r="L320" s="6">
        <f t="shared" si="33"/>
        <v>1</v>
      </c>
      <c r="M320">
        <v>222</v>
      </c>
      <c r="N320">
        <v>38</v>
      </c>
      <c r="O320" s="9">
        <v>0</v>
      </c>
      <c r="P320">
        <v>0</v>
      </c>
      <c r="Q320">
        <v>89</v>
      </c>
      <c r="R320">
        <v>1</v>
      </c>
      <c r="S320">
        <v>94</v>
      </c>
      <c r="T320">
        <v>0</v>
      </c>
      <c r="U320" s="3">
        <f t="shared" si="38"/>
        <v>0.99549549549549554</v>
      </c>
      <c r="V320" s="3">
        <f t="shared" si="39"/>
        <v>0.99568965517241381</v>
      </c>
    </row>
    <row r="321" spans="1:22" x14ac:dyDescent="0.25">
      <c r="A321" s="2">
        <v>2017</v>
      </c>
      <c r="B321" t="s">
        <v>26</v>
      </c>
      <c r="C321" t="s">
        <v>1</v>
      </c>
      <c r="D321" s="2">
        <v>1397</v>
      </c>
      <c r="E321" s="2">
        <v>3661</v>
      </c>
      <c r="F321" t="s">
        <v>480</v>
      </c>
      <c r="G321">
        <v>11</v>
      </c>
      <c r="H321">
        <v>11</v>
      </c>
      <c r="I321">
        <v>0</v>
      </c>
      <c r="J321">
        <v>0</v>
      </c>
      <c r="K321">
        <v>0</v>
      </c>
      <c r="L321" s="6">
        <f t="shared" si="33"/>
        <v>1</v>
      </c>
      <c r="M321">
        <v>165</v>
      </c>
      <c r="N321">
        <v>28</v>
      </c>
      <c r="O321" s="9">
        <v>0</v>
      </c>
      <c r="P321">
        <v>0</v>
      </c>
      <c r="Q321">
        <v>75</v>
      </c>
      <c r="R321">
        <v>0</v>
      </c>
      <c r="S321">
        <v>61</v>
      </c>
      <c r="T321">
        <v>1</v>
      </c>
      <c r="U321" s="3">
        <f t="shared" si="38"/>
        <v>1</v>
      </c>
      <c r="V321" s="3">
        <f t="shared" si="39"/>
        <v>1</v>
      </c>
    </row>
    <row r="322" spans="1:22" x14ac:dyDescent="0.25">
      <c r="A322" s="2">
        <v>2017</v>
      </c>
      <c r="B322" t="s">
        <v>26</v>
      </c>
      <c r="C322" t="s">
        <v>1</v>
      </c>
      <c r="D322" s="2">
        <v>1508</v>
      </c>
      <c r="E322" s="2">
        <v>3157</v>
      </c>
      <c r="F322" t="s">
        <v>481</v>
      </c>
      <c r="G322">
        <v>4</v>
      </c>
      <c r="H322">
        <v>4</v>
      </c>
      <c r="I322">
        <v>0</v>
      </c>
      <c r="J322">
        <v>0</v>
      </c>
      <c r="K322">
        <v>0</v>
      </c>
      <c r="L322" s="6">
        <f t="shared" ref="L322:L385" si="40">IF(G322=0,0,SUM(H322:J322)/G322)</f>
        <v>1</v>
      </c>
      <c r="M322">
        <v>259</v>
      </c>
      <c r="N322">
        <v>61</v>
      </c>
      <c r="O322" s="9">
        <v>0</v>
      </c>
      <c r="P322">
        <v>0</v>
      </c>
      <c r="Q322">
        <v>130</v>
      </c>
      <c r="R322">
        <v>1</v>
      </c>
      <c r="S322">
        <v>67</v>
      </c>
      <c r="T322">
        <v>0</v>
      </c>
      <c r="U322" s="3">
        <f t="shared" si="38"/>
        <v>0.99613899613899615</v>
      </c>
      <c r="V322" s="3">
        <f t="shared" si="39"/>
        <v>0.99619771863117867</v>
      </c>
    </row>
    <row r="323" spans="1:22" x14ac:dyDescent="0.25">
      <c r="A323" s="2">
        <v>2017</v>
      </c>
      <c r="B323" t="s">
        <v>26</v>
      </c>
      <c r="C323" t="s">
        <v>1</v>
      </c>
      <c r="D323" s="2">
        <v>136</v>
      </c>
      <c r="E323" s="2">
        <v>2834</v>
      </c>
      <c r="F323" t="s">
        <v>482</v>
      </c>
      <c r="G323">
        <v>2</v>
      </c>
      <c r="H323">
        <v>2</v>
      </c>
      <c r="I323">
        <v>0</v>
      </c>
      <c r="J323">
        <v>0</v>
      </c>
      <c r="K323">
        <v>0</v>
      </c>
      <c r="L323" s="6">
        <f t="shared" si="40"/>
        <v>1</v>
      </c>
      <c r="M323">
        <v>69</v>
      </c>
      <c r="N323">
        <v>9</v>
      </c>
      <c r="O323" s="9">
        <v>0</v>
      </c>
      <c r="P323">
        <v>0</v>
      </c>
      <c r="Q323">
        <v>33</v>
      </c>
      <c r="R323">
        <v>0</v>
      </c>
      <c r="S323">
        <v>27</v>
      </c>
      <c r="T323">
        <v>0</v>
      </c>
      <c r="U323" s="3">
        <f t="shared" si="38"/>
        <v>1</v>
      </c>
      <c r="V323" s="3">
        <f t="shared" si="39"/>
        <v>1</v>
      </c>
    </row>
    <row r="324" spans="1:22" x14ac:dyDescent="0.25">
      <c r="A324" s="2">
        <v>2017</v>
      </c>
      <c r="B324" t="s">
        <v>26</v>
      </c>
      <c r="C324" t="s">
        <v>1</v>
      </c>
      <c r="D324" s="2">
        <v>138</v>
      </c>
      <c r="E324" s="2">
        <v>2741</v>
      </c>
      <c r="F324" t="s">
        <v>483</v>
      </c>
      <c r="G324">
        <v>15</v>
      </c>
      <c r="H324">
        <v>15</v>
      </c>
      <c r="I324">
        <v>0</v>
      </c>
      <c r="J324">
        <v>0</v>
      </c>
      <c r="K324">
        <v>0</v>
      </c>
      <c r="L324" s="6">
        <f t="shared" si="40"/>
        <v>1</v>
      </c>
      <c r="M324">
        <v>216</v>
      </c>
      <c r="N324">
        <v>33</v>
      </c>
      <c r="O324" s="9">
        <v>0</v>
      </c>
      <c r="P324">
        <v>0</v>
      </c>
      <c r="Q324">
        <v>97</v>
      </c>
      <c r="R324">
        <v>1</v>
      </c>
      <c r="S324">
        <v>83</v>
      </c>
      <c r="T324">
        <v>2</v>
      </c>
      <c r="U324" s="3">
        <f t="shared" si="38"/>
        <v>0.99537037037037035</v>
      </c>
      <c r="V324" s="3">
        <f t="shared" si="39"/>
        <v>0.99567099567099571</v>
      </c>
    </row>
    <row r="325" spans="1:22" x14ac:dyDescent="0.25">
      <c r="A325" s="2">
        <v>2017</v>
      </c>
      <c r="B325" t="s">
        <v>26</v>
      </c>
      <c r="C325" t="s">
        <v>1</v>
      </c>
      <c r="D325" s="2">
        <v>19352</v>
      </c>
      <c r="E325" s="2">
        <v>122191</v>
      </c>
      <c r="F325" t="s">
        <v>484</v>
      </c>
      <c r="G325">
        <v>6</v>
      </c>
      <c r="H325">
        <v>6</v>
      </c>
      <c r="I325">
        <v>0</v>
      </c>
      <c r="J325">
        <v>0</v>
      </c>
      <c r="K325">
        <v>0</v>
      </c>
      <c r="L325" s="6">
        <f t="shared" si="40"/>
        <v>1</v>
      </c>
      <c r="M325">
        <v>245</v>
      </c>
      <c r="N325">
        <v>37</v>
      </c>
      <c r="O325" s="9">
        <v>0</v>
      </c>
      <c r="P325">
        <v>0</v>
      </c>
      <c r="Q325">
        <v>85</v>
      </c>
      <c r="R325">
        <v>0</v>
      </c>
      <c r="S325">
        <v>123</v>
      </c>
      <c r="T325">
        <v>0</v>
      </c>
      <c r="U325" s="3">
        <f t="shared" si="38"/>
        <v>1</v>
      </c>
      <c r="V325" s="3">
        <f t="shared" si="39"/>
        <v>1</v>
      </c>
    </row>
    <row r="326" spans="1:22" x14ac:dyDescent="0.25">
      <c r="A326" s="2">
        <v>2017</v>
      </c>
      <c r="B326" t="s">
        <v>26</v>
      </c>
      <c r="C326" t="s">
        <v>1</v>
      </c>
      <c r="D326" s="2">
        <v>1632</v>
      </c>
      <c r="E326" s="2">
        <v>2953</v>
      </c>
      <c r="F326" t="s">
        <v>485</v>
      </c>
      <c r="G326">
        <v>8</v>
      </c>
      <c r="H326">
        <v>8</v>
      </c>
      <c r="I326">
        <v>0</v>
      </c>
      <c r="J326">
        <v>0</v>
      </c>
      <c r="K326">
        <v>0</v>
      </c>
      <c r="L326" s="6">
        <f t="shared" si="40"/>
        <v>1</v>
      </c>
      <c r="M326">
        <v>191</v>
      </c>
      <c r="N326">
        <v>43</v>
      </c>
      <c r="O326" s="9">
        <v>0</v>
      </c>
      <c r="P326">
        <v>0</v>
      </c>
      <c r="Q326">
        <v>62</v>
      </c>
      <c r="R326">
        <v>0</v>
      </c>
      <c r="S326">
        <v>86</v>
      </c>
      <c r="T326">
        <v>0</v>
      </c>
      <c r="U326" s="3">
        <f t="shared" si="38"/>
        <v>1</v>
      </c>
      <c r="V326" s="3">
        <f t="shared" si="39"/>
        <v>1</v>
      </c>
    </row>
    <row r="327" spans="1:22" x14ac:dyDescent="0.25">
      <c r="A327" s="2">
        <v>2017</v>
      </c>
      <c r="B327" t="s">
        <v>26</v>
      </c>
      <c r="C327" t="s">
        <v>1</v>
      </c>
      <c r="D327" s="2">
        <v>1661</v>
      </c>
      <c r="E327" s="2">
        <v>104</v>
      </c>
      <c r="F327" t="s">
        <v>486</v>
      </c>
      <c r="G327">
        <v>6</v>
      </c>
      <c r="H327">
        <v>6</v>
      </c>
      <c r="I327">
        <v>0</v>
      </c>
      <c r="J327">
        <v>0</v>
      </c>
      <c r="K327">
        <v>0</v>
      </c>
      <c r="L327" s="6">
        <f t="shared" si="40"/>
        <v>1</v>
      </c>
      <c r="M327">
        <v>108</v>
      </c>
      <c r="N327">
        <v>16</v>
      </c>
      <c r="O327" s="9">
        <v>0</v>
      </c>
      <c r="P327">
        <v>0</v>
      </c>
      <c r="Q327">
        <v>41</v>
      </c>
      <c r="R327">
        <v>0</v>
      </c>
      <c r="S327">
        <v>50</v>
      </c>
      <c r="T327">
        <v>1</v>
      </c>
      <c r="U327" s="3">
        <f t="shared" si="38"/>
        <v>1</v>
      </c>
      <c r="V327" s="3">
        <f t="shared" si="39"/>
        <v>1</v>
      </c>
    </row>
    <row r="328" spans="1:22" x14ac:dyDescent="0.25">
      <c r="A328" s="2">
        <v>2017</v>
      </c>
      <c r="B328" t="s">
        <v>26</v>
      </c>
      <c r="C328" t="s">
        <v>1</v>
      </c>
      <c r="D328" s="2">
        <v>1667</v>
      </c>
      <c r="E328" s="2">
        <v>4727</v>
      </c>
      <c r="F328" t="s">
        <v>487</v>
      </c>
      <c r="G328">
        <v>10</v>
      </c>
      <c r="H328">
        <v>10</v>
      </c>
      <c r="I328">
        <v>0</v>
      </c>
      <c r="J328">
        <v>0</v>
      </c>
      <c r="K328">
        <v>0</v>
      </c>
      <c r="L328" s="6">
        <f t="shared" si="40"/>
        <v>1</v>
      </c>
      <c r="M328">
        <v>167</v>
      </c>
      <c r="N328">
        <v>26</v>
      </c>
      <c r="O328" s="9">
        <v>0</v>
      </c>
      <c r="P328">
        <v>0</v>
      </c>
      <c r="Q328">
        <v>58</v>
      </c>
      <c r="R328">
        <v>0</v>
      </c>
      <c r="S328">
        <v>82</v>
      </c>
      <c r="T328">
        <v>1</v>
      </c>
      <c r="U328" s="3">
        <f t="shared" si="38"/>
        <v>1</v>
      </c>
      <c r="V328" s="3">
        <f t="shared" si="39"/>
        <v>1</v>
      </c>
    </row>
    <row r="329" spans="1:22" x14ac:dyDescent="0.25">
      <c r="A329" s="2">
        <v>2017</v>
      </c>
      <c r="B329" t="s">
        <v>26</v>
      </c>
      <c r="C329" t="s">
        <v>1</v>
      </c>
      <c r="D329" s="2">
        <v>20010</v>
      </c>
      <c r="E329" s="2">
        <v>119432</v>
      </c>
      <c r="F329" t="s">
        <v>488</v>
      </c>
      <c r="G329">
        <v>10</v>
      </c>
      <c r="H329">
        <v>10</v>
      </c>
      <c r="I329">
        <v>0</v>
      </c>
      <c r="J329">
        <v>0</v>
      </c>
      <c r="K329">
        <v>0</v>
      </c>
      <c r="L329" s="6">
        <f t="shared" si="40"/>
        <v>1</v>
      </c>
      <c r="M329">
        <v>227</v>
      </c>
      <c r="N329">
        <v>40</v>
      </c>
      <c r="O329" s="9">
        <v>0</v>
      </c>
      <c r="P329">
        <v>0</v>
      </c>
      <c r="Q329">
        <v>101</v>
      </c>
      <c r="R329">
        <v>1</v>
      </c>
      <c r="S329">
        <v>84</v>
      </c>
      <c r="T329">
        <v>1</v>
      </c>
      <c r="U329" s="3">
        <f t="shared" si="38"/>
        <v>0.99559471365638763</v>
      </c>
      <c r="V329" s="3">
        <f t="shared" si="39"/>
        <v>0.99578059071729963</v>
      </c>
    </row>
    <row r="330" spans="1:22" x14ac:dyDescent="0.25">
      <c r="A330" s="2">
        <v>2017</v>
      </c>
      <c r="B330" t="s">
        <v>26</v>
      </c>
      <c r="C330" t="s">
        <v>1</v>
      </c>
      <c r="D330" s="2">
        <v>639</v>
      </c>
      <c r="E330" s="2">
        <v>4723</v>
      </c>
      <c r="F330" t="s">
        <v>489</v>
      </c>
      <c r="G330">
        <v>20</v>
      </c>
      <c r="H330">
        <v>20</v>
      </c>
      <c r="I330">
        <v>0</v>
      </c>
      <c r="J330">
        <v>0</v>
      </c>
      <c r="K330">
        <v>0</v>
      </c>
      <c r="L330" s="6">
        <f t="shared" si="40"/>
        <v>1</v>
      </c>
      <c r="M330">
        <v>238</v>
      </c>
      <c r="N330">
        <v>34</v>
      </c>
      <c r="O330" s="9">
        <v>0</v>
      </c>
      <c r="P330">
        <v>0</v>
      </c>
      <c r="Q330">
        <v>85</v>
      </c>
      <c r="R330">
        <v>0</v>
      </c>
      <c r="S330">
        <v>119</v>
      </c>
      <c r="T330">
        <v>0</v>
      </c>
      <c r="U330" s="3">
        <f t="shared" si="38"/>
        <v>1</v>
      </c>
      <c r="V330" s="3">
        <f t="shared" si="39"/>
        <v>1</v>
      </c>
    </row>
    <row r="331" spans="1:22" x14ac:dyDescent="0.25">
      <c r="A331" s="2">
        <v>2017</v>
      </c>
      <c r="B331" t="s">
        <v>26</v>
      </c>
      <c r="C331" t="s">
        <v>1</v>
      </c>
      <c r="D331" s="2">
        <v>1909</v>
      </c>
      <c r="E331" s="2">
        <v>5437</v>
      </c>
      <c r="F331" t="s">
        <v>490</v>
      </c>
      <c r="G331">
        <v>19</v>
      </c>
      <c r="H331">
        <v>19</v>
      </c>
      <c r="I331">
        <v>0</v>
      </c>
      <c r="J331">
        <v>0</v>
      </c>
      <c r="K331">
        <v>0</v>
      </c>
      <c r="L331" s="6">
        <f t="shared" si="40"/>
        <v>1</v>
      </c>
      <c r="M331">
        <v>234</v>
      </c>
      <c r="N331">
        <v>41</v>
      </c>
      <c r="O331" s="9">
        <v>0</v>
      </c>
      <c r="P331">
        <v>0</v>
      </c>
      <c r="Q331">
        <v>83</v>
      </c>
      <c r="R331">
        <v>2</v>
      </c>
      <c r="S331">
        <v>107</v>
      </c>
      <c r="T331">
        <v>1</v>
      </c>
      <c r="U331" s="3">
        <f t="shared" si="38"/>
        <v>0.99145299145299148</v>
      </c>
      <c r="V331" s="3">
        <f t="shared" si="39"/>
        <v>0.9920948616600791</v>
      </c>
    </row>
    <row r="332" spans="1:22" x14ac:dyDescent="0.25">
      <c r="A332" s="2">
        <v>2017</v>
      </c>
      <c r="B332" t="s">
        <v>26</v>
      </c>
      <c r="C332" t="s">
        <v>1</v>
      </c>
      <c r="D332" s="2">
        <v>531</v>
      </c>
      <c r="E332" s="2">
        <v>9506</v>
      </c>
      <c r="F332" t="s">
        <v>57</v>
      </c>
      <c r="G332">
        <v>1</v>
      </c>
      <c r="H332">
        <v>1</v>
      </c>
      <c r="I332">
        <v>0</v>
      </c>
      <c r="J332">
        <v>0</v>
      </c>
      <c r="K332">
        <v>0</v>
      </c>
      <c r="L332" s="6">
        <f t="shared" si="40"/>
        <v>1</v>
      </c>
      <c r="M332">
        <v>20</v>
      </c>
      <c r="N332">
        <v>2</v>
      </c>
      <c r="O332" s="9">
        <v>0</v>
      </c>
      <c r="P332">
        <v>0</v>
      </c>
      <c r="Q332">
        <v>9</v>
      </c>
      <c r="R332">
        <v>0</v>
      </c>
      <c r="S332">
        <v>9</v>
      </c>
      <c r="T332">
        <v>0</v>
      </c>
      <c r="U332" s="3">
        <f t="shared" si="38"/>
        <v>1</v>
      </c>
      <c r="V332" s="3">
        <f t="shared" si="39"/>
        <v>1</v>
      </c>
    </row>
    <row r="333" spans="1:22" x14ac:dyDescent="0.25">
      <c r="A333" s="2">
        <v>2017</v>
      </c>
      <c r="B333" t="s">
        <v>26</v>
      </c>
      <c r="C333" t="s">
        <v>1</v>
      </c>
      <c r="D333" s="2">
        <v>3622</v>
      </c>
      <c r="E333" s="2">
        <v>5670</v>
      </c>
      <c r="F333" t="s">
        <v>491</v>
      </c>
      <c r="G333">
        <v>13</v>
      </c>
      <c r="H333">
        <v>13</v>
      </c>
      <c r="I333">
        <v>0</v>
      </c>
      <c r="J333">
        <v>0</v>
      </c>
      <c r="K333">
        <v>0</v>
      </c>
      <c r="L333" s="6">
        <f t="shared" si="40"/>
        <v>1</v>
      </c>
      <c r="M333">
        <v>285</v>
      </c>
      <c r="N333">
        <v>41</v>
      </c>
      <c r="O333" s="9">
        <v>0</v>
      </c>
      <c r="P333">
        <v>0</v>
      </c>
      <c r="Q333">
        <v>90</v>
      </c>
      <c r="R333">
        <v>1</v>
      </c>
      <c r="S333">
        <v>153</v>
      </c>
      <c r="T333">
        <v>0</v>
      </c>
      <c r="U333" s="3">
        <f t="shared" si="38"/>
        <v>0.99649122807017543</v>
      </c>
      <c r="V333" s="3">
        <f t="shared" si="39"/>
        <v>0.99664429530201337</v>
      </c>
    </row>
    <row r="334" spans="1:22" x14ac:dyDescent="0.25">
      <c r="A334" s="2">
        <v>2017</v>
      </c>
      <c r="B334" t="s">
        <v>26</v>
      </c>
      <c r="C334" t="s">
        <v>1</v>
      </c>
      <c r="D334" s="2">
        <v>15555</v>
      </c>
      <c r="E334" s="2">
        <v>9514</v>
      </c>
      <c r="F334" t="s">
        <v>492</v>
      </c>
      <c r="G334">
        <v>17</v>
      </c>
      <c r="H334">
        <v>17</v>
      </c>
      <c r="I334">
        <v>0</v>
      </c>
      <c r="J334">
        <v>0</v>
      </c>
      <c r="K334">
        <v>0</v>
      </c>
      <c r="L334" s="6">
        <f t="shared" si="40"/>
        <v>1</v>
      </c>
      <c r="M334">
        <v>204</v>
      </c>
      <c r="N334">
        <v>21</v>
      </c>
      <c r="O334" s="9">
        <v>0</v>
      </c>
      <c r="P334">
        <v>0</v>
      </c>
      <c r="Q334">
        <v>86</v>
      </c>
      <c r="R334">
        <v>0</v>
      </c>
      <c r="S334">
        <v>96</v>
      </c>
      <c r="T334">
        <v>1</v>
      </c>
      <c r="U334" s="3">
        <f t="shared" si="38"/>
        <v>1</v>
      </c>
      <c r="V334" s="3">
        <f t="shared" si="39"/>
        <v>1</v>
      </c>
    </row>
    <row r="335" spans="1:22" x14ac:dyDescent="0.25">
      <c r="A335" s="2">
        <v>2017</v>
      </c>
      <c r="B335" t="s">
        <v>26</v>
      </c>
      <c r="C335" t="s">
        <v>1</v>
      </c>
      <c r="D335" s="2">
        <v>820</v>
      </c>
      <c r="E335" s="2">
        <v>5431</v>
      </c>
      <c r="F335" t="s">
        <v>493</v>
      </c>
      <c r="G335">
        <v>18</v>
      </c>
      <c r="H335">
        <v>18</v>
      </c>
      <c r="I335">
        <v>0</v>
      </c>
      <c r="J335">
        <v>0</v>
      </c>
      <c r="K335">
        <v>0</v>
      </c>
      <c r="L335" s="6">
        <f t="shared" si="40"/>
        <v>1</v>
      </c>
      <c r="M335">
        <v>207</v>
      </c>
      <c r="N335">
        <v>15</v>
      </c>
      <c r="O335" s="9">
        <v>0</v>
      </c>
      <c r="P335">
        <v>0</v>
      </c>
      <c r="Q335">
        <v>82</v>
      </c>
      <c r="R335">
        <v>2</v>
      </c>
      <c r="S335">
        <v>106</v>
      </c>
      <c r="T335">
        <v>2</v>
      </c>
      <c r="U335" s="3">
        <f t="shared" si="38"/>
        <v>0.99033816425120769</v>
      </c>
      <c r="V335" s="3">
        <f t="shared" si="39"/>
        <v>0.99111111111111116</v>
      </c>
    </row>
    <row r="336" spans="1:22" x14ac:dyDescent="0.25">
      <c r="A336" s="2">
        <v>2017</v>
      </c>
      <c r="B336" t="s">
        <v>26</v>
      </c>
      <c r="C336" t="s">
        <v>1</v>
      </c>
      <c r="D336" s="2">
        <v>3595</v>
      </c>
      <c r="E336" s="2">
        <v>9918</v>
      </c>
      <c r="F336" t="s">
        <v>495</v>
      </c>
      <c r="G336">
        <v>3</v>
      </c>
      <c r="H336">
        <v>3</v>
      </c>
      <c r="I336">
        <v>0</v>
      </c>
      <c r="J336">
        <v>0</v>
      </c>
      <c r="K336">
        <v>0</v>
      </c>
      <c r="L336" s="6">
        <f t="shared" si="40"/>
        <v>1</v>
      </c>
      <c r="M336">
        <v>250</v>
      </c>
      <c r="N336">
        <v>68</v>
      </c>
      <c r="O336" s="9">
        <v>0</v>
      </c>
      <c r="P336">
        <v>0</v>
      </c>
      <c r="Q336">
        <v>112</v>
      </c>
      <c r="R336">
        <v>0</v>
      </c>
      <c r="S336">
        <v>70</v>
      </c>
      <c r="T336">
        <v>0</v>
      </c>
      <c r="U336" s="3">
        <f t="shared" si="38"/>
        <v>1</v>
      </c>
      <c r="V336" s="3">
        <f t="shared" si="39"/>
        <v>1</v>
      </c>
    </row>
    <row r="337" spans="1:22" x14ac:dyDescent="0.25">
      <c r="A337" s="2">
        <v>2017</v>
      </c>
      <c r="B337" t="s">
        <v>26</v>
      </c>
      <c r="C337" t="s">
        <v>1</v>
      </c>
      <c r="D337" s="2">
        <v>1016</v>
      </c>
      <c r="E337" s="2">
        <v>2749</v>
      </c>
      <c r="F337" t="s">
        <v>496</v>
      </c>
      <c r="G337">
        <v>7</v>
      </c>
      <c r="H337">
        <v>7</v>
      </c>
      <c r="I337">
        <v>0</v>
      </c>
      <c r="J337">
        <v>0</v>
      </c>
      <c r="K337">
        <v>0</v>
      </c>
      <c r="L337" s="6">
        <f t="shared" si="40"/>
        <v>1</v>
      </c>
      <c r="M337">
        <v>214</v>
      </c>
      <c r="N337">
        <v>36</v>
      </c>
      <c r="O337" s="9">
        <v>0</v>
      </c>
      <c r="P337">
        <v>1</v>
      </c>
      <c r="Q337">
        <v>92</v>
      </c>
      <c r="R337">
        <v>1</v>
      </c>
      <c r="S337">
        <v>84</v>
      </c>
      <c r="T337">
        <v>0</v>
      </c>
      <c r="U337" s="3">
        <f t="shared" si="38"/>
        <v>0.99065420560747663</v>
      </c>
      <c r="V337" s="3">
        <f t="shared" si="39"/>
        <v>0.99095022624434392</v>
      </c>
    </row>
    <row r="338" spans="1:22" x14ac:dyDescent="0.25">
      <c r="A338" s="2">
        <v>2017</v>
      </c>
      <c r="B338" t="s">
        <v>26</v>
      </c>
      <c r="C338" t="s">
        <v>1</v>
      </c>
      <c r="D338" s="2">
        <v>1050</v>
      </c>
      <c r="E338" s="2">
        <v>5302</v>
      </c>
      <c r="F338" t="s">
        <v>497</v>
      </c>
      <c r="G338">
        <v>0</v>
      </c>
      <c r="H338">
        <v>0</v>
      </c>
      <c r="I338">
        <v>0</v>
      </c>
      <c r="J338">
        <v>0</v>
      </c>
      <c r="K338">
        <v>0</v>
      </c>
      <c r="L338" s="6">
        <f t="shared" si="40"/>
        <v>0</v>
      </c>
      <c r="M338">
        <v>77</v>
      </c>
      <c r="N338">
        <v>21</v>
      </c>
      <c r="O338" s="9">
        <v>0</v>
      </c>
      <c r="P338">
        <v>0</v>
      </c>
      <c r="Q338">
        <v>43</v>
      </c>
      <c r="R338">
        <v>0</v>
      </c>
      <c r="S338">
        <v>13</v>
      </c>
      <c r="T338">
        <v>0</v>
      </c>
      <c r="U338" s="3">
        <f t="shared" si="38"/>
        <v>1</v>
      </c>
      <c r="V338" s="3">
        <f t="shared" si="39"/>
        <v>1</v>
      </c>
    </row>
    <row r="339" spans="1:22" x14ac:dyDescent="0.25">
      <c r="A339" s="2">
        <v>2017</v>
      </c>
      <c r="B339" t="s">
        <v>26</v>
      </c>
      <c r="C339" t="s">
        <v>1</v>
      </c>
      <c r="D339" s="2">
        <v>1108</v>
      </c>
      <c r="E339" s="2">
        <v>4332</v>
      </c>
      <c r="F339" t="s">
        <v>498</v>
      </c>
      <c r="G339">
        <v>24</v>
      </c>
      <c r="H339">
        <v>24</v>
      </c>
      <c r="I339">
        <v>0</v>
      </c>
      <c r="J339">
        <v>0</v>
      </c>
      <c r="K339">
        <v>0</v>
      </c>
      <c r="L339" s="6">
        <f t="shared" si="40"/>
        <v>1</v>
      </c>
      <c r="M339">
        <v>251</v>
      </c>
      <c r="N339">
        <v>43</v>
      </c>
      <c r="O339" s="9">
        <v>0</v>
      </c>
      <c r="P339">
        <v>0</v>
      </c>
      <c r="Q339">
        <v>94</v>
      </c>
      <c r="R339">
        <v>0</v>
      </c>
      <c r="S339">
        <v>114</v>
      </c>
      <c r="T339">
        <v>0</v>
      </c>
      <c r="U339" s="3">
        <f t="shared" si="38"/>
        <v>1</v>
      </c>
      <c r="V339" s="3">
        <f t="shared" si="39"/>
        <v>1</v>
      </c>
    </row>
    <row r="340" spans="1:22" x14ac:dyDescent="0.25">
      <c r="A340" s="2">
        <v>2017</v>
      </c>
      <c r="B340" t="s">
        <v>26</v>
      </c>
      <c r="C340" t="s">
        <v>1</v>
      </c>
      <c r="D340" s="2">
        <v>3623</v>
      </c>
      <c r="E340" s="2">
        <v>6046</v>
      </c>
      <c r="F340" t="s">
        <v>499</v>
      </c>
      <c r="G340">
        <v>16</v>
      </c>
      <c r="H340">
        <v>16</v>
      </c>
      <c r="I340">
        <v>0</v>
      </c>
      <c r="J340">
        <v>0</v>
      </c>
      <c r="K340">
        <v>0</v>
      </c>
      <c r="L340" s="6">
        <f t="shared" si="40"/>
        <v>1</v>
      </c>
      <c r="M340">
        <v>244</v>
      </c>
      <c r="N340">
        <v>48</v>
      </c>
      <c r="O340" s="9">
        <v>0</v>
      </c>
      <c r="P340">
        <v>0</v>
      </c>
      <c r="Q340">
        <v>138</v>
      </c>
      <c r="R340">
        <v>0</v>
      </c>
      <c r="S340">
        <v>58</v>
      </c>
      <c r="T340">
        <v>0</v>
      </c>
      <c r="U340" s="3">
        <f t="shared" si="38"/>
        <v>1</v>
      </c>
      <c r="V340" s="3">
        <f t="shared" si="39"/>
        <v>1</v>
      </c>
    </row>
    <row r="341" spans="1:22" x14ac:dyDescent="0.25">
      <c r="A341" s="2">
        <v>2017</v>
      </c>
      <c r="B341" t="s">
        <v>26</v>
      </c>
      <c r="C341" t="s">
        <v>1</v>
      </c>
      <c r="D341" s="2">
        <v>14791</v>
      </c>
      <c r="E341" s="2">
        <v>118895</v>
      </c>
      <c r="F341" t="s">
        <v>500</v>
      </c>
      <c r="G341">
        <v>2</v>
      </c>
      <c r="H341">
        <v>2</v>
      </c>
      <c r="I341">
        <v>0</v>
      </c>
      <c r="J341">
        <v>0</v>
      </c>
      <c r="K341">
        <v>0</v>
      </c>
      <c r="L341" s="6">
        <f t="shared" si="40"/>
        <v>1</v>
      </c>
      <c r="M341">
        <v>44</v>
      </c>
      <c r="N341">
        <v>6</v>
      </c>
      <c r="O341" s="9">
        <v>0</v>
      </c>
      <c r="P341">
        <v>0</v>
      </c>
      <c r="Q341">
        <v>18</v>
      </c>
      <c r="R341">
        <v>0</v>
      </c>
      <c r="S341">
        <v>20</v>
      </c>
      <c r="T341">
        <v>0</v>
      </c>
      <c r="U341" s="3">
        <f t="shared" si="38"/>
        <v>1</v>
      </c>
      <c r="V341" s="3">
        <f t="shared" si="39"/>
        <v>1</v>
      </c>
    </row>
    <row r="342" spans="1:22" x14ac:dyDescent="0.25">
      <c r="A342" s="2">
        <v>2017</v>
      </c>
      <c r="B342" t="s">
        <v>26</v>
      </c>
      <c r="C342" t="s">
        <v>1</v>
      </c>
      <c r="D342" s="2">
        <v>15880</v>
      </c>
      <c r="E342" s="2">
        <v>9708</v>
      </c>
      <c r="F342" t="s">
        <v>501</v>
      </c>
      <c r="G342">
        <v>19</v>
      </c>
      <c r="H342">
        <v>19</v>
      </c>
      <c r="I342">
        <v>0</v>
      </c>
      <c r="J342">
        <v>0</v>
      </c>
      <c r="K342">
        <v>0</v>
      </c>
      <c r="L342" s="6">
        <f t="shared" si="40"/>
        <v>1</v>
      </c>
      <c r="M342">
        <v>242</v>
      </c>
      <c r="N342">
        <v>58</v>
      </c>
      <c r="O342" s="9">
        <v>0</v>
      </c>
      <c r="P342">
        <v>1</v>
      </c>
      <c r="Q342">
        <v>76</v>
      </c>
      <c r="R342">
        <v>1</v>
      </c>
      <c r="S342">
        <v>102</v>
      </c>
      <c r="T342">
        <v>4</v>
      </c>
      <c r="U342" s="3">
        <f t="shared" si="38"/>
        <v>0.99173553719008267</v>
      </c>
      <c r="V342" s="3">
        <f t="shared" si="39"/>
        <v>0.9923371647509579</v>
      </c>
    </row>
    <row r="343" spans="1:22" x14ac:dyDescent="0.25">
      <c r="A343" s="2">
        <v>2017</v>
      </c>
      <c r="B343" t="s">
        <v>26</v>
      </c>
      <c r="C343" t="s">
        <v>22</v>
      </c>
      <c r="D343" s="2">
        <v>137</v>
      </c>
      <c r="E343" s="2">
        <v>5010</v>
      </c>
      <c r="F343" t="s">
        <v>27</v>
      </c>
      <c r="G343">
        <v>11</v>
      </c>
      <c r="H343">
        <v>11</v>
      </c>
      <c r="I343">
        <v>0</v>
      </c>
      <c r="J343">
        <v>0</v>
      </c>
      <c r="K343">
        <v>0</v>
      </c>
      <c r="L343" s="6">
        <f t="shared" si="40"/>
        <v>1</v>
      </c>
      <c r="M343">
        <v>201</v>
      </c>
      <c r="N343">
        <v>40</v>
      </c>
      <c r="O343" s="9">
        <v>0</v>
      </c>
      <c r="P343">
        <v>1</v>
      </c>
      <c r="Q343">
        <v>43</v>
      </c>
      <c r="R343">
        <v>1</v>
      </c>
      <c r="S343">
        <v>114</v>
      </c>
      <c r="T343">
        <v>2</v>
      </c>
      <c r="U343" s="3">
        <f t="shared" ref="U343" si="41">IF(M343=0,0,((N343+O343+Q343+S343+T343)/M343))</f>
        <v>0.99004975124378114</v>
      </c>
      <c r="V343" s="3">
        <f t="shared" ref="V343" si="42">(H343+I343+J343+N343+Q343+S343+T343)/(G343+M343)</f>
        <v>0.99056603773584906</v>
      </c>
    </row>
    <row r="344" spans="1:22" x14ac:dyDescent="0.25">
      <c r="A344" s="2">
        <v>2017</v>
      </c>
      <c r="B344" t="s">
        <v>26</v>
      </c>
      <c r="C344" t="s">
        <v>22</v>
      </c>
      <c r="D344" s="2">
        <v>29</v>
      </c>
      <c r="E344" s="2">
        <v>4489</v>
      </c>
      <c r="F344" t="s">
        <v>353</v>
      </c>
      <c r="G344">
        <v>26</v>
      </c>
      <c r="H344">
        <v>26</v>
      </c>
      <c r="I344">
        <v>0</v>
      </c>
      <c r="J344">
        <v>0</v>
      </c>
      <c r="K344">
        <v>0</v>
      </c>
      <c r="L344" s="6">
        <f t="shared" si="40"/>
        <v>1</v>
      </c>
      <c r="M344">
        <v>344</v>
      </c>
      <c r="N344">
        <v>82</v>
      </c>
      <c r="O344" s="9">
        <v>0</v>
      </c>
      <c r="P344">
        <v>0</v>
      </c>
      <c r="Q344">
        <v>135</v>
      </c>
      <c r="R344">
        <v>1</v>
      </c>
      <c r="S344">
        <v>121</v>
      </c>
      <c r="T344">
        <v>5</v>
      </c>
      <c r="U344" s="3">
        <f t="shared" ref="U344:U369" si="43">IF(M344=0,0,((N344+O344+Q344+S344+T344)/M344))</f>
        <v>0.99709302325581395</v>
      </c>
      <c r="V344" s="3">
        <f t="shared" ref="V344:V369" si="44">(H344+I344+J344+N344+Q344+S344+T344)/(G344+M344)</f>
        <v>0.99729729729729732</v>
      </c>
    </row>
    <row r="345" spans="1:22" x14ac:dyDescent="0.25">
      <c r="A345" s="2">
        <v>2017</v>
      </c>
      <c r="B345" t="s">
        <v>26</v>
      </c>
      <c r="C345" t="s">
        <v>22</v>
      </c>
      <c r="D345" s="2">
        <v>38</v>
      </c>
      <c r="E345" s="2">
        <v>7115</v>
      </c>
      <c r="F345" t="s">
        <v>354</v>
      </c>
      <c r="G345">
        <v>16</v>
      </c>
      <c r="H345">
        <v>16</v>
      </c>
      <c r="I345">
        <v>0</v>
      </c>
      <c r="J345">
        <v>0</v>
      </c>
      <c r="K345">
        <v>0</v>
      </c>
      <c r="L345" s="6">
        <f t="shared" si="40"/>
        <v>1</v>
      </c>
      <c r="M345">
        <v>224</v>
      </c>
      <c r="N345">
        <v>47</v>
      </c>
      <c r="O345" s="9">
        <v>0</v>
      </c>
      <c r="P345">
        <v>1</v>
      </c>
      <c r="Q345">
        <v>63</v>
      </c>
      <c r="R345">
        <v>0</v>
      </c>
      <c r="S345">
        <v>110</v>
      </c>
      <c r="T345">
        <v>3</v>
      </c>
      <c r="U345" s="3">
        <f t="shared" si="43"/>
        <v>0.9955357142857143</v>
      </c>
      <c r="V345" s="3">
        <f t="shared" si="44"/>
        <v>0.99583333333333335</v>
      </c>
    </row>
    <row r="346" spans="1:22" x14ac:dyDescent="0.25">
      <c r="A346" s="2">
        <v>2017</v>
      </c>
      <c r="B346" t="s">
        <v>26</v>
      </c>
      <c r="C346" t="s">
        <v>22</v>
      </c>
      <c r="D346" s="2">
        <v>58</v>
      </c>
      <c r="E346" s="2">
        <v>7621</v>
      </c>
      <c r="F346" t="s">
        <v>355</v>
      </c>
      <c r="G346">
        <v>27</v>
      </c>
      <c r="H346">
        <v>26</v>
      </c>
      <c r="I346">
        <v>0</v>
      </c>
      <c r="J346">
        <v>0</v>
      </c>
      <c r="K346">
        <v>1</v>
      </c>
      <c r="L346" s="6">
        <f t="shared" si="40"/>
        <v>0.96296296296296291</v>
      </c>
      <c r="M346">
        <v>677</v>
      </c>
      <c r="N346">
        <v>146</v>
      </c>
      <c r="O346" s="9">
        <v>0</v>
      </c>
      <c r="P346">
        <v>1</v>
      </c>
      <c r="Q346">
        <v>274</v>
      </c>
      <c r="R346">
        <v>7</v>
      </c>
      <c r="S346">
        <v>242</v>
      </c>
      <c r="T346">
        <v>7</v>
      </c>
      <c r="U346" s="3">
        <f t="shared" si="43"/>
        <v>0.98818316100443127</v>
      </c>
      <c r="V346" s="3">
        <f t="shared" si="44"/>
        <v>0.98721590909090906</v>
      </c>
    </row>
    <row r="347" spans="1:22" x14ac:dyDescent="0.25">
      <c r="A347" s="2">
        <v>2017</v>
      </c>
      <c r="B347" t="s">
        <v>26</v>
      </c>
      <c r="C347" t="s">
        <v>22</v>
      </c>
      <c r="D347" s="2">
        <v>112</v>
      </c>
      <c r="E347" s="2">
        <v>10769</v>
      </c>
      <c r="F347" t="s">
        <v>356</v>
      </c>
      <c r="G347">
        <v>3</v>
      </c>
      <c r="H347">
        <v>3</v>
      </c>
      <c r="I347">
        <v>0</v>
      </c>
      <c r="J347">
        <v>0</v>
      </c>
      <c r="K347">
        <v>0</v>
      </c>
      <c r="L347" s="6">
        <f t="shared" si="40"/>
        <v>1</v>
      </c>
      <c r="M347">
        <v>47</v>
      </c>
      <c r="N347">
        <v>11</v>
      </c>
      <c r="O347" s="9">
        <v>0</v>
      </c>
      <c r="P347">
        <v>0</v>
      </c>
      <c r="Q347">
        <v>24</v>
      </c>
      <c r="R347">
        <v>0</v>
      </c>
      <c r="S347">
        <v>12</v>
      </c>
      <c r="T347">
        <v>0</v>
      </c>
      <c r="U347" s="3">
        <f t="shared" si="43"/>
        <v>1</v>
      </c>
      <c r="V347" s="3">
        <f t="shared" si="44"/>
        <v>1</v>
      </c>
    </row>
    <row r="348" spans="1:22" x14ac:dyDescent="0.25">
      <c r="A348" s="2">
        <v>2017</v>
      </c>
      <c r="B348" t="s">
        <v>26</v>
      </c>
      <c r="C348" t="s">
        <v>22</v>
      </c>
      <c r="D348" s="2">
        <v>60</v>
      </c>
      <c r="E348" s="2">
        <v>7787</v>
      </c>
      <c r="F348" t="s">
        <v>357</v>
      </c>
      <c r="G348">
        <v>0</v>
      </c>
      <c r="H348">
        <v>0</v>
      </c>
      <c r="I348">
        <v>0</v>
      </c>
      <c r="J348">
        <v>0</v>
      </c>
      <c r="K348">
        <v>0</v>
      </c>
      <c r="L348" s="6">
        <f t="shared" si="40"/>
        <v>0</v>
      </c>
      <c r="M348">
        <v>2</v>
      </c>
      <c r="N348">
        <v>0</v>
      </c>
      <c r="O348" s="9">
        <v>0</v>
      </c>
      <c r="P348">
        <v>0</v>
      </c>
      <c r="Q348">
        <v>1</v>
      </c>
      <c r="R348">
        <v>0</v>
      </c>
      <c r="S348">
        <v>1</v>
      </c>
      <c r="T348">
        <v>0</v>
      </c>
      <c r="U348" s="3">
        <f t="shared" si="43"/>
        <v>1</v>
      </c>
      <c r="V348" s="3">
        <f t="shared" si="44"/>
        <v>1</v>
      </c>
    </row>
    <row r="349" spans="1:22" x14ac:dyDescent="0.25">
      <c r="A349" s="2">
        <v>2017</v>
      </c>
      <c r="B349" t="s">
        <v>26</v>
      </c>
      <c r="C349" t="s">
        <v>22</v>
      </c>
      <c r="D349" s="2">
        <v>23</v>
      </c>
      <c r="E349" s="2">
        <v>5832</v>
      </c>
      <c r="F349" t="s">
        <v>358</v>
      </c>
      <c r="G349">
        <v>6</v>
      </c>
      <c r="H349">
        <v>6</v>
      </c>
      <c r="I349">
        <v>0</v>
      </c>
      <c r="J349">
        <v>0</v>
      </c>
      <c r="K349">
        <v>0</v>
      </c>
      <c r="L349" s="6">
        <f t="shared" si="40"/>
        <v>1</v>
      </c>
      <c r="M349">
        <v>103</v>
      </c>
      <c r="N349">
        <v>28</v>
      </c>
      <c r="O349" s="9">
        <v>0</v>
      </c>
      <c r="P349">
        <v>1</v>
      </c>
      <c r="Q349">
        <v>44</v>
      </c>
      <c r="R349">
        <v>1</v>
      </c>
      <c r="S349">
        <v>29</v>
      </c>
      <c r="T349">
        <v>0</v>
      </c>
      <c r="U349" s="3">
        <f t="shared" si="43"/>
        <v>0.98058252427184467</v>
      </c>
      <c r="V349" s="3">
        <f t="shared" si="44"/>
        <v>0.98165137614678899</v>
      </c>
    </row>
    <row r="350" spans="1:22" x14ac:dyDescent="0.25">
      <c r="A350" s="2">
        <v>2017</v>
      </c>
      <c r="B350" t="s">
        <v>26</v>
      </c>
      <c r="C350" t="s">
        <v>22</v>
      </c>
      <c r="D350" s="2">
        <v>77</v>
      </c>
      <c r="E350" s="2">
        <v>9967</v>
      </c>
      <c r="F350" t="s">
        <v>359</v>
      </c>
      <c r="G350">
        <v>43</v>
      </c>
      <c r="H350">
        <v>43</v>
      </c>
      <c r="I350">
        <v>0</v>
      </c>
      <c r="J350">
        <v>0</v>
      </c>
      <c r="K350">
        <v>0</v>
      </c>
      <c r="L350" s="6">
        <f t="shared" si="40"/>
        <v>1</v>
      </c>
      <c r="M350">
        <v>452</v>
      </c>
      <c r="N350">
        <v>92</v>
      </c>
      <c r="O350" s="9">
        <v>0</v>
      </c>
      <c r="P350">
        <v>0</v>
      </c>
      <c r="Q350">
        <v>137</v>
      </c>
      <c r="R350">
        <v>6</v>
      </c>
      <c r="S350">
        <v>214</v>
      </c>
      <c r="T350">
        <v>3</v>
      </c>
      <c r="U350" s="3">
        <f t="shared" si="43"/>
        <v>0.98672566371681414</v>
      </c>
      <c r="V350" s="3">
        <f t="shared" si="44"/>
        <v>0.98787878787878791</v>
      </c>
    </row>
    <row r="351" spans="1:22" x14ac:dyDescent="0.25">
      <c r="A351" s="2">
        <v>2017</v>
      </c>
      <c r="B351" t="s">
        <v>26</v>
      </c>
      <c r="C351" t="s">
        <v>22</v>
      </c>
      <c r="D351" s="2">
        <v>28</v>
      </c>
      <c r="E351" s="2">
        <v>4356</v>
      </c>
      <c r="F351" t="s">
        <v>360</v>
      </c>
      <c r="G351">
        <v>49</v>
      </c>
      <c r="H351">
        <v>49</v>
      </c>
      <c r="I351">
        <v>0</v>
      </c>
      <c r="J351">
        <v>0</v>
      </c>
      <c r="K351">
        <v>0</v>
      </c>
      <c r="L351" s="6">
        <f t="shared" si="40"/>
        <v>1</v>
      </c>
      <c r="M351">
        <v>638</v>
      </c>
      <c r="N351">
        <v>127</v>
      </c>
      <c r="O351" s="9">
        <v>0</v>
      </c>
      <c r="P351">
        <v>1</v>
      </c>
      <c r="Q351">
        <v>250</v>
      </c>
      <c r="R351">
        <v>4</v>
      </c>
      <c r="S351">
        <v>253</v>
      </c>
      <c r="T351">
        <v>3</v>
      </c>
      <c r="U351" s="3">
        <f t="shared" si="43"/>
        <v>0.99216300940438873</v>
      </c>
      <c r="V351" s="3">
        <f t="shared" si="44"/>
        <v>0.99272197962154296</v>
      </c>
    </row>
    <row r="352" spans="1:22" x14ac:dyDescent="0.25">
      <c r="A352" s="2">
        <v>2017</v>
      </c>
      <c r="B352" t="s">
        <v>26</v>
      </c>
      <c r="C352" t="s">
        <v>22</v>
      </c>
      <c r="D352" s="2">
        <v>63</v>
      </c>
      <c r="E352" s="2">
        <v>7817</v>
      </c>
      <c r="F352" t="s">
        <v>361</v>
      </c>
      <c r="G352">
        <v>28</v>
      </c>
      <c r="H352">
        <v>27</v>
      </c>
      <c r="I352">
        <v>0</v>
      </c>
      <c r="J352">
        <v>0</v>
      </c>
      <c r="K352">
        <v>1</v>
      </c>
      <c r="L352" s="6">
        <f t="shared" si="40"/>
        <v>0.9642857142857143</v>
      </c>
      <c r="M352">
        <v>390</v>
      </c>
      <c r="N352">
        <v>86</v>
      </c>
      <c r="O352" s="9">
        <v>0</v>
      </c>
      <c r="P352">
        <v>0</v>
      </c>
      <c r="Q352">
        <v>161</v>
      </c>
      <c r="R352">
        <v>1</v>
      </c>
      <c r="S352">
        <v>142</v>
      </c>
      <c r="T352">
        <v>0</v>
      </c>
      <c r="U352" s="3">
        <f t="shared" si="43"/>
        <v>0.99743589743589745</v>
      </c>
      <c r="V352" s="3">
        <f t="shared" si="44"/>
        <v>0.99521531100478466</v>
      </c>
    </row>
    <row r="353" spans="1:22" x14ac:dyDescent="0.25">
      <c r="A353" s="2">
        <v>2017</v>
      </c>
      <c r="B353" t="s">
        <v>26</v>
      </c>
      <c r="C353" t="s">
        <v>22</v>
      </c>
      <c r="D353" s="2">
        <v>19</v>
      </c>
      <c r="E353" s="2">
        <v>5831</v>
      </c>
      <c r="F353" t="s">
        <v>362</v>
      </c>
      <c r="G353">
        <v>16</v>
      </c>
      <c r="H353">
        <v>16</v>
      </c>
      <c r="I353">
        <v>0</v>
      </c>
      <c r="J353">
        <v>0</v>
      </c>
      <c r="K353">
        <v>0</v>
      </c>
      <c r="L353" s="6">
        <f t="shared" si="40"/>
        <v>1</v>
      </c>
      <c r="M353">
        <v>302</v>
      </c>
      <c r="N353">
        <v>59</v>
      </c>
      <c r="O353" s="9">
        <v>0</v>
      </c>
      <c r="P353">
        <v>0</v>
      </c>
      <c r="Q353">
        <v>84</v>
      </c>
      <c r="R353">
        <v>2</v>
      </c>
      <c r="S353">
        <v>155</v>
      </c>
      <c r="T353">
        <v>2</v>
      </c>
      <c r="U353" s="3">
        <f t="shared" si="43"/>
        <v>0.99337748344370858</v>
      </c>
      <c r="V353" s="3">
        <f t="shared" si="44"/>
        <v>0.99371069182389937</v>
      </c>
    </row>
    <row r="354" spans="1:22" x14ac:dyDescent="0.25">
      <c r="A354" s="2">
        <v>2017</v>
      </c>
      <c r="B354" t="s">
        <v>26</v>
      </c>
      <c r="C354" t="s">
        <v>22</v>
      </c>
      <c r="D354" s="2">
        <v>147</v>
      </c>
      <c r="E354" s="2">
        <v>2834</v>
      </c>
      <c r="F354" t="s">
        <v>482</v>
      </c>
      <c r="G354">
        <v>8</v>
      </c>
      <c r="H354">
        <v>8</v>
      </c>
      <c r="I354">
        <v>0</v>
      </c>
      <c r="J354">
        <v>0</v>
      </c>
      <c r="K354">
        <v>0</v>
      </c>
      <c r="L354" s="6">
        <f t="shared" si="40"/>
        <v>1</v>
      </c>
      <c r="M354">
        <v>184</v>
      </c>
      <c r="N354">
        <v>55</v>
      </c>
      <c r="O354" s="9">
        <v>0</v>
      </c>
      <c r="P354">
        <v>0</v>
      </c>
      <c r="Q354">
        <v>70</v>
      </c>
      <c r="R354">
        <v>0</v>
      </c>
      <c r="S354">
        <v>59</v>
      </c>
      <c r="T354">
        <v>0</v>
      </c>
      <c r="U354" s="3">
        <f t="shared" si="43"/>
        <v>1</v>
      </c>
      <c r="V354" s="3">
        <f t="shared" si="44"/>
        <v>1</v>
      </c>
    </row>
    <row r="355" spans="1:22" x14ac:dyDescent="0.25">
      <c r="A355" s="2">
        <v>2017</v>
      </c>
      <c r="B355" t="s">
        <v>26</v>
      </c>
      <c r="C355" t="s">
        <v>22</v>
      </c>
      <c r="D355" s="2">
        <v>68</v>
      </c>
      <c r="E355" s="2">
        <v>7923</v>
      </c>
      <c r="F355" t="s">
        <v>363</v>
      </c>
      <c r="G355">
        <v>33</v>
      </c>
      <c r="H355">
        <v>33</v>
      </c>
      <c r="I355">
        <v>0</v>
      </c>
      <c r="J355">
        <v>0</v>
      </c>
      <c r="K355">
        <v>0</v>
      </c>
      <c r="L355" s="6">
        <f t="shared" si="40"/>
        <v>1</v>
      </c>
      <c r="M355">
        <v>355</v>
      </c>
      <c r="N355">
        <v>83</v>
      </c>
      <c r="O355" s="9">
        <v>0</v>
      </c>
      <c r="P355">
        <v>2</v>
      </c>
      <c r="Q355">
        <v>151</v>
      </c>
      <c r="R355">
        <v>4</v>
      </c>
      <c r="S355">
        <v>108</v>
      </c>
      <c r="T355">
        <v>7</v>
      </c>
      <c r="U355" s="3">
        <f t="shared" si="43"/>
        <v>0.9830985915492958</v>
      </c>
      <c r="V355" s="3">
        <f t="shared" si="44"/>
        <v>0.98453608247422686</v>
      </c>
    </row>
    <row r="356" spans="1:22" x14ac:dyDescent="0.25">
      <c r="A356" s="2">
        <v>2017</v>
      </c>
      <c r="B356" t="s">
        <v>26</v>
      </c>
      <c r="C356" t="s">
        <v>22</v>
      </c>
      <c r="D356" s="2">
        <v>144</v>
      </c>
      <c r="E356" s="2">
        <v>4536</v>
      </c>
      <c r="F356" t="s">
        <v>364</v>
      </c>
      <c r="G356">
        <v>11</v>
      </c>
      <c r="H356">
        <v>11</v>
      </c>
      <c r="I356">
        <v>0</v>
      </c>
      <c r="J356">
        <v>0</v>
      </c>
      <c r="K356">
        <v>0</v>
      </c>
      <c r="L356" s="6">
        <f t="shared" si="40"/>
        <v>1</v>
      </c>
      <c r="M356">
        <v>231</v>
      </c>
      <c r="N356">
        <v>64</v>
      </c>
      <c r="O356" s="9">
        <v>0</v>
      </c>
      <c r="P356">
        <v>0</v>
      </c>
      <c r="Q356">
        <v>104</v>
      </c>
      <c r="R356">
        <v>0</v>
      </c>
      <c r="S356">
        <v>60</v>
      </c>
      <c r="T356">
        <v>3</v>
      </c>
      <c r="U356" s="3">
        <f t="shared" si="43"/>
        <v>1</v>
      </c>
      <c r="V356" s="3">
        <f t="shared" si="44"/>
        <v>1</v>
      </c>
    </row>
    <row r="357" spans="1:22" x14ac:dyDescent="0.25">
      <c r="A357" s="2">
        <v>2017</v>
      </c>
      <c r="B357" t="s">
        <v>26</v>
      </c>
      <c r="C357" t="s">
        <v>22</v>
      </c>
      <c r="D357" s="2">
        <v>70</v>
      </c>
      <c r="E357" s="2">
        <v>8358</v>
      </c>
      <c r="F357" t="s">
        <v>365</v>
      </c>
      <c r="G357">
        <v>5</v>
      </c>
      <c r="H357">
        <v>5</v>
      </c>
      <c r="I357">
        <v>0</v>
      </c>
      <c r="J357">
        <v>0</v>
      </c>
      <c r="K357">
        <v>0</v>
      </c>
      <c r="L357" s="6">
        <f t="shared" si="40"/>
        <v>1</v>
      </c>
      <c r="M357">
        <v>28</v>
      </c>
      <c r="N357">
        <v>0</v>
      </c>
      <c r="O357" s="9">
        <v>0</v>
      </c>
      <c r="P357">
        <v>0</v>
      </c>
      <c r="Q357">
        <v>10</v>
      </c>
      <c r="R357">
        <v>0</v>
      </c>
      <c r="S357">
        <v>18</v>
      </c>
      <c r="T357">
        <v>0</v>
      </c>
      <c r="U357" s="3">
        <f t="shared" si="43"/>
        <v>1</v>
      </c>
      <c r="V357" s="3">
        <f t="shared" si="44"/>
        <v>1</v>
      </c>
    </row>
    <row r="358" spans="1:22" x14ac:dyDescent="0.25">
      <c r="A358" s="2">
        <v>2017</v>
      </c>
      <c r="B358" t="s">
        <v>26</v>
      </c>
      <c r="C358" t="s">
        <v>22</v>
      </c>
      <c r="D358" s="2">
        <v>1</v>
      </c>
      <c r="E358" s="2">
        <v>6777</v>
      </c>
      <c r="F358" t="s">
        <v>34</v>
      </c>
      <c r="G358">
        <v>0</v>
      </c>
      <c r="H358">
        <v>0</v>
      </c>
      <c r="I358">
        <v>0</v>
      </c>
      <c r="J358">
        <v>0</v>
      </c>
      <c r="K358">
        <v>0</v>
      </c>
      <c r="L358" s="6">
        <f t="shared" si="40"/>
        <v>0</v>
      </c>
      <c r="M358">
        <v>3</v>
      </c>
      <c r="N358">
        <v>1</v>
      </c>
      <c r="O358" s="9">
        <v>0</v>
      </c>
      <c r="P358">
        <v>0</v>
      </c>
      <c r="Q358">
        <v>0</v>
      </c>
      <c r="R358">
        <v>0</v>
      </c>
      <c r="S358">
        <v>2</v>
      </c>
      <c r="T358">
        <v>0</v>
      </c>
      <c r="U358" s="3">
        <f t="shared" si="43"/>
        <v>1</v>
      </c>
      <c r="V358" s="3">
        <f t="shared" si="44"/>
        <v>1</v>
      </c>
    </row>
    <row r="359" spans="1:22" x14ac:dyDescent="0.25">
      <c r="A359" s="2">
        <v>2017</v>
      </c>
      <c r="B359" t="s">
        <v>26</v>
      </c>
      <c r="C359" t="s">
        <v>22</v>
      </c>
      <c r="D359" s="2">
        <v>52</v>
      </c>
      <c r="E359" s="2">
        <v>222222222</v>
      </c>
      <c r="F359" s="5" t="s">
        <v>366</v>
      </c>
      <c r="G359">
        <v>0</v>
      </c>
      <c r="H359">
        <v>0</v>
      </c>
      <c r="I359">
        <v>0</v>
      </c>
      <c r="J359">
        <v>0</v>
      </c>
      <c r="K359">
        <v>0</v>
      </c>
      <c r="L359" s="6">
        <f t="shared" si="40"/>
        <v>0</v>
      </c>
      <c r="M359">
        <v>2</v>
      </c>
      <c r="N359">
        <v>2</v>
      </c>
      <c r="O359" s="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s="3">
        <f t="shared" si="43"/>
        <v>1</v>
      </c>
      <c r="V359" s="3">
        <f t="shared" si="44"/>
        <v>1</v>
      </c>
    </row>
    <row r="360" spans="1:22" x14ac:dyDescent="0.25">
      <c r="A360" s="2">
        <v>2017</v>
      </c>
      <c r="B360" t="s">
        <v>26</v>
      </c>
      <c r="C360" t="s">
        <v>22</v>
      </c>
      <c r="D360" s="2">
        <v>65</v>
      </c>
      <c r="E360" s="2">
        <v>7806</v>
      </c>
      <c r="F360" t="s">
        <v>328</v>
      </c>
      <c r="G360">
        <v>28</v>
      </c>
      <c r="H360">
        <v>28</v>
      </c>
      <c r="I360">
        <v>0</v>
      </c>
      <c r="J360">
        <v>0</v>
      </c>
      <c r="K360">
        <v>0</v>
      </c>
      <c r="L360" s="6">
        <f t="shared" si="40"/>
        <v>1</v>
      </c>
      <c r="M360">
        <v>345</v>
      </c>
      <c r="N360">
        <v>79</v>
      </c>
      <c r="O360" s="9">
        <v>0</v>
      </c>
      <c r="P360">
        <v>0</v>
      </c>
      <c r="Q360">
        <v>155</v>
      </c>
      <c r="R360">
        <v>0</v>
      </c>
      <c r="S360">
        <v>106</v>
      </c>
      <c r="T360">
        <v>5</v>
      </c>
      <c r="U360" s="3">
        <f t="shared" si="43"/>
        <v>1</v>
      </c>
      <c r="V360" s="3">
        <f t="shared" si="44"/>
        <v>1</v>
      </c>
    </row>
    <row r="361" spans="1:22" x14ac:dyDescent="0.25">
      <c r="A361" s="2">
        <v>2017</v>
      </c>
      <c r="B361" t="s">
        <v>26</v>
      </c>
      <c r="C361" t="s">
        <v>22</v>
      </c>
      <c r="D361" s="2">
        <v>27</v>
      </c>
      <c r="E361" s="2">
        <v>4492</v>
      </c>
      <c r="F361" t="s">
        <v>367</v>
      </c>
      <c r="G361">
        <v>26</v>
      </c>
      <c r="H361">
        <v>26</v>
      </c>
      <c r="I361">
        <v>0</v>
      </c>
      <c r="J361">
        <v>0</v>
      </c>
      <c r="K361">
        <v>0</v>
      </c>
      <c r="L361" s="6">
        <f t="shared" si="40"/>
        <v>1</v>
      </c>
      <c r="M361">
        <v>343</v>
      </c>
      <c r="N361">
        <v>68</v>
      </c>
      <c r="O361" s="9">
        <v>0</v>
      </c>
      <c r="P361">
        <v>1</v>
      </c>
      <c r="Q361">
        <v>140</v>
      </c>
      <c r="R361">
        <v>4</v>
      </c>
      <c r="S361">
        <v>126</v>
      </c>
      <c r="T361">
        <v>4</v>
      </c>
      <c r="U361" s="3">
        <f t="shared" si="43"/>
        <v>0.98542274052478129</v>
      </c>
      <c r="V361" s="3">
        <f t="shared" si="44"/>
        <v>0.98644986449864502</v>
      </c>
    </row>
    <row r="362" spans="1:22" x14ac:dyDescent="0.25">
      <c r="A362" s="2">
        <v>2017</v>
      </c>
      <c r="B362" t="s">
        <v>26</v>
      </c>
      <c r="C362" t="s">
        <v>22</v>
      </c>
      <c r="D362" s="2">
        <v>119</v>
      </c>
      <c r="E362" s="2">
        <v>8697</v>
      </c>
      <c r="F362" t="s">
        <v>368</v>
      </c>
      <c r="G362">
        <v>14</v>
      </c>
      <c r="H362">
        <v>14</v>
      </c>
      <c r="I362">
        <v>0</v>
      </c>
      <c r="J362">
        <v>0</v>
      </c>
      <c r="K362">
        <v>0</v>
      </c>
      <c r="L362" s="6">
        <f t="shared" si="40"/>
        <v>1</v>
      </c>
      <c r="M362">
        <v>274</v>
      </c>
      <c r="N362">
        <v>75</v>
      </c>
      <c r="O362" s="9">
        <v>0</v>
      </c>
      <c r="P362">
        <v>0</v>
      </c>
      <c r="Q362">
        <v>114</v>
      </c>
      <c r="R362">
        <v>0</v>
      </c>
      <c r="S362">
        <v>79</v>
      </c>
      <c r="T362">
        <v>6</v>
      </c>
      <c r="U362" s="3">
        <f t="shared" si="43"/>
        <v>1</v>
      </c>
      <c r="V362" s="3">
        <f t="shared" si="44"/>
        <v>1</v>
      </c>
    </row>
    <row r="363" spans="1:22" x14ac:dyDescent="0.25">
      <c r="A363" s="2">
        <v>2017</v>
      </c>
      <c r="B363" t="s">
        <v>26</v>
      </c>
      <c r="C363" t="s">
        <v>22</v>
      </c>
      <c r="D363" s="2">
        <v>116</v>
      </c>
      <c r="E363" s="2">
        <v>119505</v>
      </c>
      <c r="F363" t="s">
        <v>417</v>
      </c>
      <c r="G363">
        <v>13</v>
      </c>
      <c r="H363">
        <v>13</v>
      </c>
      <c r="I363">
        <v>0</v>
      </c>
      <c r="J363">
        <v>0</v>
      </c>
      <c r="K363">
        <v>0</v>
      </c>
      <c r="L363" s="6">
        <f t="shared" si="40"/>
        <v>1</v>
      </c>
      <c r="M363">
        <v>204</v>
      </c>
      <c r="N363">
        <v>42</v>
      </c>
      <c r="O363" s="9">
        <v>0</v>
      </c>
      <c r="P363">
        <v>0</v>
      </c>
      <c r="Q363">
        <v>70</v>
      </c>
      <c r="R363">
        <v>1</v>
      </c>
      <c r="S363">
        <v>90</v>
      </c>
      <c r="T363">
        <v>1</v>
      </c>
      <c r="U363" s="3">
        <f t="shared" si="43"/>
        <v>0.99509803921568629</v>
      </c>
      <c r="V363" s="3">
        <f t="shared" si="44"/>
        <v>0.99539170506912444</v>
      </c>
    </row>
    <row r="364" spans="1:22" x14ac:dyDescent="0.25">
      <c r="A364" s="2">
        <v>2017</v>
      </c>
      <c r="B364" t="s">
        <v>26</v>
      </c>
      <c r="C364" t="s">
        <v>22</v>
      </c>
      <c r="D364" s="2">
        <v>25</v>
      </c>
      <c r="E364" s="2">
        <v>4357</v>
      </c>
      <c r="F364" t="s">
        <v>369</v>
      </c>
      <c r="G364">
        <v>41</v>
      </c>
      <c r="H364">
        <v>41</v>
      </c>
      <c r="I364">
        <v>0</v>
      </c>
      <c r="J364">
        <v>0</v>
      </c>
      <c r="K364">
        <v>0</v>
      </c>
      <c r="L364" s="6">
        <f t="shared" si="40"/>
        <v>1</v>
      </c>
      <c r="M364">
        <v>462</v>
      </c>
      <c r="N364">
        <v>118</v>
      </c>
      <c r="O364" s="9">
        <v>0</v>
      </c>
      <c r="P364">
        <v>0</v>
      </c>
      <c r="Q364">
        <v>148</v>
      </c>
      <c r="R364">
        <v>3</v>
      </c>
      <c r="S364">
        <v>185</v>
      </c>
      <c r="T364">
        <v>8</v>
      </c>
      <c r="U364" s="3">
        <f t="shared" si="43"/>
        <v>0.99350649350649356</v>
      </c>
      <c r="V364" s="3">
        <f t="shared" si="44"/>
        <v>0.99403578528827041</v>
      </c>
    </row>
    <row r="365" spans="1:22" x14ac:dyDescent="0.25">
      <c r="A365" s="2">
        <v>2017</v>
      </c>
      <c r="B365" t="s">
        <v>26</v>
      </c>
      <c r="C365" t="s">
        <v>22</v>
      </c>
      <c r="D365" s="2">
        <v>184</v>
      </c>
      <c r="E365" s="2">
        <v>120870</v>
      </c>
      <c r="F365" t="s">
        <v>371</v>
      </c>
      <c r="G365">
        <v>22</v>
      </c>
      <c r="H365">
        <v>22</v>
      </c>
      <c r="I365">
        <v>0</v>
      </c>
      <c r="J365">
        <v>0</v>
      </c>
      <c r="K365">
        <v>0</v>
      </c>
      <c r="L365" s="6">
        <f t="shared" si="40"/>
        <v>1</v>
      </c>
      <c r="M365">
        <v>300</v>
      </c>
      <c r="N365">
        <v>60</v>
      </c>
      <c r="O365" s="9">
        <v>0</v>
      </c>
      <c r="P365">
        <v>0</v>
      </c>
      <c r="Q365">
        <v>95</v>
      </c>
      <c r="R365">
        <v>0</v>
      </c>
      <c r="S365">
        <v>143</v>
      </c>
      <c r="T365">
        <v>2</v>
      </c>
      <c r="U365" s="3">
        <f t="shared" si="43"/>
        <v>1</v>
      </c>
      <c r="V365" s="3">
        <f t="shared" si="44"/>
        <v>1</v>
      </c>
    </row>
    <row r="366" spans="1:22" x14ac:dyDescent="0.25">
      <c r="A366" s="2">
        <v>2017</v>
      </c>
      <c r="B366" t="s">
        <v>26</v>
      </c>
      <c r="C366" t="s">
        <v>22</v>
      </c>
      <c r="D366" s="2">
        <v>48</v>
      </c>
      <c r="E366" s="2">
        <v>7383</v>
      </c>
      <c r="F366" t="s">
        <v>419</v>
      </c>
      <c r="G366">
        <v>0</v>
      </c>
      <c r="H366">
        <v>0</v>
      </c>
      <c r="I366">
        <v>0</v>
      </c>
      <c r="J366">
        <v>0</v>
      </c>
      <c r="K366">
        <v>0</v>
      </c>
      <c r="L366" s="6">
        <f t="shared" si="40"/>
        <v>0</v>
      </c>
      <c r="M366">
        <v>2</v>
      </c>
      <c r="N366">
        <v>0</v>
      </c>
      <c r="O366" s="9">
        <v>0</v>
      </c>
      <c r="P366">
        <v>0</v>
      </c>
      <c r="Q366">
        <v>2</v>
      </c>
      <c r="R366">
        <v>0</v>
      </c>
      <c r="S366">
        <v>0</v>
      </c>
      <c r="T366">
        <v>0</v>
      </c>
      <c r="U366" s="3">
        <f t="shared" si="43"/>
        <v>1</v>
      </c>
      <c r="V366" s="3">
        <f t="shared" si="44"/>
        <v>1</v>
      </c>
    </row>
    <row r="367" spans="1:22" x14ac:dyDescent="0.25">
      <c r="A367" s="2">
        <v>2017</v>
      </c>
      <c r="B367" t="s">
        <v>26</v>
      </c>
      <c r="C367" t="s">
        <v>22</v>
      </c>
      <c r="D367" s="2">
        <v>129</v>
      </c>
      <c r="E367" s="2">
        <v>5246</v>
      </c>
      <c r="F367" t="s">
        <v>347</v>
      </c>
      <c r="G367">
        <v>1</v>
      </c>
      <c r="H367">
        <v>1</v>
      </c>
      <c r="I367">
        <v>0</v>
      </c>
      <c r="J367">
        <v>0</v>
      </c>
      <c r="K367">
        <v>0</v>
      </c>
      <c r="L367" s="6">
        <f t="shared" si="40"/>
        <v>1</v>
      </c>
      <c r="M367">
        <v>84</v>
      </c>
      <c r="N367">
        <v>14</v>
      </c>
      <c r="O367" s="9">
        <v>0</v>
      </c>
      <c r="P367">
        <v>0</v>
      </c>
      <c r="Q367">
        <v>23</v>
      </c>
      <c r="R367">
        <v>0</v>
      </c>
      <c r="S367">
        <v>46</v>
      </c>
      <c r="T367">
        <v>1</v>
      </c>
      <c r="U367" s="3">
        <f t="shared" si="43"/>
        <v>1</v>
      </c>
      <c r="V367" s="3">
        <f t="shared" si="44"/>
        <v>1</v>
      </c>
    </row>
    <row r="368" spans="1:22" x14ac:dyDescent="0.25">
      <c r="A368" s="2">
        <v>2017</v>
      </c>
      <c r="B368" t="s">
        <v>26</v>
      </c>
      <c r="C368" t="s">
        <v>22</v>
      </c>
      <c r="D368" s="2">
        <v>142</v>
      </c>
      <c r="E368" s="2">
        <v>122502</v>
      </c>
      <c r="F368" t="s">
        <v>372</v>
      </c>
      <c r="G368">
        <v>23</v>
      </c>
      <c r="H368">
        <v>23</v>
      </c>
      <c r="I368">
        <v>0</v>
      </c>
      <c r="J368">
        <v>0</v>
      </c>
      <c r="K368">
        <v>0</v>
      </c>
      <c r="L368" s="6">
        <f t="shared" si="40"/>
        <v>1</v>
      </c>
      <c r="M368">
        <v>355</v>
      </c>
      <c r="N368">
        <v>88</v>
      </c>
      <c r="O368" s="9">
        <v>0</v>
      </c>
      <c r="P368">
        <v>0</v>
      </c>
      <c r="Q368">
        <v>144</v>
      </c>
      <c r="R368">
        <v>1</v>
      </c>
      <c r="S368">
        <v>120</v>
      </c>
      <c r="T368">
        <v>2</v>
      </c>
      <c r="U368" s="3">
        <f t="shared" si="43"/>
        <v>0.9971830985915493</v>
      </c>
      <c r="V368" s="3">
        <f t="shared" si="44"/>
        <v>0.99735449735449733</v>
      </c>
    </row>
    <row r="369" spans="1:22" x14ac:dyDescent="0.25">
      <c r="A369" s="2">
        <v>2017</v>
      </c>
      <c r="B369" t="s">
        <v>26</v>
      </c>
      <c r="C369" t="s">
        <v>23</v>
      </c>
      <c r="D369" s="2">
        <v>489</v>
      </c>
      <c r="E369" s="2">
        <v>7740</v>
      </c>
      <c r="F369" t="s">
        <v>40</v>
      </c>
      <c r="G369">
        <v>16</v>
      </c>
      <c r="H369">
        <v>16</v>
      </c>
      <c r="I369">
        <v>0</v>
      </c>
      <c r="J369">
        <v>0</v>
      </c>
      <c r="K369">
        <v>0</v>
      </c>
      <c r="L369" s="6">
        <f t="shared" si="40"/>
        <v>1</v>
      </c>
      <c r="M369">
        <v>255</v>
      </c>
      <c r="N369">
        <v>37</v>
      </c>
      <c r="O369" s="9">
        <v>0</v>
      </c>
      <c r="P369">
        <v>0</v>
      </c>
      <c r="Q369">
        <v>89</v>
      </c>
      <c r="R369">
        <v>0</v>
      </c>
      <c r="S369">
        <v>122</v>
      </c>
      <c r="T369">
        <v>7</v>
      </c>
      <c r="U369" s="3">
        <f t="shared" si="43"/>
        <v>1</v>
      </c>
      <c r="V369" s="3">
        <f t="shared" si="44"/>
        <v>1</v>
      </c>
    </row>
    <row r="370" spans="1:22" x14ac:dyDescent="0.25">
      <c r="A370" s="2">
        <v>2017</v>
      </c>
      <c r="B370" t="s">
        <v>26</v>
      </c>
      <c r="C370" t="s">
        <v>23</v>
      </c>
      <c r="D370" s="2">
        <v>492</v>
      </c>
      <c r="E370" s="2">
        <v>7744</v>
      </c>
      <c r="F370" t="s">
        <v>374</v>
      </c>
      <c r="G370">
        <v>24</v>
      </c>
      <c r="H370">
        <v>24</v>
      </c>
      <c r="I370">
        <v>0</v>
      </c>
      <c r="J370">
        <v>0</v>
      </c>
      <c r="K370">
        <v>0</v>
      </c>
      <c r="L370" s="6">
        <f t="shared" si="40"/>
        <v>1</v>
      </c>
      <c r="M370">
        <v>328</v>
      </c>
      <c r="N370">
        <v>41</v>
      </c>
      <c r="O370" s="9">
        <v>0</v>
      </c>
      <c r="P370">
        <v>0</v>
      </c>
      <c r="Q370">
        <v>122</v>
      </c>
      <c r="R370">
        <v>8</v>
      </c>
      <c r="S370">
        <v>156</v>
      </c>
      <c r="T370">
        <v>1</v>
      </c>
      <c r="U370" s="3">
        <f t="shared" ref="U370:U382" si="45">IF(M370=0,0,((N370+O370+Q370+S370+T370)/M370))</f>
        <v>0.97560975609756095</v>
      </c>
      <c r="V370" s="3">
        <f t="shared" ref="V370:V382" si="46">(H370+I370+J370+N370+Q370+S370+T370)/(G370+M370)</f>
        <v>0.97727272727272729</v>
      </c>
    </row>
    <row r="371" spans="1:22" x14ac:dyDescent="0.25">
      <c r="A371" s="2">
        <v>2017</v>
      </c>
      <c r="B371" t="s">
        <v>26</v>
      </c>
      <c r="C371" t="s">
        <v>23</v>
      </c>
      <c r="D371" s="2">
        <v>555</v>
      </c>
      <c r="E371" s="2">
        <v>119114</v>
      </c>
      <c r="F371" t="s">
        <v>375</v>
      </c>
      <c r="G371">
        <v>17</v>
      </c>
      <c r="H371">
        <v>17</v>
      </c>
      <c r="I371">
        <v>0</v>
      </c>
      <c r="J371">
        <v>0</v>
      </c>
      <c r="K371">
        <v>0</v>
      </c>
      <c r="L371" s="6">
        <f t="shared" si="40"/>
        <v>1</v>
      </c>
      <c r="M371">
        <v>298</v>
      </c>
      <c r="N371">
        <v>52</v>
      </c>
      <c r="O371" s="9">
        <v>0</v>
      </c>
      <c r="P371">
        <v>0</v>
      </c>
      <c r="Q371">
        <v>135</v>
      </c>
      <c r="R371">
        <v>0</v>
      </c>
      <c r="S371">
        <v>105</v>
      </c>
      <c r="T371">
        <v>6</v>
      </c>
      <c r="U371" s="3">
        <f t="shared" si="45"/>
        <v>1</v>
      </c>
      <c r="V371" s="3">
        <f t="shared" si="46"/>
        <v>1</v>
      </c>
    </row>
    <row r="372" spans="1:22" x14ac:dyDescent="0.25">
      <c r="A372" s="2">
        <v>2017</v>
      </c>
      <c r="B372" t="s">
        <v>26</v>
      </c>
      <c r="C372" t="s">
        <v>23</v>
      </c>
      <c r="D372" s="2">
        <v>493</v>
      </c>
      <c r="E372" s="2">
        <v>7742</v>
      </c>
      <c r="F372" t="s">
        <v>376</v>
      </c>
      <c r="G372">
        <v>16</v>
      </c>
      <c r="H372">
        <v>16</v>
      </c>
      <c r="I372">
        <v>0</v>
      </c>
      <c r="J372">
        <v>0</v>
      </c>
      <c r="K372">
        <v>0</v>
      </c>
      <c r="L372" s="6">
        <f t="shared" si="40"/>
        <v>1</v>
      </c>
      <c r="M372">
        <v>219</v>
      </c>
      <c r="N372">
        <v>37</v>
      </c>
      <c r="O372" s="9">
        <v>0</v>
      </c>
      <c r="P372">
        <v>0</v>
      </c>
      <c r="Q372">
        <v>65</v>
      </c>
      <c r="R372">
        <v>0</v>
      </c>
      <c r="S372">
        <v>114</v>
      </c>
      <c r="T372">
        <v>3</v>
      </c>
      <c r="U372" s="3">
        <f t="shared" si="45"/>
        <v>1</v>
      </c>
      <c r="V372" s="3">
        <f t="shared" si="46"/>
        <v>1</v>
      </c>
    </row>
    <row r="373" spans="1:22" x14ac:dyDescent="0.25">
      <c r="A373" s="2">
        <v>2017</v>
      </c>
      <c r="B373" t="s">
        <v>26</v>
      </c>
      <c r="C373" t="s">
        <v>23</v>
      </c>
      <c r="D373" s="2">
        <v>593</v>
      </c>
      <c r="E373" s="2">
        <v>122796</v>
      </c>
      <c r="F373" t="s">
        <v>379</v>
      </c>
      <c r="G373">
        <v>20</v>
      </c>
      <c r="H373">
        <v>20</v>
      </c>
      <c r="I373">
        <v>0</v>
      </c>
      <c r="J373">
        <v>0</v>
      </c>
      <c r="K373">
        <v>0</v>
      </c>
      <c r="L373" s="6">
        <f t="shared" si="40"/>
        <v>1</v>
      </c>
      <c r="M373">
        <v>350</v>
      </c>
      <c r="N373">
        <v>60</v>
      </c>
      <c r="O373" s="9">
        <v>0</v>
      </c>
      <c r="P373">
        <v>0</v>
      </c>
      <c r="Q373">
        <v>140</v>
      </c>
      <c r="R373">
        <v>0</v>
      </c>
      <c r="S373">
        <v>148</v>
      </c>
      <c r="T373">
        <v>2</v>
      </c>
      <c r="U373" s="3">
        <f t="shared" si="45"/>
        <v>1</v>
      </c>
      <c r="V373" s="3">
        <f t="shared" si="46"/>
        <v>1</v>
      </c>
    </row>
    <row r="374" spans="1:22" x14ac:dyDescent="0.25">
      <c r="A374" s="2">
        <v>2017</v>
      </c>
      <c r="B374" t="s">
        <v>26</v>
      </c>
      <c r="C374" t="s">
        <v>23</v>
      </c>
      <c r="D374" s="2">
        <v>592</v>
      </c>
      <c r="E374" s="2">
        <v>122956</v>
      </c>
      <c r="F374" t="s">
        <v>381</v>
      </c>
      <c r="G374">
        <v>7</v>
      </c>
      <c r="H374">
        <v>7</v>
      </c>
      <c r="I374">
        <v>0</v>
      </c>
      <c r="J374">
        <v>0</v>
      </c>
      <c r="K374">
        <v>0</v>
      </c>
      <c r="L374" s="6">
        <f t="shared" si="40"/>
        <v>1</v>
      </c>
      <c r="M374">
        <v>195</v>
      </c>
      <c r="N374">
        <v>36</v>
      </c>
      <c r="O374" s="9">
        <v>0</v>
      </c>
      <c r="P374">
        <v>0</v>
      </c>
      <c r="Q374">
        <v>63</v>
      </c>
      <c r="R374">
        <v>0</v>
      </c>
      <c r="S374">
        <v>95</v>
      </c>
      <c r="T374">
        <v>1</v>
      </c>
      <c r="U374" s="3">
        <f t="shared" si="45"/>
        <v>1</v>
      </c>
      <c r="V374" s="3">
        <f t="shared" si="46"/>
        <v>1</v>
      </c>
    </row>
    <row r="375" spans="1:22" x14ac:dyDescent="0.25">
      <c r="A375" s="2">
        <v>2017</v>
      </c>
      <c r="B375" t="s">
        <v>26</v>
      </c>
      <c r="C375" t="s">
        <v>23</v>
      </c>
      <c r="D375" s="2">
        <v>494</v>
      </c>
      <c r="E375" s="2">
        <v>7743</v>
      </c>
      <c r="F375" t="s">
        <v>383</v>
      </c>
      <c r="G375">
        <v>29</v>
      </c>
      <c r="H375">
        <v>29</v>
      </c>
      <c r="I375">
        <v>0</v>
      </c>
      <c r="J375">
        <v>0</v>
      </c>
      <c r="K375">
        <v>0</v>
      </c>
      <c r="L375" s="6">
        <f t="shared" si="40"/>
        <v>1</v>
      </c>
      <c r="M375">
        <v>543</v>
      </c>
      <c r="N375">
        <v>110</v>
      </c>
      <c r="O375" s="9">
        <v>0</v>
      </c>
      <c r="P375">
        <v>0</v>
      </c>
      <c r="Q375">
        <v>169</v>
      </c>
      <c r="R375">
        <v>3</v>
      </c>
      <c r="S375">
        <v>259</v>
      </c>
      <c r="T375">
        <v>2</v>
      </c>
      <c r="U375" s="3">
        <f t="shared" si="45"/>
        <v>0.99447513812154698</v>
      </c>
      <c r="V375" s="3">
        <f t="shared" si="46"/>
        <v>0.99475524475524479</v>
      </c>
    </row>
    <row r="376" spans="1:22" x14ac:dyDescent="0.25">
      <c r="A376" s="2">
        <v>2017</v>
      </c>
      <c r="B376" t="s">
        <v>26</v>
      </c>
      <c r="C376" t="s">
        <v>23</v>
      </c>
      <c r="D376" s="2">
        <v>534</v>
      </c>
      <c r="E376" s="2">
        <v>10480</v>
      </c>
      <c r="F376" t="s">
        <v>384</v>
      </c>
      <c r="G376">
        <v>0</v>
      </c>
      <c r="H376">
        <v>0</v>
      </c>
      <c r="I376">
        <v>0</v>
      </c>
      <c r="J376">
        <v>0</v>
      </c>
      <c r="K376">
        <v>0</v>
      </c>
      <c r="L376" s="6">
        <f t="shared" si="40"/>
        <v>0</v>
      </c>
      <c r="M376">
        <v>2</v>
      </c>
      <c r="N376">
        <v>1</v>
      </c>
      <c r="O376" s="9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 s="3">
        <f t="shared" si="45"/>
        <v>1</v>
      </c>
      <c r="V376" s="3">
        <f t="shared" si="46"/>
        <v>1</v>
      </c>
    </row>
    <row r="377" spans="1:22" x14ac:dyDescent="0.25">
      <c r="A377" s="2">
        <v>2017</v>
      </c>
      <c r="B377" t="s">
        <v>26</v>
      </c>
      <c r="C377" t="s">
        <v>23</v>
      </c>
      <c r="D377" s="2">
        <v>278</v>
      </c>
      <c r="E377" s="2">
        <v>5803</v>
      </c>
      <c r="F377" t="s">
        <v>385</v>
      </c>
      <c r="G377">
        <v>0</v>
      </c>
      <c r="H377">
        <v>0</v>
      </c>
      <c r="I377">
        <v>0</v>
      </c>
      <c r="J377">
        <v>0</v>
      </c>
      <c r="K377">
        <v>0</v>
      </c>
      <c r="L377" s="6">
        <f t="shared" si="40"/>
        <v>0</v>
      </c>
      <c r="M377">
        <v>1</v>
      </c>
      <c r="N377">
        <v>1</v>
      </c>
      <c r="O377" s="9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s="3">
        <f t="shared" si="45"/>
        <v>1</v>
      </c>
      <c r="V377" s="3">
        <f t="shared" si="46"/>
        <v>1</v>
      </c>
    </row>
    <row r="378" spans="1:22" x14ac:dyDescent="0.25">
      <c r="A378" s="2">
        <v>2017</v>
      </c>
      <c r="B378" t="s">
        <v>26</v>
      </c>
      <c r="C378" t="s">
        <v>23</v>
      </c>
      <c r="D378" s="2">
        <v>496</v>
      </c>
      <c r="E378" s="2">
        <v>7741</v>
      </c>
      <c r="F378" t="s">
        <v>387</v>
      </c>
      <c r="G378">
        <v>21</v>
      </c>
      <c r="H378">
        <v>21</v>
      </c>
      <c r="I378">
        <v>0</v>
      </c>
      <c r="J378">
        <v>0</v>
      </c>
      <c r="K378">
        <v>0</v>
      </c>
      <c r="L378" s="6">
        <f t="shared" si="40"/>
        <v>1</v>
      </c>
      <c r="M378">
        <v>396</v>
      </c>
      <c r="N378">
        <v>56</v>
      </c>
      <c r="O378" s="9">
        <v>0</v>
      </c>
      <c r="P378">
        <v>0</v>
      </c>
      <c r="Q378">
        <v>142</v>
      </c>
      <c r="R378">
        <v>1</v>
      </c>
      <c r="S378">
        <v>195</v>
      </c>
      <c r="T378">
        <v>2</v>
      </c>
      <c r="U378" s="3">
        <f t="shared" si="45"/>
        <v>0.99747474747474751</v>
      </c>
      <c r="V378" s="3">
        <f t="shared" si="46"/>
        <v>0.99760191846522783</v>
      </c>
    </row>
    <row r="379" spans="1:22" x14ac:dyDescent="0.25">
      <c r="A379" s="2">
        <v>2017</v>
      </c>
      <c r="B379" t="s">
        <v>26</v>
      </c>
      <c r="C379" t="s">
        <v>23</v>
      </c>
      <c r="D379" s="2">
        <v>444</v>
      </c>
      <c r="E379" s="2">
        <v>7314</v>
      </c>
      <c r="F379" t="s">
        <v>388</v>
      </c>
      <c r="G379">
        <v>13</v>
      </c>
      <c r="H379">
        <v>13</v>
      </c>
      <c r="I379">
        <v>0</v>
      </c>
      <c r="J379">
        <v>0</v>
      </c>
      <c r="K379">
        <v>0</v>
      </c>
      <c r="L379" s="6">
        <f t="shared" si="40"/>
        <v>1</v>
      </c>
      <c r="M379">
        <v>209</v>
      </c>
      <c r="N379">
        <v>24</v>
      </c>
      <c r="O379" s="9">
        <v>0</v>
      </c>
      <c r="P379">
        <v>0</v>
      </c>
      <c r="Q379">
        <v>68</v>
      </c>
      <c r="R379">
        <v>1</v>
      </c>
      <c r="S379">
        <v>116</v>
      </c>
      <c r="T379">
        <v>0</v>
      </c>
      <c r="U379" s="3">
        <f t="shared" si="45"/>
        <v>0.99521531100478466</v>
      </c>
      <c r="V379" s="3">
        <f t="shared" si="46"/>
        <v>0.99549549549549554</v>
      </c>
    </row>
    <row r="380" spans="1:22" x14ac:dyDescent="0.25">
      <c r="A380" s="2">
        <v>2017</v>
      </c>
      <c r="B380" t="s">
        <v>26</v>
      </c>
      <c r="C380" t="s">
        <v>23</v>
      </c>
      <c r="D380" s="2">
        <v>505</v>
      </c>
      <c r="E380" s="2">
        <v>8344</v>
      </c>
      <c r="F380" t="s">
        <v>389</v>
      </c>
      <c r="G380">
        <v>26</v>
      </c>
      <c r="H380">
        <v>26</v>
      </c>
      <c r="I380">
        <v>0</v>
      </c>
      <c r="J380">
        <v>0</v>
      </c>
      <c r="K380">
        <v>0</v>
      </c>
      <c r="L380" s="6">
        <f t="shared" si="40"/>
        <v>1</v>
      </c>
      <c r="M380">
        <v>399</v>
      </c>
      <c r="N380">
        <v>61</v>
      </c>
      <c r="O380" s="9">
        <v>0</v>
      </c>
      <c r="P380">
        <v>0</v>
      </c>
      <c r="Q380">
        <v>162</v>
      </c>
      <c r="R380">
        <v>0</v>
      </c>
      <c r="S380">
        <v>174</v>
      </c>
      <c r="T380">
        <v>2</v>
      </c>
      <c r="U380" s="3">
        <f t="shared" si="45"/>
        <v>1</v>
      </c>
      <c r="V380" s="3">
        <f t="shared" si="46"/>
        <v>1</v>
      </c>
    </row>
    <row r="381" spans="1:22" x14ac:dyDescent="0.25">
      <c r="A381" s="2">
        <v>2017</v>
      </c>
      <c r="B381" t="s">
        <v>26</v>
      </c>
      <c r="C381" t="s">
        <v>23</v>
      </c>
      <c r="D381" s="2">
        <v>599</v>
      </c>
      <c r="E381" s="2">
        <v>123211</v>
      </c>
      <c r="F381" t="s">
        <v>422</v>
      </c>
      <c r="G381">
        <v>0</v>
      </c>
      <c r="H381">
        <v>0</v>
      </c>
      <c r="I381">
        <v>0</v>
      </c>
      <c r="J381">
        <v>0</v>
      </c>
      <c r="K381">
        <v>0</v>
      </c>
      <c r="L381" s="6">
        <f t="shared" si="40"/>
        <v>0</v>
      </c>
      <c r="M381">
        <v>2</v>
      </c>
      <c r="N381">
        <v>0</v>
      </c>
      <c r="O381" s="9">
        <v>0</v>
      </c>
      <c r="P381">
        <v>0</v>
      </c>
      <c r="Q381">
        <v>1</v>
      </c>
      <c r="R381">
        <v>0</v>
      </c>
      <c r="S381">
        <v>1</v>
      </c>
      <c r="T381">
        <v>0</v>
      </c>
      <c r="U381" s="3">
        <f t="shared" si="45"/>
        <v>1</v>
      </c>
      <c r="V381" s="3">
        <f t="shared" si="46"/>
        <v>1</v>
      </c>
    </row>
    <row r="382" spans="1:22" x14ac:dyDescent="0.25">
      <c r="A382" s="2">
        <v>2017</v>
      </c>
      <c r="B382" t="s">
        <v>26</v>
      </c>
      <c r="C382" t="s">
        <v>24</v>
      </c>
      <c r="D382" s="2">
        <v>136</v>
      </c>
      <c r="E382" s="2">
        <v>121923</v>
      </c>
      <c r="F382" t="s">
        <v>41</v>
      </c>
      <c r="G382">
        <v>12</v>
      </c>
      <c r="H382">
        <v>12</v>
      </c>
      <c r="I382">
        <v>0</v>
      </c>
      <c r="J382">
        <v>0</v>
      </c>
      <c r="K382">
        <v>0</v>
      </c>
      <c r="L382" s="6">
        <f t="shared" si="40"/>
        <v>1</v>
      </c>
      <c r="M382">
        <v>161</v>
      </c>
      <c r="N382">
        <v>27</v>
      </c>
      <c r="O382" s="9">
        <v>0</v>
      </c>
      <c r="P382">
        <v>0</v>
      </c>
      <c r="Q382">
        <v>63</v>
      </c>
      <c r="R382">
        <v>0</v>
      </c>
      <c r="S382">
        <v>71</v>
      </c>
      <c r="T382">
        <v>0</v>
      </c>
      <c r="U382" s="3">
        <f t="shared" si="45"/>
        <v>1</v>
      </c>
      <c r="V382" s="3">
        <f t="shared" si="46"/>
        <v>1</v>
      </c>
    </row>
    <row r="383" spans="1:22" x14ac:dyDescent="0.25">
      <c r="A383" s="2">
        <v>2017</v>
      </c>
      <c r="B383" t="s">
        <v>26</v>
      </c>
      <c r="C383" t="s">
        <v>24</v>
      </c>
      <c r="D383" s="2">
        <v>13</v>
      </c>
      <c r="E383" s="2">
        <v>5621</v>
      </c>
      <c r="F383" t="s">
        <v>390</v>
      </c>
      <c r="G383">
        <v>10</v>
      </c>
      <c r="H383">
        <v>10</v>
      </c>
      <c r="I383">
        <v>0</v>
      </c>
      <c r="J383">
        <v>0</v>
      </c>
      <c r="K383">
        <v>0</v>
      </c>
      <c r="L383" s="6">
        <f t="shared" si="40"/>
        <v>1</v>
      </c>
      <c r="M383">
        <v>344</v>
      </c>
      <c r="N383">
        <v>65</v>
      </c>
      <c r="O383" s="9">
        <v>0</v>
      </c>
      <c r="P383">
        <v>0</v>
      </c>
      <c r="Q383">
        <v>134</v>
      </c>
      <c r="R383">
        <v>2</v>
      </c>
      <c r="S383">
        <v>142</v>
      </c>
      <c r="T383">
        <v>1</v>
      </c>
      <c r="U383" s="3">
        <f t="shared" ref="U383:U409" si="47">IF(M383=0,0,((N383+O383+Q383+S383+T383)/M383))</f>
        <v>0.9941860465116279</v>
      </c>
      <c r="V383" s="3">
        <f t="shared" ref="V383:V409" si="48">(H383+I383+J383+N383+Q383+S383+T383)/(G383+M383)</f>
        <v>0.99435028248587576</v>
      </c>
    </row>
    <row r="384" spans="1:22" x14ac:dyDescent="0.25">
      <c r="A384" s="2">
        <v>2017</v>
      </c>
      <c r="B384" t="s">
        <v>26</v>
      </c>
      <c r="C384" t="s">
        <v>24</v>
      </c>
      <c r="D384" s="2">
        <v>115</v>
      </c>
      <c r="E384" s="2">
        <v>119430</v>
      </c>
      <c r="F384" t="s">
        <v>391</v>
      </c>
      <c r="G384">
        <v>4</v>
      </c>
      <c r="H384">
        <v>4</v>
      </c>
      <c r="I384">
        <v>0</v>
      </c>
      <c r="J384">
        <v>0</v>
      </c>
      <c r="K384">
        <v>0</v>
      </c>
      <c r="L384" s="6">
        <f t="shared" si="40"/>
        <v>1</v>
      </c>
      <c r="M384">
        <v>133</v>
      </c>
      <c r="N384">
        <v>24</v>
      </c>
      <c r="O384" s="9">
        <v>0</v>
      </c>
      <c r="P384">
        <v>0</v>
      </c>
      <c r="Q384">
        <v>56</v>
      </c>
      <c r="R384">
        <v>0</v>
      </c>
      <c r="S384">
        <v>53</v>
      </c>
      <c r="T384">
        <v>0</v>
      </c>
      <c r="U384" s="3">
        <f t="shared" si="47"/>
        <v>1</v>
      </c>
      <c r="V384" s="3">
        <f t="shared" si="48"/>
        <v>1</v>
      </c>
    </row>
    <row r="385" spans="1:22" x14ac:dyDescent="0.25">
      <c r="A385" s="2">
        <v>2017</v>
      </c>
      <c r="B385" t="s">
        <v>26</v>
      </c>
      <c r="C385" t="s">
        <v>24</v>
      </c>
      <c r="D385" s="2">
        <v>16</v>
      </c>
      <c r="E385" s="2">
        <v>5774</v>
      </c>
      <c r="F385" t="s">
        <v>392</v>
      </c>
      <c r="G385">
        <v>4</v>
      </c>
      <c r="H385">
        <v>4</v>
      </c>
      <c r="I385">
        <v>0</v>
      </c>
      <c r="J385">
        <v>0</v>
      </c>
      <c r="K385">
        <v>0</v>
      </c>
      <c r="L385" s="6">
        <f t="shared" si="40"/>
        <v>1</v>
      </c>
      <c r="M385">
        <v>184</v>
      </c>
      <c r="N385">
        <v>47</v>
      </c>
      <c r="O385" s="9">
        <v>0</v>
      </c>
      <c r="P385">
        <v>0</v>
      </c>
      <c r="Q385">
        <v>62</v>
      </c>
      <c r="R385">
        <v>5</v>
      </c>
      <c r="S385">
        <v>68</v>
      </c>
      <c r="T385">
        <v>2</v>
      </c>
      <c r="U385" s="3">
        <f t="shared" si="47"/>
        <v>0.97282608695652173</v>
      </c>
      <c r="V385" s="3">
        <f t="shared" si="48"/>
        <v>0.97340425531914898</v>
      </c>
    </row>
    <row r="386" spans="1:22" x14ac:dyDescent="0.25">
      <c r="A386" s="2">
        <v>2017</v>
      </c>
      <c r="B386" t="s">
        <v>26</v>
      </c>
      <c r="C386" t="s">
        <v>24</v>
      </c>
      <c r="D386" s="2">
        <v>107</v>
      </c>
      <c r="E386" s="2">
        <v>119171</v>
      </c>
      <c r="F386" t="s">
        <v>393</v>
      </c>
      <c r="G386">
        <v>14</v>
      </c>
      <c r="H386">
        <v>14</v>
      </c>
      <c r="I386">
        <v>0</v>
      </c>
      <c r="J386">
        <v>0</v>
      </c>
      <c r="K386">
        <v>0</v>
      </c>
      <c r="L386" s="6">
        <f t="shared" ref="L386:L449" si="49">IF(G386=0,0,SUM(H386:J386)/G386)</f>
        <v>1</v>
      </c>
      <c r="M386">
        <v>163</v>
      </c>
      <c r="N386">
        <v>31</v>
      </c>
      <c r="O386" s="9">
        <v>0</v>
      </c>
      <c r="P386">
        <v>0</v>
      </c>
      <c r="Q386">
        <v>57</v>
      </c>
      <c r="R386">
        <v>0</v>
      </c>
      <c r="S386">
        <v>75</v>
      </c>
      <c r="T386">
        <v>0</v>
      </c>
      <c r="U386" s="3">
        <f t="shared" si="47"/>
        <v>1</v>
      </c>
      <c r="V386" s="3">
        <f t="shared" si="48"/>
        <v>1</v>
      </c>
    </row>
    <row r="387" spans="1:22" x14ac:dyDescent="0.25">
      <c r="A387" s="2">
        <v>2017</v>
      </c>
      <c r="B387" t="s">
        <v>26</v>
      </c>
      <c r="C387" t="s">
        <v>24</v>
      </c>
      <c r="D387" s="2">
        <v>58</v>
      </c>
      <c r="E387" s="2">
        <v>7621</v>
      </c>
      <c r="F387" t="s">
        <v>355</v>
      </c>
      <c r="G387">
        <v>0</v>
      </c>
      <c r="H387">
        <v>0</v>
      </c>
      <c r="I387">
        <v>0</v>
      </c>
      <c r="J387">
        <v>0</v>
      </c>
      <c r="K387">
        <v>0</v>
      </c>
      <c r="L387" s="6">
        <f t="shared" si="49"/>
        <v>0</v>
      </c>
      <c r="M387">
        <v>1</v>
      </c>
      <c r="N387">
        <v>0</v>
      </c>
      <c r="O387" s="9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 s="3">
        <f t="shared" si="47"/>
        <v>1</v>
      </c>
      <c r="V387" s="3">
        <f t="shared" si="48"/>
        <v>1</v>
      </c>
    </row>
    <row r="388" spans="1:22" x14ac:dyDescent="0.25">
      <c r="A388" s="2">
        <v>2017</v>
      </c>
      <c r="B388" t="s">
        <v>26</v>
      </c>
      <c r="C388" t="s">
        <v>24</v>
      </c>
      <c r="D388" s="2">
        <v>104</v>
      </c>
      <c r="E388" s="2">
        <v>118880</v>
      </c>
      <c r="F388" t="s">
        <v>394</v>
      </c>
      <c r="G388">
        <v>14</v>
      </c>
      <c r="H388">
        <v>14</v>
      </c>
      <c r="I388">
        <v>0</v>
      </c>
      <c r="J388">
        <v>0</v>
      </c>
      <c r="K388">
        <v>0</v>
      </c>
      <c r="L388" s="6">
        <f t="shared" si="49"/>
        <v>1</v>
      </c>
      <c r="M388">
        <v>192</v>
      </c>
      <c r="N388">
        <v>31</v>
      </c>
      <c r="O388" s="9">
        <v>0</v>
      </c>
      <c r="P388">
        <v>0</v>
      </c>
      <c r="Q388">
        <v>88</v>
      </c>
      <c r="R388">
        <v>0</v>
      </c>
      <c r="S388">
        <v>73</v>
      </c>
      <c r="T388">
        <v>0</v>
      </c>
      <c r="U388" s="3">
        <f t="shared" si="47"/>
        <v>1</v>
      </c>
      <c r="V388" s="3">
        <f t="shared" si="48"/>
        <v>1</v>
      </c>
    </row>
    <row r="389" spans="1:22" x14ac:dyDescent="0.25">
      <c r="A389" s="2">
        <v>2017</v>
      </c>
      <c r="B389" t="s">
        <v>26</v>
      </c>
      <c r="C389" t="s">
        <v>24</v>
      </c>
      <c r="D389" s="2">
        <v>132</v>
      </c>
      <c r="E389" s="2">
        <v>121352</v>
      </c>
      <c r="F389" t="s">
        <v>395</v>
      </c>
      <c r="G389">
        <v>12</v>
      </c>
      <c r="H389">
        <v>12</v>
      </c>
      <c r="I389">
        <v>0</v>
      </c>
      <c r="J389">
        <v>0</v>
      </c>
      <c r="K389">
        <v>0</v>
      </c>
      <c r="L389" s="6">
        <f t="shared" si="49"/>
        <v>1</v>
      </c>
      <c r="M389">
        <v>253</v>
      </c>
      <c r="N389">
        <v>57</v>
      </c>
      <c r="O389" s="9">
        <v>0</v>
      </c>
      <c r="P389">
        <v>0</v>
      </c>
      <c r="Q389">
        <v>84</v>
      </c>
      <c r="R389">
        <v>2</v>
      </c>
      <c r="S389">
        <v>108</v>
      </c>
      <c r="T389">
        <v>2</v>
      </c>
      <c r="U389" s="3">
        <f t="shared" si="47"/>
        <v>0.9920948616600791</v>
      </c>
      <c r="V389" s="3">
        <f t="shared" si="48"/>
        <v>0.99245283018867925</v>
      </c>
    </row>
    <row r="390" spans="1:22" x14ac:dyDescent="0.25">
      <c r="A390" s="2">
        <v>2017</v>
      </c>
      <c r="B390" t="s">
        <v>26</v>
      </c>
      <c r="C390" t="s">
        <v>24</v>
      </c>
      <c r="D390" s="2">
        <v>84</v>
      </c>
      <c r="E390" s="2">
        <v>9529</v>
      </c>
      <c r="F390" t="s">
        <v>396</v>
      </c>
      <c r="G390">
        <v>14</v>
      </c>
      <c r="H390">
        <v>14</v>
      </c>
      <c r="I390">
        <v>0</v>
      </c>
      <c r="J390">
        <v>0</v>
      </c>
      <c r="K390">
        <v>0</v>
      </c>
      <c r="L390" s="6">
        <f t="shared" si="49"/>
        <v>1</v>
      </c>
      <c r="M390">
        <v>218</v>
      </c>
      <c r="N390">
        <v>43</v>
      </c>
      <c r="O390" s="9">
        <v>0</v>
      </c>
      <c r="P390">
        <v>1</v>
      </c>
      <c r="Q390">
        <v>105</v>
      </c>
      <c r="R390">
        <v>0</v>
      </c>
      <c r="S390">
        <v>69</v>
      </c>
      <c r="T390">
        <v>0</v>
      </c>
      <c r="U390" s="3">
        <f t="shared" si="47"/>
        <v>0.99541284403669728</v>
      </c>
      <c r="V390" s="3">
        <f t="shared" si="48"/>
        <v>0.99568965517241381</v>
      </c>
    </row>
    <row r="391" spans="1:22" x14ac:dyDescent="0.25">
      <c r="A391" s="2">
        <v>2017</v>
      </c>
      <c r="B391" t="s">
        <v>26</v>
      </c>
      <c r="C391" t="s">
        <v>24</v>
      </c>
      <c r="D391" s="2">
        <v>113</v>
      </c>
      <c r="E391" s="2">
        <v>119349</v>
      </c>
      <c r="F391" t="s">
        <v>397</v>
      </c>
      <c r="G391">
        <v>11</v>
      </c>
      <c r="H391">
        <v>11</v>
      </c>
      <c r="I391">
        <v>0</v>
      </c>
      <c r="J391">
        <v>0</v>
      </c>
      <c r="K391">
        <v>0</v>
      </c>
      <c r="L391" s="6">
        <f t="shared" si="49"/>
        <v>1</v>
      </c>
      <c r="M391">
        <v>208</v>
      </c>
      <c r="N391">
        <v>31</v>
      </c>
      <c r="O391" s="9">
        <v>0</v>
      </c>
      <c r="P391">
        <v>0</v>
      </c>
      <c r="Q391">
        <v>86</v>
      </c>
      <c r="R391">
        <v>0</v>
      </c>
      <c r="S391">
        <v>89</v>
      </c>
      <c r="T391">
        <v>2</v>
      </c>
      <c r="U391" s="3">
        <f t="shared" si="47"/>
        <v>1</v>
      </c>
      <c r="V391" s="3">
        <f t="shared" si="48"/>
        <v>1</v>
      </c>
    </row>
    <row r="392" spans="1:22" x14ac:dyDescent="0.25">
      <c r="A392" s="2">
        <v>2017</v>
      </c>
      <c r="B392" t="s">
        <v>26</v>
      </c>
      <c r="C392" t="s">
        <v>24</v>
      </c>
      <c r="D392" s="2">
        <v>135</v>
      </c>
      <c r="E392" s="2">
        <v>121924</v>
      </c>
      <c r="F392" t="s">
        <v>398</v>
      </c>
      <c r="G392">
        <v>10</v>
      </c>
      <c r="H392">
        <v>10</v>
      </c>
      <c r="I392">
        <v>0</v>
      </c>
      <c r="J392">
        <v>0</v>
      </c>
      <c r="K392">
        <v>0</v>
      </c>
      <c r="L392" s="6">
        <f t="shared" si="49"/>
        <v>1</v>
      </c>
      <c r="M392">
        <v>140</v>
      </c>
      <c r="N392">
        <v>29</v>
      </c>
      <c r="O392" s="9">
        <v>0</v>
      </c>
      <c r="P392">
        <v>0</v>
      </c>
      <c r="Q392">
        <v>65</v>
      </c>
      <c r="R392">
        <v>0</v>
      </c>
      <c r="S392">
        <v>45</v>
      </c>
      <c r="T392">
        <v>1</v>
      </c>
      <c r="U392" s="3">
        <f t="shared" si="47"/>
        <v>1</v>
      </c>
      <c r="V392" s="3">
        <f t="shared" si="48"/>
        <v>1</v>
      </c>
    </row>
    <row r="393" spans="1:22" x14ac:dyDescent="0.25">
      <c r="A393" s="2">
        <v>2017</v>
      </c>
      <c r="B393" t="s">
        <v>26</v>
      </c>
      <c r="C393" t="s">
        <v>24</v>
      </c>
      <c r="D393" s="2">
        <v>110</v>
      </c>
      <c r="E393" s="2">
        <v>118697</v>
      </c>
      <c r="F393" t="s">
        <v>399</v>
      </c>
      <c r="G393">
        <v>8</v>
      </c>
      <c r="H393">
        <v>8</v>
      </c>
      <c r="I393">
        <v>0</v>
      </c>
      <c r="J393">
        <v>0</v>
      </c>
      <c r="K393">
        <v>0</v>
      </c>
      <c r="L393" s="6">
        <f t="shared" si="49"/>
        <v>1</v>
      </c>
      <c r="M393">
        <v>159</v>
      </c>
      <c r="N393">
        <v>26</v>
      </c>
      <c r="O393" s="9">
        <v>0</v>
      </c>
      <c r="P393">
        <v>0</v>
      </c>
      <c r="Q393">
        <v>61</v>
      </c>
      <c r="R393">
        <v>0</v>
      </c>
      <c r="S393">
        <v>71</v>
      </c>
      <c r="T393">
        <v>1</v>
      </c>
      <c r="U393" s="3">
        <f t="shared" si="47"/>
        <v>1</v>
      </c>
      <c r="V393" s="3">
        <f t="shared" si="48"/>
        <v>1</v>
      </c>
    </row>
    <row r="394" spans="1:22" x14ac:dyDescent="0.25">
      <c r="A394" s="2">
        <v>2017</v>
      </c>
      <c r="B394" t="s">
        <v>26</v>
      </c>
      <c r="C394" t="s">
        <v>24</v>
      </c>
      <c r="D394" s="2">
        <v>85</v>
      </c>
      <c r="E394" s="2">
        <v>10528</v>
      </c>
      <c r="F394" t="s">
        <v>400</v>
      </c>
      <c r="G394">
        <v>3</v>
      </c>
      <c r="H394">
        <v>3</v>
      </c>
      <c r="I394">
        <v>0</v>
      </c>
      <c r="J394">
        <v>0</v>
      </c>
      <c r="K394">
        <v>0</v>
      </c>
      <c r="L394" s="6">
        <f t="shared" si="49"/>
        <v>1</v>
      </c>
      <c r="M394">
        <v>102</v>
      </c>
      <c r="N394">
        <v>25</v>
      </c>
      <c r="O394" s="9">
        <v>0</v>
      </c>
      <c r="P394">
        <v>0</v>
      </c>
      <c r="Q394">
        <v>37</v>
      </c>
      <c r="R394">
        <v>0</v>
      </c>
      <c r="S394">
        <v>40</v>
      </c>
      <c r="T394">
        <v>0</v>
      </c>
      <c r="U394" s="3">
        <f t="shared" si="47"/>
        <v>1</v>
      </c>
      <c r="V394" s="3">
        <f t="shared" si="48"/>
        <v>1</v>
      </c>
    </row>
    <row r="395" spans="1:22" x14ac:dyDescent="0.25">
      <c r="A395" s="2">
        <v>2017</v>
      </c>
      <c r="B395" t="s">
        <v>26</v>
      </c>
      <c r="C395" t="s">
        <v>24</v>
      </c>
      <c r="D395" s="2">
        <v>93</v>
      </c>
      <c r="E395" s="2">
        <v>118657</v>
      </c>
      <c r="F395" t="s">
        <v>401</v>
      </c>
      <c r="G395">
        <v>12</v>
      </c>
      <c r="H395">
        <v>12</v>
      </c>
      <c r="I395">
        <v>0</v>
      </c>
      <c r="J395">
        <v>0</v>
      </c>
      <c r="K395">
        <v>0</v>
      </c>
      <c r="L395" s="6">
        <f t="shared" si="49"/>
        <v>1</v>
      </c>
      <c r="M395">
        <v>185</v>
      </c>
      <c r="N395">
        <v>34</v>
      </c>
      <c r="O395" s="9">
        <v>0</v>
      </c>
      <c r="P395">
        <v>0</v>
      </c>
      <c r="Q395">
        <v>78</v>
      </c>
      <c r="R395">
        <v>0</v>
      </c>
      <c r="S395">
        <v>73</v>
      </c>
      <c r="T395">
        <v>0</v>
      </c>
      <c r="U395" s="3">
        <f t="shared" si="47"/>
        <v>1</v>
      </c>
      <c r="V395" s="3">
        <f t="shared" si="48"/>
        <v>1</v>
      </c>
    </row>
    <row r="396" spans="1:22" x14ac:dyDescent="0.25">
      <c r="A396" s="2">
        <v>2017</v>
      </c>
      <c r="B396" t="s">
        <v>26</v>
      </c>
      <c r="C396" t="s">
        <v>24</v>
      </c>
      <c r="D396" s="2">
        <v>36</v>
      </c>
      <c r="E396" s="2">
        <v>118472</v>
      </c>
      <c r="F396" t="s">
        <v>503</v>
      </c>
      <c r="G396">
        <v>15</v>
      </c>
      <c r="H396">
        <v>15</v>
      </c>
      <c r="I396">
        <v>0</v>
      </c>
      <c r="J396">
        <v>0</v>
      </c>
      <c r="K396">
        <v>0</v>
      </c>
      <c r="L396" s="6">
        <f t="shared" si="49"/>
        <v>1</v>
      </c>
      <c r="M396">
        <v>309</v>
      </c>
      <c r="N396">
        <v>60</v>
      </c>
      <c r="O396" s="9">
        <v>0</v>
      </c>
      <c r="P396">
        <v>1</v>
      </c>
      <c r="Q396">
        <v>116</v>
      </c>
      <c r="R396">
        <v>4</v>
      </c>
      <c r="S396">
        <v>128</v>
      </c>
      <c r="T396">
        <v>0</v>
      </c>
      <c r="U396" s="3">
        <f t="shared" si="47"/>
        <v>0.98381877022653719</v>
      </c>
      <c r="V396" s="3">
        <f t="shared" si="48"/>
        <v>0.98456790123456794</v>
      </c>
    </row>
    <row r="397" spans="1:22" x14ac:dyDescent="0.25">
      <c r="A397" s="2">
        <v>2017</v>
      </c>
      <c r="B397" t="s">
        <v>26</v>
      </c>
      <c r="C397" t="s">
        <v>24</v>
      </c>
      <c r="D397" s="2">
        <v>1</v>
      </c>
      <c r="E397" s="2">
        <v>6777</v>
      </c>
      <c r="F397" t="s">
        <v>34</v>
      </c>
      <c r="G397">
        <v>0</v>
      </c>
      <c r="H397">
        <v>0</v>
      </c>
      <c r="I397">
        <v>0</v>
      </c>
      <c r="J397">
        <v>0</v>
      </c>
      <c r="K397">
        <v>0</v>
      </c>
      <c r="L397" s="6">
        <f t="shared" si="49"/>
        <v>0</v>
      </c>
      <c r="M397">
        <v>1</v>
      </c>
      <c r="N397">
        <v>0</v>
      </c>
      <c r="O397" s="9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 s="3">
        <f t="shared" si="47"/>
        <v>1</v>
      </c>
      <c r="V397" s="3">
        <f t="shared" si="48"/>
        <v>1</v>
      </c>
    </row>
    <row r="398" spans="1:22" x14ac:dyDescent="0.25">
      <c r="A398" s="2">
        <v>2017</v>
      </c>
      <c r="B398" t="s">
        <v>26</v>
      </c>
      <c r="C398" t="s">
        <v>24</v>
      </c>
      <c r="D398" s="2">
        <v>102</v>
      </c>
      <c r="E398" s="2">
        <v>119090</v>
      </c>
      <c r="F398" t="s">
        <v>402</v>
      </c>
      <c r="G398">
        <v>7</v>
      </c>
      <c r="H398">
        <v>7</v>
      </c>
      <c r="I398">
        <v>0</v>
      </c>
      <c r="J398">
        <v>0</v>
      </c>
      <c r="K398">
        <v>0</v>
      </c>
      <c r="L398" s="6">
        <f t="shared" si="49"/>
        <v>1</v>
      </c>
      <c r="M398">
        <v>166</v>
      </c>
      <c r="N398">
        <v>27</v>
      </c>
      <c r="O398" s="9">
        <v>0</v>
      </c>
      <c r="P398">
        <v>0</v>
      </c>
      <c r="Q398">
        <v>60</v>
      </c>
      <c r="R398">
        <v>0</v>
      </c>
      <c r="S398">
        <v>74</v>
      </c>
      <c r="T398">
        <v>5</v>
      </c>
      <c r="U398" s="3">
        <f t="shared" si="47"/>
        <v>1</v>
      </c>
      <c r="V398" s="3">
        <f t="shared" si="48"/>
        <v>1</v>
      </c>
    </row>
    <row r="399" spans="1:22" x14ac:dyDescent="0.25">
      <c r="A399" s="2">
        <v>2017</v>
      </c>
      <c r="B399" t="s">
        <v>26</v>
      </c>
      <c r="C399" t="s">
        <v>24</v>
      </c>
      <c r="D399" s="2">
        <v>40</v>
      </c>
      <c r="E399" s="2">
        <v>6831</v>
      </c>
      <c r="F399" t="s">
        <v>28</v>
      </c>
      <c r="G399">
        <v>10</v>
      </c>
      <c r="H399">
        <v>10</v>
      </c>
      <c r="I399">
        <v>0</v>
      </c>
      <c r="J399">
        <v>0</v>
      </c>
      <c r="K399">
        <v>0</v>
      </c>
      <c r="L399" s="6">
        <f t="shared" si="49"/>
        <v>1</v>
      </c>
      <c r="M399">
        <v>256</v>
      </c>
      <c r="N399">
        <v>47</v>
      </c>
      <c r="O399" s="9">
        <v>0</v>
      </c>
      <c r="P399">
        <v>1</v>
      </c>
      <c r="Q399">
        <v>127</v>
      </c>
      <c r="R399">
        <v>0</v>
      </c>
      <c r="S399">
        <v>79</v>
      </c>
      <c r="T399">
        <v>2</v>
      </c>
      <c r="U399" s="3">
        <f t="shared" si="47"/>
        <v>0.99609375</v>
      </c>
      <c r="V399" s="3">
        <f t="shared" si="48"/>
        <v>0.99624060150375937</v>
      </c>
    </row>
    <row r="400" spans="1:22" x14ac:dyDescent="0.25">
      <c r="A400" s="2">
        <v>2017</v>
      </c>
      <c r="B400" t="s">
        <v>26</v>
      </c>
      <c r="C400" t="s">
        <v>24</v>
      </c>
      <c r="D400" s="2">
        <v>111</v>
      </c>
      <c r="E400" s="2">
        <v>118696</v>
      </c>
      <c r="F400" t="s">
        <v>404</v>
      </c>
      <c r="G400">
        <v>6</v>
      </c>
      <c r="H400">
        <v>6</v>
      </c>
      <c r="I400">
        <v>0</v>
      </c>
      <c r="J400">
        <v>0</v>
      </c>
      <c r="K400">
        <v>0</v>
      </c>
      <c r="L400" s="6">
        <f t="shared" si="49"/>
        <v>1</v>
      </c>
      <c r="M400">
        <v>222</v>
      </c>
      <c r="N400">
        <v>50</v>
      </c>
      <c r="O400" s="9">
        <v>0</v>
      </c>
      <c r="P400">
        <v>0</v>
      </c>
      <c r="Q400">
        <v>91</v>
      </c>
      <c r="R400">
        <v>0</v>
      </c>
      <c r="S400">
        <v>80</v>
      </c>
      <c r="T400">
        <v>1</v>
      </c>
      <c r="U400" s="3">
        <f t="shared" si="47"/>
        <v>1</v>
      </c>
      <c r="V400" s="3">
        <f t="shared" si="48"/>
        <v>1</v>
      </c>
    </row>
    <row r="401" spans="1:22" x14ac:dyDescent="0.25">
      <c r="A401" s="2">
        <v>2017</v>
      </c>
      <c r="B401" t="s">
        <v>26</v>
      </c>
      <c r="C401" t="s">
        <v>24</v>
      </c>
      <c r="D401" s="2">
        <v>139</v>
      </c>
      <c r="E401" s="2">
        <v>122085</v>
      </c>
      <c r="F401" t="s">
        <v>405</v>
      </c>
      <c r="G401">
        <v>10</v>
      </c>
      <c r="H401">
        <v>10</v>
      </c>
      <c r="I401">
        <v>0</v>
      </c>
      <c r="J401">
        <v>0</v>
      </c>
      <c r="K401">
        <v>0</v>
      </c>
      <c r="L401" s="6">
        <f t="shared" si="49"/>
        <v>1</v>
      </c>
      <c r="M401">
        <v>239</v>
      </c>
      <c r="N401">
        <v>39</v>
      </c>
      <c r="O401" s="9">
        <v>0</v>
      </c>
      <c r="P401">
        <v>0</v>
      </c>
      <c r="Q401">
        <v>89</v>
      </c>
      <c r="R401">
        <v>0</v>
      </c>
      <c r="S401">
        <v>109</v>
      </c>
      <c r="T401">
        <v>2</v>
      </c>
      <c r="U401" s="3">
        <f t="shared" si="47"/>
        <v>1</v>
      </c>
      <c r="V401" s="3">
        <f t="shared" si="48"/>
        <v>1</v>
      </c>
    </row>
    <row r="402" spans="1:22" x14ac:dyDescent="0.25">
      <c r="A402" s="2">
        <v>2017</v>
      </c>
      <c r="B402" t="s">
        <v>26</v>
      </c>
      <c r="C402" t="s">
        <v>24</v>
      </c>
      <c r="D402" s="2">
        <v>134</v>
      </c>
      <c r="E402" s="2">
        <v>4968</v>
      </c>
      <c r="F402" t="s">
        <v>29</v>
      </c>
      <c r="G402">
        <v>8</v>
      </c>
      <c r="H402">
        <v>8</v>
      </c>
      <c r="I402">
        <v>0</v>
      </c>
      <c r="J402">
        <v>0</v>
      </c>
      <c r="K402">
        <v>0</v>
      </c>
      <c r="L402" s="6">
        <f t="shared" si="49"/>
        <v>1</v>
      </c>
      <c r="M402">
        <v>206</v>
      </c>
      <c r="N402">
        <v>45</v>
      </c>
      <c r="O402" s="9">
        <v>0</v>
      </c>
      <c r="P402">
        <v>1</v>
      </c>
      <c r="Q402">
        <v>73</v>
      </c>
      <c r="R402">
        <v>1</v>
      </c>
      <c r="S402">
        <v>85</v>
      </c>
      <c r="T402">
        <v>1</v>
      </c>
      <c r="U402" s="3">
        <f t="shared" si="47"/>
        <v>0.99029126213592233</v>
      </c>
      <c r="V402" s="3">
        <f t="shared" si="48"/>
        <v>0.99065420560747663</v>
      </c>
    </row>
    <row r="403" spans="1:22" x14ac:dyDescent="0.25">
      <c r="A403" s="2">
        <v>2017</v>
      </c>
      <c r="B403" t="s">
        <v>26</v>
      </c>
      <c r="C403" t="s">
        <v>24</v>
      </c>
      <c r="D403" s="2">
        <v>131</v>
      </c>
      <c r="E403" s="2">
        <v>121355</v>
      </c>
      <c r="F403" t="s">
        <v>504</v>
      </c>
      <c r="G403">
        <v>1</v>
      </c>
      <c r="H403">
        <v>1</v>
      </c>
      <c r="I403">
        <v>0</v>
      </c>
      <c r="J403">
        <v>0</v>
      </c>
      <c r="K403">
        <v>0</v>
      </c>
      <c r="L403" s="6">
        <f t="shared" si="49"/>
        <v>1</v>
      </c>
      <c r="M403">
        <v>91</v>
      </c>
      <c r="N403">
        <v>20</v>
      </c>
      <c r="O403" s="9">
        <v>0</v>
      </c>
      <c r="P403">
        <v>0</v>
      </c>
      <c r="Q403">
        <v>39</v>
      </c>
      <c r="R403">
        <v>0</v>
      </c>
      <c r="S403">
        <v>32</v>
      </c>
      <c r="T403">
        <v>0</v>
      </c>
      <c r="U403" s="3">
        <f t="shared" si="47"/>
        <v>1</v>
      </c>
      <c r="V403" s="3">
        <f t="shared" si="48"/>
        <v>1</v>
      </c>
    </row>
    <row r="404" spans="1:22" x14ac:dyDescent="0.25">
      <c r="A404" s="2">
        <v>2017</v>
      </c>
      <c r="B404" t="s">
        <v>26</v>
      </c>
      <c r="C404" t="s">
        <v>24</v>
      </c>
      <c r="D404" s="2">
        <v>138</v>
      </c>
      <c r="E404" s="2">
        <v>122073</v>
      </c>
      <c r="F404" t="s">
        <v>406</v>
      </c>
      <c r="G404">
        <v>11</v>
      </c>
      <c r="H404">
        <v>11</v>
      </c>
      <c r="I404">
        <v>0</v>
      </c>
      <c r="J404">
        <v>0</v>
      </c>
      <c r="K404">
        <v>0</v>
      </c>
      <c r="L404" s="6">
        <f t="shared" si="49"/>
        <v>1</v>
      </c>
      <c r="M404">
        <v>248</v>
      </c>
      <c r="N404">
        <v>46</v>
      </c>
      <c r="O404" s="9">
        <v>0</v>
      </c>
      <c r="P404">
        <v>0</v>
      </c>
      <c r="Q404">
        <v>98</v>
      </c>
      <c r="R404">
        <v>0</v>
      </c>
      <c r="S404">
        <v>101</v>
      </c>
      <c r="T404">
        <v>3</v>
      </c>
      <c r="U404" s="3">
        <f t="shared" si="47"/>
        <v>1</v>
      </c>
      <c r="V404" s="3">
        <f t="shared" si="48"/>
        <v>1</v>
      </c>
    </row>
    <row r="405" spans="1:22" x14ac:dyDescent="0.25">
      <c r="A405" s="2">
        <v>2017</v>
      </c>
      <c r="B405" t="s">
        <v>26</v>
      </c>
      <c r="C405" t="s">
        <v>24</v>
      </c>
      <c r="D405" s="2">
        <v>150</v>
      </c>
      <c r="E405" s="2">
        <v>123118</v>
      </c>
      <c r="F405" t="s">
        <v>30</v>
      </c>
      <c r="G405">
        <v>14</v>
      </c>
      <c r="H405">
        <v>14</v>
      </c>
      <c r="I405">
        <v>0</v>
      </c>
      <c r="J405">
        <v>0</v>
      </c>
      <c r="K405">
        <v>0</v>
      </c>
      <c r="L405" s="6">
        <f t="shared" si="49"/>
        <v>1</v>
      </c>
      <c r="M405">
        <v>208</v>
      </c>
      <c r="N405">
        <v>35</v>
      </c>
      <c r="O405" s="9">
        <v>0</v>
      </c>
      <c r="P405">
        <v>0</v>
      </c>
      <c r="Q405">
        <v>83</v>
      </c>
      <c r="R405">
        <v>0</v>
      </c>
      <c r="S405">
        <v>90</v>
      </c>
      <c r="T405">
        <v>0</v>
      </c>
      <c r="U405" s="3">
        <f t="shared" si="47"/>
        <v>1</v>
      </c>
      <c r="V405" s="3">
        <f t="shared" si="48"/>
        <v>1</v>
      </c>
    </row>
    <row r="406" spans="1:22" x14ac:dyDescent="0.25">
      <c r="A406" s="2">
        <v>2017</v>
      </c>
      <c r="B406" t="s">
        <v>26</v>
      </c>
      <c r="C406" t="s">
        <v>24</v>
      </c>
      <c r="D406" s="2">
        <v>151</v>
      </c>
      <c r="E406" s="2">
        <v>123113</v>
      </c>
      <c r="F406" t="s">
        <v>424</v>
      </c>
      <c r="G406">
        <v>8</v>
      </c>
      <c r="H406">
        <v>8</v>
      </c>
      <c r="I406">
        <v>0</v>
      </c>
      <c r="J406">
        <v>0</v>
      </c>
      <c r="K406">
        <v>0</v>
      </c>
      <c r="L406" s="6">
        <f t="shared" si="49"/>
        <v>1</v>
      </c>
      <c r="M406">
        <v>176</v>
      </c>
      <c r="N406">
        <v>32</v>
      </c>
      <c r="O406" s="9">
        <v>0</v>
      </c>
      <c r="P406">
        <v>0</v>
      </c>
      <c r="Q406">
        <v>72</v>
      </c>
      <c r="R406">
        <v>0</v>
      </c>
      <c r="S406">
        <v>67</v>
      </c>
      <c r="T406">
        <v>5</v>
      </c>
      <c r="U406" s="3">
        <f t="shared" si="47"/>
        <v>1</v>
      </c>
      <c r="V406" s="3">
        <f t="shared" si="48"/>
        <v>1</v>
      </c>
    </row>
    <row r="407" spans="1:22" x14ac:dyDescent="0.25">
      <c r="A407" s="2">
        <v>2017</v>
      </c>
      <c r="B407" t="s">
        <v>26</v>
      </c>
      <c r="C407" t="s">
        <v>24</v>
      </c>
      <c r="D407" s="2">
        <v>39</v>
      </c>
      <c r="E407" s="2">
        <v>6832</v>
      </c>
      <c r="F407" t="s">
        <v>407</v>
      </c>
      <c r="G407">
        <v>8</v>
      </c>
      <c r="H407">
        <v>8</v>
      </c>
      <c r="I407">
        <v>0</v>
      </c>
      <c r="J407">
        <v>0</v>
      </c>
      <c r="K407">
        <v>0</v>
      </c>
      <c r="L407" s="6">
        <f t="shared" si="49"/>
        <v>1</v>
      </c>
      <c r="M407">
        <v>305</v>
      </c>
      <c r="N407">
        <v>56</v>
      </c>
      <c r="O407" s="9">
        <v>0</v>
      </c>
      <c r="P407">
        <v>0</v>
      </c>
      <c r="Q407">
        <v>135</v>
      </c>
      <c r="R407">
        <v>0</v>
      </c>
      <c r="S407">
        <v>112</v>
      </c>
      <c r="T407">
        <v>2</v>
      </c>
      <c r="U407" s="3">
        <f t="shared" si="47"/>
        <v>1</v>
      </c>
      <c r="V407" s="3">
        <f t="shared" si="48"/>
        <v>1</v>
      </c>
    </row>
    <row r="408" spans="1:22" x14ac:dyDescent="0.25">
      <c r="A408" s="2">
        <v>2017</v>
      </c>
      <c r="B408" t="s">
        <v>26</v>
      </c>
      <c r="C408" t="s">
        <v>24</v>
      </c>
      <c r="D408" s="2">
        <v>78</v>
      </c>
      <c r="E408" s="2">
        <v>8720</v>
      </c>
      <c r="F408" t="s">
        <v>408</v>
      </c>
      <c r="G408">
        <v>4</v>
      </c>
      <c r="H408">
        <v>4</v>
      </c>
      <c r="I408">
        <v>0</v>
      </c>
      <c r="J408">
        <v>0</v>
      </c>
      <c r="K408">
        <v>0</v>
      </c>
      <c r="L408" s="6">
        <f t="shared" si="49"/>
        <v>1</v>
      </c>
      <c r="M408">
        <v>148</v>
      </c>
      <c r="N408">
        <v>23</v>
      </c>
      <c r="O408" s="9">
        <v>0</v>
      </c>
      <c r="P408">
        <v>0</v>
      </c>
      <c r="Q408">
        <v>74</v>
      </c>
      <c r="R408">
        <v>2</v>
      </c>
      <c r="S408">
        <v>48</v>
      </c>
      <c r="T408">
        <v>1</v>
      </c>
      <c r="U408" s="3">
        <f t="shared" si="47"/>
        <v>0.98648648648648651</v>
      </c>
      <c r="V408" s="3">
        <f t="shared" si="48"/>
        <v>0.98684210526315785</v>
      </c>
    </row>
    <row r="409" spans="1:22" x14ac:dyDescent="0.25">
      <c r="A409" s="2">
        <v>2017</v>
      </c>
      <c r="B409" t="s">
        <v>26</v>
      </c>
      <c r="C409" t="s">
        <v>20</v>
      </c>
      <c r="D409" s="2">
        <v>578</v>
      </c>
      <c r="E409" s="2">
        <v>122349</v>
      </c>
      <c r="F409" t="s">
        <v>43</v>
      </c>
      <c r="G409">
        <v>6</v>
      </c>
      <c r="H409">
        <v>6</v>
      </c>
      <c r="I409">
        <v>0</v>
      </c>
      <c r="J409">
        <v>0</v>
      </c>
      <c r="K409">
        <v>0</v>
      </c>
      <c r="L409" s="6">
        <f t="shared" si="49"/>
        <v>1</v>
      </c>
      <c r="M409">
        <v>76</v>
      </c>
      <c r="N409">
        <v>8</v>
      </c>
      <c r="O409" s="9">
        <v>0</v>
      </c>
      <c r="P409">
        <v>0</v>
      </c>
      <c r="Q409">
        <v>46</v>
      </c>
      <c r="R409">
        <v>0</v>
      </c>
      <c r="S409">
        <v>22</v>
      </c>
      <c r="T409">
        <v>0</v>
      </c>
      <c r="U409" s="3">
        <f t="shared" si="47"/>
        <v>1</v>
      </c>
      <c r="V409" s="3">
        <f t="shared" si="48"/>
        <v>1</v>
      </c>
    </row>
    <row r="410" spans="1:22" x14ac:dyDescent="0.25">
      <c r="A410" s="2">
        <v>2017</v>
      </c>
      <c r="B410" t="s">
        <v>26</v>
      </c>
      <c r="C410" t="s">
        <v>20</v>
      </c>
      <c r="D410" s="2">
        <v>537</v>
      </c>
      <c r="E410" s="2">
        <v>118663</v>
      </c>
      <c r="F410" t="s">
        <v>425</v>
      </c>
      <c r="G410">
        <v>4</v>
      </c>
      <c r="H410">
        <v>4</v>
      </c>
      <c r="I410">
        <v>0</v>
      </c>
      <c r="J410">
        <v>0</v>
      </c>
      <c r="K410">
        <v>0</v>
      </c>
      <c r="L410" s="6">
        <f t="shared" si="49"/>
        <v>1</v>
      </c>
      <c r="M410">
        <v>85</v>
      </c>
      <c r="N410">
        <v>7</v>
      </c>
      <c r="O410" s="9">
        <v>0</v>
      </c>
      <c r="P410">
        <v>0</v>
      </c>
      <c r="Q410">
        <v>40</v>
      </c>
      <c r="R410">
        <v>0</v>
      </c>
      <c r="S410">
        <v>37</v>
      </c>
      <c r="T410">
        <v>1</v>
      </c>
      <c r="U410" s="3">
        <f t="shared" ref="U410:U431" si="50">IF(M410=0,0,((N410+O410+Q410+S410+T410)/M410))</f>
        <v>1</v>
      </c>
      <c r="V410" s="3">
        <f t="shared" ref="V410:V431" si="51">(H410+I410+J410+N410+Q410+S410+T410)/(G410+M410)</f>
        <v>1</v>
      </c>
    </row>
    <row r="411" spans="1:22" x14ac:dyDescent="0.25">
      <c r="A411" s="2">
        <v>2017</v>
      </c>
      <c r="B411" t="s">
        <v>26</v>
      </c>
      <c r="C411" t="s">
        <v>20</v>
      </c>
      <c r="D411" s="2">
        <v>772</v>
      </c>
      <c r="E411" s="2">
        <v>5384</v>
      </c>
      <c r="F411" t="s">
        <v>331</v>
      </c>
      <c r="G411">
        <v>1</v>
      </c>
      <c r="H411">
        <v>1</v>
      </c>
      <c r="I411">
        <v>0</v>
      </c>
      <c r="J411">
        <v>0</v>
      </c>
      <c r="K411">
        <v>0</v>
      </c>
      <c r="L411" s="6">
        <f t="shared" si="49"/>
        <v>1</v>
      </c>
      <c r="M411">
        <v>76</v>
      </c>
      <c r="N411">
        <v>7</v>
      </c>
      <c r="O411" s="9">
        <v>0</v>
      </c>
      <c r="P411">
        <v>0</v>
      </c>
      <c r="Q411">
        <v>43</v>
      </c>
      <c r="R411">
        <v>0</v>
      </c>
      <c r="S411">
        <v>25</v>
      </c>
      <c r="T411">
        <v>1</v>
      </c>
      <c r="U411" s="3">
        <f t="shared" si="50"/>
        <v>1</v>
      </c>
      <c r="V411" s="3">
        <f t="shared" si="51"/>
        <v>1</v>
      </c>
    </row>
    <row r="412" spans="1:22" x14ac:dyDescent="0.25">
      <c r="A412" s="2">
        <v>2017</v>
      </c>
      <c r="B412" t="s">
        <v>26</v>
      </c>
      <c r="C412" t="s">
        <v>20</v>
      </c>
      <c r="D412" s="2">
        <v>556</v>
      </c>
      <c r="E412" s="2">
        <v>10769</v>
      </c>
      <c r="F412" t="s">
        <v>356</v>
      </c>
      <c r="G412">
        <v>0</v>
      </c>
      <c r="H412">
        <v>0</v>
      </c>
      <c r="I412">
        <v>0</v>
      </c>
      <c r="J412">
        <v>0</v>
      </c>
      <c r="K412">
        <v>0</v>
      </c>
      <c r="L412" s="6">
        <f t="shared" si="49"/>
        <v>0</v>
      </c>
      <c r="M412">
        <v>1</v>
      </c>
      <c r="N412">
        <v>0</v>
      </c>
      <c r="O412" s="9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 s="3">
        <f t="shared" si="50"/>
        <v>1</v>
      </c>
      <c r="V412" s="3">
        <f t="shared" si="51"/>
        <v>1</v>
      </c>
    </row>
    <row r="413" spans="1:22" x14ac:dyDescent="0.25">
      <c r="A413" s="2">
        <v>2017</v>
      </c>
      <c r="B413" t="s">
        <v>26</v>
      </c>
      <c r="C413" t="s">
        <v>20</v>
      </c>
      <c r="D413" s="2">
        <v>590</v>
      </c>
      <c r="E413" s="2">
        <v>122682</v>
      </c>
      <c r="F413" t="s">
        <v>334</v>
      </c>
      <c r="G413">
        <v>8</v>
      </c>
      <c r="H413">
        <v>8</v>
      </c>
      <c r="I413">
        <v>0</v>
      </c>
      <c r="J413">
        <v>0</v>
      </c>
      <c r="K413">
        <v>0</v>
      </c>
      <c r="L413" s="6">
        <f t="shared" si="49"/>
        <v>1</v>
      </c>
      <c r="M413">
        <v>133</v>
      </c>
      <c r="N413">
        <v>12</v>
      </c>
      <c r="O413" s="9">
        <v>0</v>
      </c>
      <c r="P413">
        <v>0</v>
      </c>
      <c r="Q413">
        <v>69</v>
      </c>
      <c r="R413">
        <v>0</v>
      </c>
      <c r="S413">
        <v>50</v>
      </c>
      <c r="T413">
        <v>2</v>
      </c>
      <c r="U413" s="3">
        <f t="shared" si="50"/>
        <v>1</v>
      </c>
      <c r="V413" s="3">
        <f t="shared" si="51"/>
        <v>1</v>
      </c>
    </row>
    <row r="414" spans="1:22" x14ac:dyDescent="0.25">
      <c r="A414" s="2">
        <v>2017</v>
      </c>
      <c r="B414" t="s">
        <v>26</v>
      </c>
      <c r="C414" t="s">
        <v>20</v>
      </c>
      <c r="D414" s="2">
        <v>582</v>
      </c>
      <c r="E414" s="2">
        <v>222222222</v>
      </c>
      <c r="F414" s="5" t="s">
        <v>426</v>
      </c>
      <c r="G414">
        <v>1</v>
      </c>
      <c r="H414">
        <v>1</v>
      </c>
      <c r="I414">
        <v>0</v>
      </c>
      <c r="J414">
        <v>0</v>
      </c>
      <c r="K414">
        <v>0</v>
      </c>
      <c r="L414" s="6">
        <f t="shared" si="49"/>
        <v>1</v>
      </c>
      <c r="M414">
        <v>37</v>
      </c>
      <c r="N414">
        <v>2</v>
      </c>
      <c r="O414" s="9">
        <v>0</v>
      </c>
      <c r="P414">
        <v>0</v>
      </c>
      <c r="Q414">
        <v>20</v>
      </c>
      <c r="R414">
        <v>0</v>
      </c>
      <c r="S414">
        <v>15</v>
      </c>
      <c r="T414">
        <v>0</v>
      </c>
      <c r="U414" s="3">
        <f t="shared" si="50"/>
        <v>1</v>
      </c>
      <c r="V414" s="3">
        <f t="shared" si="51"/>
        <v>1</v>
      </c>
    </row>
    <row r="415" spans="1:22" x14ac:dyDescent="0.25">
      <c r="A415" s="2">
        <v>2017</v>
      </c>
      <c r="B415" t="s">
        <v>26</v>
      </c>
      <c r="C415" t="s">
        <v>20</v>
      </c>
      <c r="D415" s="2">
        <v>586</v>
      </c>
      <c r="E415" s="2">
        <v>122754</v>
      </c>
      <c r="F415" t="s">
        <v>335</v>
      </c>
      <c r="G415">
        <v>25</v>
      </c>
      <c r="H415">
        <v>25</v>
      </c>
      <c r="I415">
        <v>0</v>
      </c>
      <c r="J415">
        <v>0</v>
      </c>
      <c r="K415">
        <v>0</v>
      </c>
      <c r="L415" s="6">
        <f t="shared" si="49"/>
        <v>1</v>
      </c>
      <c r="M415">
        <v>216</v>
      </c>
      <c r="N415">
        <v>19</v>
      </c>
      <c r="O415" s="9">
        <v>0</v>
      </c>
      <c r="P415">
        <v>1</v>
      </c>
      <c r="Q415">
        <v>84</v>
      </c>
      <c r="R415">
        <v>0</v>
      </c>
      <c r="S415">
        <v>109</v>
      </c>
      <c r="T415">
        <v>3</v>
      </c>
      <c r="U415" s="3">
        <f t="shared" si="50"/>
        <v>0.99537037037037035</v>
      </c>
      <c r="V415" s="3">
        <f t="shared" si="51"/>
        <v>0.99585062240663902</v>
      </c>
    </row>
    <row r="416" spans="1:22" x14ac:dyDescent="0.25">
      <c r="A416" s="2">
        <v>2017</v>
      </c>
      <c r="B416" t="s">
        <v>26</v>
      </c>
      <c r="C416" t="s">
        <v>20</v>
      </c>
      <c r="D416" s="2">
        <v>530</v>
      </c>
      <c r="E416" s="2">
        <v>10559</v>
      </c>
      <c r="F416" t="s">
        <v>32</v>
      </c>
      <c r="G416">
        <v>8</v>
      </c>
      <c r="H416">
        <v>8</v>
      </c>
      <c r="I416">
        <v>0</v>
      </c>
      <c r="J416">
        <v>0</v>
      </c>
      <c r="K416">
        <v>0</v>
      </c>
      <c r="L416" s="6">
        <f t="shared" si="49"/>
        <v>1</v>
      </c>
      <c r="M416">
        <v>286</v>
      </c>
      <c r="N416">
        <v>27</v>
      </c>
      <c r="O416" s="9">
        <v>0</v>
      </c>
      <c r="P416">
        <v>0</v>
      </c>
      <c r="Q416">
        <v>164</v>
      </c>
      <c r="R416">
        <v>0</v>
      </c>
      <c r="S416">
        <v>93</v>
      </c>
      <c r="T416">
        <v>2</v>
      </c>
      <c r="U416" s="3">
        <f t="shared" si="50"/>
        <v>1</v>
      </c>
      <c r="V416" s="3">
        <f t="shared" si="51"/>
        <v>1</v>
      </c>
    </row>
    <row r="417" spans="1:22" x14ac:dyDescent="0.25">
      <c r="A417" s="2">
        <v>2017</v>
      </c>
      <c r="B417" t="s">
        <v>26</v>
      </c>
      <c r="C417" t="s">
        <v>20</v>
      </c>
      <c r="D417" s="2">
        <v>527</v>
      </c>
      <c r="E417" s="2">
        <v>9715</v>
      </c>
      <c r="F417" t="s">
        <v>337</v>
      </c>
      <c r="G417">
        <v>50</v>
      </c>
      <c r="H417">
        <v>49</v>
      </c>
      <c r="I417">
        <v>0</v>
      </c>
      <c r="J417">
        <v>0</v>
      </c>
      <c r="K417">
        <v>1</v>
      </c>
      <c r="L417" s="6">
        <f t="shared" si="49"/>
        <v>0.98</v>
      </c>
      <c r="M417">
        <v>512</v>
      </c>
      <c r="N417">
        <v>54</v>
      </c>
      <c r="O417" s="9">
        <v>0</v>
      </c>
      <c r="P417">
        <v>0</v>
      </c>
      <c r="Q417">
        <v>243</v>
      </c>
      <c r="R417">
        <v>0</v>
      </c>
      <c r="S417">
        <v>211</v>
      </c>
      <c r="T417">
        <v>4</v>
      </c>
      <c r="U417" s="3">
        <f t="shared" si="50"/>
        <v>1</v>
      </c>
      <c r="V417" s="3">
        <f t="shared" si="51"/>
        <v>0.99822064056939497</v>
      </c>
    </row>
    <row r="418" spans="1:22" x14ac:dyDescent="0.25">
      <c r="A418" s="2">
        <v>2017</v>
      </c>
      <c r="B418" t="s">
        <v>26</v>
      </c>
      <c r="C418" t="s">
        <v>20</v>
      </c>
      <c r="D418" s="2">
        <v>548</v>
      </c>
      <c r="E418" s="2">
        <v>10618</v>
      </c>
      <c r="F418" t="s">
        <v>338</v>
      </c>
      <c r="G418">
        <v>0</v>
      </c>
      <c r="H418">
        <v>0</v>
      </c>
      <c r="I418">
        <v>0</v>
      </c>
      <c r="J418">
        <v>0</v>
      </c>
      <c r="K418">
        <v>0</v>
      </c>
      <c r="L418" s="6">
        <f t="shared" si="49"/>
        <v>0</v>
      </c>
      <c r="M418">
        <v>39</v>
      </c>
      <c r="N418">
        <v>4</v>
      </c>
      <c r="O418" s="9">
        <v>0</v>
      </c>
      <c r="P418">
        <v>0</v>
      </c>
      <c r="Q418">
        <v>28</v>
      </c>
      <c r="R418">
        <v>0</v>
      </c>
      <c r="S418">
        <v>7</v>
      </c>
      <c r="T418">
        <v>0</v>
      </c>
      <c r="U418" s="3">
        <f t="shared" si="50"/>
        <v>1</v>
      </c>
      <c r="V418" s="3">
        <f t="shared" si="51"/>
        <v>1</v>
      </c>
    </row>
    <row r="419" spans="1:22" x14ac:dyDescent="0.25">
      <c r="A419" s="2">
        <v>2017</v>
      </c>
      <c r="B419" t="s">
        <v>26</v>
      </c>
      <c r="C419" t="s">
        <v>20</v>
      </c>
      <c r="D419" s="2">
        <v>587</v>
      </c>
      <c r="E419" s="2">
        <v>5597</v>
      </c>
      <c r="F419" t="s">
        <v>33</v>
      </c>
      <c r="G419">
        <v>4</v>
      </c>
      <c r="H419">
        <v>4</v>
      </c>
      <c r="I419">
        <v>0</v>
      </c>
      <c r="J419">
        <v>0</v>
      </c>
      <c r="K419">
        <v>0</v>
      </c>
      <c r="L419" s="6">
        <f t="shared" si="49"/>
        <v>1</v>
      </c>
      <c r="M419">
        <v>152</v>
      </c>
      <c r="N419">
        <v>16</v>
      </c>
      <c r="O419" s="9">
        <v>0</v>
      </c>
      <c r="P419">
        <v>0</v>
      </c>
      <c r="Q419">
        <v>62</v>
      </c>
      <c r="R419">
        <v>0</v>
      </c>
      <c r="S419">
        <v>72</v>
      </c>
      <c r="T419">
        <v>2</v>
      </c>
      <c r="U419" s="3">
        <f t="shared" si="50"/>
        <v>1</v>
      </c>
      <c r="V419" s="3">
        <f t="shared" si="51"/>
        <v>1</v>
      </c>
    </row>
    <row r="420" spans="1:22" x14ac:dyDescent="0.25">
      <c r="A420" s="2">
        <v>2017</v>
      </c>
      <c r="B420" t="s">
        <v>26</v>
      </c>
      <c r="C420" t="s">
        <v>20</v>
      </c>
      <c r="D420" s="2">
        <v>404</v>
      </c>
      <c r="E420" s="2">
        <v>6777</v>
      </c>
      <c r="F420" t="s">
        <v>34</v>
      </c>
      <c r="G420">
        <v>2</v>
      </c>
      <c r="H420">
        <v>2</v>
      </c>
      <c r="I420">
        <v>0</v>
      </c>
      <c r="J420">
        <v>0</v>
      </c>
      <c r="K420">
        <v>0</v>
      </c>
      <c r="L420" s="6">
        <f t="shared" si="49"/>
        <v>1</v>
      </c>
      <c r="M420">
        <v>16</v>
      </c>
      <c r="N420">
        <v>1</v>
      </c>
      <c r="O420" s="9">
        <v>0</v>
      </c>
      <c r="P420">
        <v>0</v>
      </c>
      <c r="Q420">
        <v>7</v>
      </c>
      <c r="R420">
        <v>0</v>
      </c>
      <c r="S420">
        <v>8</v>
      </c>
      <c r="T420">
        <v>0</v>
      </c>
      <c r="U420" s="3">
        <f t="shared" si="50"/>
        <v>1</v>
      </c>
      <c r="V420" s="3">
        <f t="shared" si="51"/>
        <v>1</v>
      </c>
    </row>
    <row r="421" spans="1:22" x14ac:dyDescent="0.25">
      <c r="A421" s="2">
        <v>2017</v>
      </c>
      <c r="B421" t="s">
        <v>26</v>
      </c>
      <c r="C421" t="s">
        <v>20</v>
      </c>
      <c r="D421" s="2">
        <v>455</v>
      </c>
      <c r="E421" s="2">
        <v>7401</v>
      </c>
      <c r="F421" t="s">
        <v>36</v>
      </c>
      <c r="G421">
        <v>0</v>
      </c>
      <c r="H421">
        <v>0</v>
      </c>
      <c r="I421">
        <v>0</v>
      </c>
      <c r="J421">
        <v>0</v>
      </c>
      <c r="K421">
        <v>0</v>
      </c>
      <c r="L421" s="6">
        <f t="shared" si="49"/>
        <v>0</v>
      </c>
      <c r="M421">
        <v>34</v>
      </c>
      <c r="N421">
        <v>3</v>
      </c>
      <c r="O421" s="9">
        <v>0</v>
      </c>
      <c r="P421">
        <v>0</v>
      </c>
      <c r="Q421">
        <v>15</v>
      </c>
      <c r="R421">
        <v>0</v>
      </c>
      <c r="S421">
        <v>16</v>
      </c>
      <c r="T421">
        <v>0</v>
      </c>
      <c r="U421" s="3">
        <f t="shared" si="50"/>
        <v>1</v>
      </c>
      <c r="V421" s="3">
        <f t="shared" si="51"/>
        <v>1</v>
      </c>
    </row>
    <row r="422" spans="1:22" x14ac:dyDescent="0.25">
      <c r="A422" s="2">
        <v>2017</v>
      </c>
      <c r="B422" t="s">
        <v>26</v>
      </c>
      <c r="C422" t="s">
        <v>20</v>
      </c>
      <c r="D422" s="2">
        <v>356</v>
      </c>
      <c r="E422" s="2">
        <v>1674</v>
      </c>
      <c r="F422" t="s">
        <v>340</v>
      </c>
      <c r="G422">
        <v>3</v>
      </c>
      <c r="H422">
        <v>3</v>
      </c>
      <c r="I422">
        <v>0</v>
      </c>
      <c r="J422">
        <v>0</v>
      </c>
      <c r="K422">
        <v>0</v>
      </c>
      <c r="L422" s="6">
        <f t="shared" si="49"/>
        <v>1</v>
      </c>
      <c r="M422">
        <v>21</v>
      </c>
      <c r="N422">
        <v>2</v>
      </c>
      <c r="O422" s="9">
        <v>0</v>
      </c>
      <c r="P422">
        <v>0</v>
      </c>
      <c r="Q422">
        <v>8</v>
      </c>
      <c r="R422">
        <v>0</v>
      </c>
      <c r="S422">
        <v>10</v>
      </c>
      <c r="T422">
        <v>1</v>
      </c>
      <c r="U422" s="3">
        <f t="shared" si="50"/>
        <v>1</v>
      </c>
      <c r="V422" s="3">
        <f t="shared" si="51"/>
        <v>1</v>
      </c>
    </row>
    <row r="423" spans="1:22" x14ac:dyDescent="0.25">
      <c r="A423" s="2">
        <v>2017</v>
      </c>
      <c r="B423" t="s">
        <v>26</v>
      </c>
      <c r="C423" t="s">
        <v>20</v>
      </c>
      <c r="D423" s="2">
        <v>842</v>
      </c>
      <c r="E423" s="2">
        <v>5618</v>
      </c>
      <c r="F423" t="s">
        <v>37</v>
      </c>
      <c r="G423">
        <v>20</v>
      </c>
      <c r="H423">
        <v>20</v>
      </c>
      <c r="I423">
        <v>0</v>
      </c>
      <c r="J423">
        <v>0</v>
      </c>
      <c r="K423">
        <v>0</v>
      </c>
      <c r="L423" s="6">
        <f t="shared" si="49"/>
        <v>1</v>
      </c>
      <c r="M423">
        <v>253</v>
      </c>
      <c r="N423">
        <v>20</v>
      </c>
      <c r="O423" s="9">
        <v>0</v>
      </c>
      <c r="P423">
        <v>0</v>
      </c>
      <c r="Q423">
        <v>100</v>
      </c>
      <c r="R423">
        <v>0</v>
      </c>
      <c r="S423">
        <v>133</v>
      </c>
      <c r="T423">
        <v>0</v>
      </c>
      <c r="U423" s="3">
        <f t="shared" si="50"/>
        <v>1</v>
      </c>
      <c r="V423" s="3">
        <f t="shared" si="51"/>
        <v>1</v>
      </c>
    </row>
    <row r="424" spans="1:22" x14ac:dyDescent="0.25">
      <c r="A424" s="2">
        <v>2017</v>
      </c>
      <c r="B424" t="s">
        <v>26</v>
      </c>
      <c r="C424" t="s">
        <v>20</v>
      </c>
      <c r="D424" s="2">
        <v>543</v>
      </c>
      <c r="E424" s="2">
        <v>10917</v>
      </c>
      <c r="F424" t="s">
        <v>341</v>
      </c>
      <c r="G424">
        <v>4</v>
      </c>
      <c r="H424">
        <v>4</v>
      </c>
      <c r="I424">
        <v>0</v>
      </c>
      <c r="J424">
        <v>0</v>
      </c>
      <c r="K424">
        <v>0</v>
      </c>
      <c r="L424" s="6">
        <f t="shared" si="49"/>
        <v>1</v>
      </c>
      <c r="M424">
        <v>98</v>
      </c>
      <c r="N424">
        <v>12</v>
      </c>
      <c r="O424" s="9">
        <v>0</v>
      </c>
      <c r="P424">
        <v>0</v>
      </c>
      <c r="Q424">
        <v>37</v>
      </c>
      <c r="R424">
        <v>0</v>
      </c>
      <c r="S424">
        <v>48</v>
      </c>
      <c r="T424">
        <v>1</v>
      </c>
      <c r="U424" s="3">
        <f t="shared" si="50"/>
        <v>1</v>
      </c>
      <c r="V424" s="3">
        <f t="shared" si="51"/>
        <v>1</v>
      </c>
    </row>
    <row r="425" spans="1:22" x14ac:dyDescent="0.25">
      <c r="A425" s="2">
        <v>2017</v>
      </c>
      <c r="B425" t="s">
        <v>26</v>
      </c>
      <c r="C425" t="s">
        <v>20</v>
      </c>
      <c r="D425" s="2">
        <v>576</v>
      </c>
      <c r="E425" s="2">
        <v>122114</v>
      </c>
      <c r="F425" t="s">
        <v>342</v>
      </c>
      <c r="G425">
        <v>15</v>
      </c>
      <c r="H425">
        <v>15</v>
      </c>
      <c r="I425">
        <v>0</v>
      </c>
      <c r="J425">
        <v>0</v>
      </c>
      <c r="K425">
        <v>0</v>
      </c>
      <c r="L425" s="6">
        <f t="shared" si="49"/>
        <v>1</v>
      </c>
      <c r="M425">
        <v>92</v>
      </c>
      <c r="N425">
        <v>10</v>
      </c>
      <c r="O425" s="9">
        <v>0</v>
      </c>
      <c r="P425">
        <v>0</v>
      </c>
      <c r="Q425">
        <v>36</v>
      </c>
      <c r="R425">
        <v>0</v>
      </c>
      <c r="S425">
        <v>43</v>
      </c>
      <c r="T425">
        <v>3</v>
      </c>
      <c r="U425" s="3">
        <f t="shared" si="50"/>
        <v>1</v>
      </c>
      <c r="V425" s="3">
        <f t="shared" si="51"/>
        <v>1</v>
      </c>
    </row>
    <row r="426" spans="1:22" x14ac:dyDescent="0.25">
      <c r="A426" s="2">
        <v>2017</v>
      </c>
      <c r="B426" t="s">
        <v>26</v>
      </c>
      <c r="C426" t="s">
        <v>20</v>
      </c>
      <c r="D426" s="2">
        <v>525</v>
      </c>
      <c r="E426" s="2">
        <v>10340</v>
      </c>
      <c r="F426" t="s">
        <v>343</v>
      </c>
      <c r="G426">
        <v>32</v>
      </c>
      <c r="H426">
        <v>32</v>
      </c>
      <c r="I426">
        <v>0</v>
      </c>
      <c r="J426">
        <v>0</v>
      </c>
      <c r="K426">
        <v>0</v>
      </c>
      <c r="L426" s="6">
        <f t="shared" si="49"/>
        <v>1</v>
      </c>
      <c r="M426">
        <v>299</v>
      </c>
      <c r="N426">
        <v>36</v>
      </c>
      <c r="O426" s="9">
        <v>0</v>
      </c>
      <c r="P426">
        <v>4</v>
      </c>
      <c r="Q426">
        <v>122</v>
      </c>
      <c r="R426">
        <v>1</v>
      </c>
      <c r="S426">
        <v>134</v>
      </c>
      <c r="T426">
        <v>2</v>
      </c>
      <c r="U426" s="3">
        <f t="shared" si="50"/>
        <v>0.98327759197324416</v>
      </c>
      <c r="V426" s="3">
        <f t="shared" si="51"/>
        <v>0.98489425981873113</v>
      </c>
    </row>
    <row r="427" spans="1:22" x14ac:dyDescent="0.25">
      <c r="A427" s="2">
        <v>2017</v>
      </c>
      <c r="B427" t="s">
        <v>26</v>
      </c>
      <c r="C427" t="s">
        <v>20</v>
      </c>
      <c r="D427" s="2">
        <v>588</v>
      </c>
      <c r="E427" s="2">
        <v>122737</v>
      </c>
      <c r="F427" t="s">
        <v>352</v>
      </c>
      <c r="G427">
        <v>2</v>
      </c>
      <c r="H427">
        <v>2</v>
      </c>
      <c r="I427">
        <v>0</v>
      </c>
      <c r="J427">
        <v>0</v>
      </c>
      <c r="K427">
        <v>0</v>
      </c>
      <c r="L427" s="6">
        <f t="shared" si="49"/>
        <v>1</v>
      </c>
      <c r="M427">
        <v>46</v>
      </c>
      <c r="N427">
        <v>7</v>
      </c>
      <c r="O427" s="9">
        <v>0</v>
      </c>
      <c r="P427">
        <v>0</v>
      </c>
      <c r="Q427">
        <v>25</v>
      </c>
      <c r="R427">
        <v>0</v>
      </c>
      <c r="S427">
        <v>13</v>
      </c>
      <c r="T427">
        <v>1</v>
      </c>
      <c r="U427" s="3">
        <f t="shared" si="50"/>
        <v>1</v>
      </c>
      <c r="V427" s="3">
        <f t="shared" si="51"/>
        <v>1</v>
      </c>
    </row>
    <row r="428" spans="1:22" x14ac:dyDescent="0.25">
      <c r="A428" s="2">
        <v>2017</v>
      </c>
      <c r="B428" t="s">
        <v>26</v>
      </c>
      <c r="C428" t="s">
        <v>20</v>
      </c>
      <c r="D428" s="2">
        <v>550</v>
      </c>
      <c r="E428" s="2">
        <v>119292</v>
      </c>
      <c r="F428" t="s">
        <v>344</v>
      </c>
      <c r="G428">
        <v>4</v>
      </c>
      <c r="H428">
        <v>4</v>
      </c>
      <c r="I428">
        <v>0</v>
      </c>
      <c r="J428">
        <v>0</v>
      </c>
      <c r="K428">
        <v>0</v>
      </c>
      <c r="L428" s="6">
        <f t="shared" si="49"/>
        <v>1</v>
      </c>
      <c r="M428">
        <v>73</v>
      </c>
      <c r="N428">
        <v>8</v>
      </c>
      <c r="O428" s="9">
        <v>0</v>
      </c>
      <c r="P428">
        <v>0</v>
      </c>
      <c r="Q428">
        <v>33</v>
      </c>
      <c r="R428">
        <v>0</v>
      </c>
      <c r="S428">
        <v>30</v>
      </c>
      <c r="T428">
        <v>2</v>
      </c>
      <c r="U428" s="3">
        <f t="shared" si="50"/>
        <v>1</v>
      </c>
      <c r="V428" s="3">
        <f t="shared" si="51"/>
        <v>1</v>
      </c>
    </row>
    <row r="429" spans="1:22" x14ac:dyDescent="0.25">
      <c r="A429" s="2">
        <v>2017</v>
      </c>
      <c r="B429" t="s">
        <v>26</v>
      </c>
      <c r="C429" t="s">
        <v>20</v>
      </c>
      <c r="D429" s="2">
        <v>546</v>
      </c>
      <c r="E429" s="2">
        <v>119467</v>
      </c>
      <c r="F429" t="s">
        <v>345</v>
      </c>
      <c r="G429">
        <v>6</v>
      </c>
      <c r="H429">
        <v>6</v>
      </c>
      <c r="I429">
        <v>0</v>
      </c>
      <c r="J429">
        <v>0</v>
      </c>
      <c r="K429">
        <v>0</v>
      </c>
      <c r="L429" s="6">
        <f t="shared" si="49"/>
        <v>1</v>
      </c>
      <c r="M429">
        <v>115</v>
      </c>
      <c r="N429">
        <v>16</v>
      </c>
      <c r="O429" s="9">
        <v>0</v>
      </c>
      <c r="P429">
        <v>0</v>
      </c>
      <c r="Q429">
        <v>50</v>
      </c>
      <c r="R429">
        <v>0</v>
      </c>
      <c r="S429">
        <v>43</v>
      </c>
      <c r="T429">
        <v>6</v>
      </c>
      <c r="U429" s="3">
        <f t="shared" si="50"/>
        <v>1</v>
      </c>
      <c r="V429" s="3">
        <f t="shared" si="51"/>
        <v>1</v>
      </c>
    </row>
    <row r="430" spans="1:22" x14ac:dyDescent="0.25">
      <c r="A430" s="2">
        <v>2017</v>
      </c>
      <c r="B430" t="s">
        <v>26</v>
      </c>
      <c r="C430" t="s">
        <v>20</v>
      </c>
      <c r="D430" s="2">
        <v>520</v>
      </c>
      <c r="E430" s="2">
        <v>8687</v>
      </c>
      <c r="F430" t="s">
        <v>346</v>
      </c>
      <c r="G430">
        <v>15</v>
      </c>
      <c r="H430">
        <v>15</v>
      </c>
      <c r="I430">
        <v>0</v>
      </c>
      <c r="J430">
        <v>0</v>
      </c>
      <c r="K430">
        <v>0</v>
      </c>
      <c r="L430" s="6">
        <f t="shared" si="49"/>
        <v>1</v>
      </c>
      <c r="M430">
        <v>404</v>
      </c>
      <c r="N430">
        <v>45</v>
      </c>
      <c r="O430" s="9">
        <v>0</v>
      </c>
      <c r="P430">
        <v>1</v>
      </c>
      <c r="Q430">
        <v>229</v>
      </c>
      <c r="R430">
        <v>4</v>
      </c>
      <c r="S430">
        <v>120</v>
      </c>
      <c r="T430">
        <v>5</v>
      </c>
      <c r="U430" s="3">
        <f t="shared" si="50"/>
        <v>0.98762376237623761</v>
      </c>
      <c r="V430" s="3">
        <f t="shared" si="51"/>
        <v>0.9880668257756563</v>
      </c>
    </row>
    <row r="431" spans="1:22" x14ac:dyDescent="0.25">
      <c r="A431" s="2">
        <v>2017</v>
      </c>
      <c r="B431" t="s">
        <v>26</v>
      </c>
      <c r="C431" t="s">
        <v>20</v>
      </c>
      <c r="D431" s="2">
        <v>563</v>
      </c>
      <c r="E431" s="2">
        <v>5246</v>
      </c>
      <c r="F431" t="s">
        <v>347</v>
      </c>
      <c r="G431">
        <v>3</v>
      </c>
      <c r="H431">
        <v>3</v>
      </c>
      <c r="I431">
        <v>0</v>
      </c>
      <c r="J431">
        <v>0</v>
      </c>
      <c r="K431">
        <v>0</v>
      </c>
      <c r="L431" s="6">
        <f t="shared" si="49"/>
        <v>1</v>
      </c>
      <c r="M431">
        <v>65</v>
      </c>
      <c r="N431">
        <v>8</v>
      </c>
      <c r="O431" s="9">
        <v>0</v>
      </c>
      <c r="P431">
        <v>0</v>
      </c>
      <c r="Q431">
        <v>25</v>
      </c>
      <c r="R431">
        <v>1</v>
      </c>
      <c r="S431">
        <v>29</v>
      </c>
      <c r="T431">
        <v>2</v>
      </c>
      <c r="U431" s="3">
        <f t="shared" si="50"/>
        <v>0.98461538461538467</v>
      </c>
      <c r="V431" s="3">
        <f t="shared" si="51"/>
        <v>0.98529411764705888</v>
      </c>
    </row>
    <row r="432" spans="1:22" x14ac:dyDescent="0.25">
      <c r="A432" s="2">
        <v>2017</v>
      </c>
      <c r="B432" t="s">
        <v>26</v>
      </c>
      <c r="C432" t="s">
        <v>21</v>
      </c>
      <c r="D432" s="2">
        <v>528</v>
      </c>
      <c r="E432" s="2">
        <v>10623</v>
      </c>
      <c r="F432" t="s">
        <v>42</v>
      </c>
      <c r="G432">
        <v>6</v>
      </c>
      <c r="H432">
        <v>6</v>
      </c>
      <c r="I432">
        <v>0</v>
      </c>
      <c r="J432">
        <v>0</v>
      </c>
      <c r="K432">
        <v>0</v>
      </c>
      <c r="L432" s="6">
        <f t="shared" si="49"/>
        <v>1</v>
      </c>
      <c r="M432">
        <v>197</v>
      </c>
      <c r="N432">
        <v>21</v>
      </c>
      <c r="O432" s="9">
        <v>0</v>
      </c>
      <c r="P432">
        <v>0</v>
      </c>
      <c r="Q432">
        <v>119</v>
      </c>
      <c r="R432">
        <v>0</v>
      </c>
      <c r="S432">
        <v>57</v>
      </c>
      <c r="T432">
        <v>0</v>
      </c>
      <c r="U432" s="3">
        <f t="shared" ref="U432" si="52">IF(M432=0,0,((N432+O432+Q432+S432+T432)/M432))</f>
        <v>1</v>
      </c>
      <c r="V432" s="3">
        <f t="shared" ref="V432" si="53">(H432+I432+J432+N432+Q432+S432+T432)/(G432+M432)</f>
        <v>1</v>
      </c>
    </row>
    <row r="433" spans="1:22" x14ac:dyDescent="0.25">
      <c r="A433" s="2">
        <v>2017</v>
      </c>
      <c r="B433" t="s">
        <v>26</v>
      </c>
      <c r="C433" t="s">
        <v>21</v>
      </c>
      <c r="D433" s="2">
        <v>537</v>
      </c>
      <c r="E433" s="2">
        <v>118663</v>
      </c>
      <c r="F433" t="s">
        <v>425</v>
      </c>
      <c r="G433">
        <v>1</v>
      </c>
      <c r="H433">
        <v>1</v>
      </c>
      <c r="I433">
        <v>0</v>
      </c>
      <c r="J433">
        <v>0</v>
      </c>
      <c r="K433">
        <v>0</v>
      </c>
      <c r="L433" s="6">
        <f t="shared" si="49"/>
        <v>1</v>
      </c>
      <c r="M433">
        <v>25</v>
      </c>
      <c r="N433">
        <v>3</v>
      </c>
      <c r="O433" s="9">
        <v>0</v>
      </c>
      <c r="P433">
        <v>0</v>
      </c>
      <c r="Q433">
        <v>5</v>
      </c>
      <c r="R433">
        <v>0</v>
      </c>
      <c r="S433">
        <v>17</v>
      </c>
      <c r="T433">
        <v>0</v>
      </c>
      <c r="U433" s="3">
        <f t="shared" ref="U433:U453" si="54">IF(M433=0,0,((N433+O433+Q433+S433+T433)/M433))</f>
        <v>1</v>
      </c>
      <c r="V433" s="3">
        <f t="shared" ref="V433:V453" si="55">(H433+I433+J433+N433+Q433+S433+T433)/(G433+M433)</f>
        <v>1</v>
      </c>
    </row>
    <row r="434" spans="1:22" x14ac:dyDescent="0.25">
      <c r="A434" s="2">
        <v>2017</v>
      </c>
      <c r="B434" t="s">
        <v>26</v>
      </c>
      <c r="C434" t="s">
        <v>21</v>
      </c>
      <c r="D434" s="2">
        <v>772</v>
      </c>
      <c r="E434" s="2">
        <v>5384</v>
      </c>
      <c r="F434" t="s">
        <v>331</v>
      </c>
      <c r="G434">
        <v>6</v>
      </c>
      <c r="H434">
        <v>6</v>
      </c>
      <c r="I434">
        <v>0</v>
      </c>
      <c r="J434">
        <v>0</v>
      </c>
      <c r="K434">
        <v>0</v>
      </c>
      <c r="L434" s="6">
        <f t="shared" si="49"/>
        <v>1</v>
      </c>
      <c r="M434">
        <v>26</v>
      </c>
      <c r="N434">
        <v>7</v>
      </c>
      <c r="O434" s="9">
        <v>0</v>
      </c>
      <c r="P434">
        <v>0</v>
      </c>
      <c r="Q434">
        <v>10</v>
      </c>
      <c r="R434">
        <v>0</v>
      </c>
      <c r="S434">
        <v>9</v>
      </c>
      <c r="T434">
        <v>0</v>
      </c>
      <c r="U434" s="3">
        <f t="shared" si="54"/>
        <v>1</v>
      </c>
      <c r="V434" s="3">
        <f t="shared" si="55"/>
        <v>1</v>
      </c>
    </row>
    <row r="435" spans="1:22" x14ac:dyDescent="0.25">
      <c r="A435" s="2">
        <v>2017</v>
      </c>
      <c r="B435" t="s">
        <v>26</v>
      </c>
      <c r="C435" t="s">
        <v>21</v>
      </c>
      <c r="D435" s="2">
        <v>581</v>
      </c>
      <c r="E435" s="2">
        <v>222222222</v>
      </c>
      <c r="F435" t="s">
        <v>31</v>
      </c>
      <c r="G435">
        <v>4</v>
      </c>
      <c r="H435">
        <v>4</v>
      </c>
      <c r="I435">
        <v>0</v>
      </c>
      <c r="J435">
        <v>0</v>
      </c>
      <c r="K435">
        <v>0</v>
      </c>
      <c r="L435" s="6">
        <f t="shared" si="49"/>
        <v>1</v>
      </c>
      <c r="M435">
        <v>27</v>
      </c>
      <c r="N435">
        <v>5</v>
      </c>
      <c r="O435" s="9">
        <v>0</v>
      </c>
      <c r="P435">
        <v>0</v>
      </c>
      <c r="Q435">
        <v>13</v>
      </c>
      <c r="R435">
        <v>0</v>
      </c>
      <c r="S435">
        <v>8</v>
      </c>
      <c r="T435">
        <v>1</v>
      </c>
      <c r="U435" s="3">
        <f t="shared" si="54"/>
        <v>1</v>
      </c>
      <c r="V435" s="3">
        <f t="shared" si="55"/>
        <v>1</v>
      </c>
    </row>
    <row r="436" spans="1:22" x14ac:dyDescent="0.25">
      <c r="A436" s="2">
        <v>2017</v>
      </c>
      <c r="B436" t="s">
        <v>26</v>
      </c>
      <c r="C436" t="s">
        <v>21</v>
      </c>
      <c r="D436" s="2">
        <v>403</v>
      </c>
      <c r="E436" s="2">
        <v>6783</v>
      </c>
      <c r="F436" t="s">
        <v>348</v>
      </c>
      <c r="G436">
        <v>7</v>
      </c>
      <c r="H436">
        <v>7</v>
      </c>
      <c r="I436">
        <v>0</v>
      </c>
      <c r="J436">
        <v>0</v>
      </c>
      <c r="K436">
        <v>0</v>
      </c>
      <c r="L436" s="6">
        <f t="shared" si="49"/>
        <v>1</v>
      </c>
      <c r="M436">
        <v>445</v>
      </c>
      <c r="N436">
        <v>56</v>
      </c>
      <c r="O436" s="9">
        <v>0</v>
      </c>
      <c r="P436">
        <v>1</v>
      </c>
      <c r="Q436">
        <v>268</v>
      </c>
      <c r="R436">
        <v>0</v>
      </c>
      <c r="S436">
        <v>118</v>
      </c>
      <c r="T436">
        <v>2</v>
      </c>
      <c r="U436" s="3">
        <f t="shared" si="54"/>
        <v>0.99775280898876406</v>
      </c>
      <c r="V436" s="3">
        <f t="shared" si="55"/>
        <v>0.99778761061946908</v>
      </c>
    </row>
    <row r="437" spans="1:22" x14ac:dyDescent="0.25">
      <c r="A437" s="2">
        <v>2017</v>
      </c>
      <c r="B437" t="s">
        <v>26</v>
      </c>
      <c r="C437" t="s">
        <v>21</v>
      </c>
      <c r="D437" s="2">
        <v>530</v>
      </c>
      <c r="E437" s="2">
        <v>10559</v>
      </c>
      <c r="F437" t="s">
        <v>32</v>
      </c>
      <c r="G437">
        <v>5</v>
      </c>
      <c r="H437">
        <v>5</v>
      </c>
      <c r="I437">
        <v>0</v>
      </c>
      <c r="J437">
        <v>0</v>
      </c>
      <c r="K437">
        <v>0</v>
      </c>
      <c r="L437" s="6">
        <f t="shared" si="49"/>
        <v>1</v>
      </c>
      <c r="M437">
        <v>71</v>
      </c>
      <c r="N437">
        <v>7</v>
      </c>
      <c r="O437" s="9">
        <v>0</v>
      </c>
      <c r="P437">
        <v>0</v>
      </c>
      <c r="Q437">
        <v>28</v>
      </c>
      <c r="R437">
        <v>0</v>
      </c>
      <c r="S437">
        <v>35</v>
      </c>
      <c r="T437">
        <v>1</v>
      </c>
      <c r="U437" s="3">
        <f t="shared" si="54"/>
        <v>1</v>
      </c>
      <c r="V437" s="3">
        <f t="shared" si="55"/>
        <v>1</v>
      </c>
    </row>
    <row r="438" spans="1:22" x14ac:dyDescent="0.25">
      <c r="A438" s="2">
        <v>2017</v>
      </c>
      <c r="B438" t="s">
        <v>26</v>
      </c>
      <c r="C438" t="s">
        <v>21</v>
      </c>
      <c r="D438" s="2">
        <v>548</v>
      </c>
      <c r="E438" s="2">
        <v>10618</v>
      </c>
      <c r="F438" t="s">
        <v>338</v>
      </c>
      <c r="G438">
        <v>8</v>
      </c>
      <c r="H438">
        <v>8</v>
      </c>
      <c r="I438">
        <v>0</v>
      </c>
      <c r="J438">
        <v>0</v>
      </c>
      <c r="K438">
        <v>0</v>
      </c>
      <c r="L438" s="6">
        <f t="shared" si="49"/>
        <v>1</v>
      </c>
      <c r="M438">
        <v>101</v>
      </c>
      <c r="N438">
        <v>10</v>
      </c>
      <c r="O438" s="9">
        <v>0</v>
      </c>
      <c r="P438">
        <v>0</v>
      </c>
      <c r="Q438">
        <v>47</v>
      </c>
      <c r="R438">
        <v>2</v>
      </c>
      <c r="S438">
        <v>41</v>
      </c>
      <c r="T438">
        <v>1</v>
      </c>
      <c r="U438" s="3">
        <f t="shared" si="54"/>
        <v>0.98019801980198018</v>
      </c>
      <c r="V438" s="3">
        <f t="shared" si="55"/>
        <v>0.98165137614678899</v>
      </c>
    </row>
    <row r="439" spans="1:22" x14ac:dyDescent="0.25">
      <c r="A439" s="2">
        <v>2017</v>
      </c>
      <c r="B439" t="s">
        <v>26</v>
      </c>
      <c r="C439" t="s">
        <v>21</v>
      </c>
      <c r="D439" s="2">
        <v>587</v>
      </c>
      <c r="E439" s="2">
        <v>5597</v>
      </c>
      <c r="F439" t="s">
        <v>33</v>
      </c>
      <c r="G439">
        <v>5</v>
      </c>
      <c r="H439">
        <v>5</v>
      </c>
      <c r="I439">
        <v>0</v>
      </c>
      <c r="J439">
        <v>0</v>
      </c>
      <c r="K439">
        <v>0</v>
      </c>
      <c r="L439" s="6">
        <f t="shared" si="49"/>
        <v>1</v>
      </c>
      <c r="M439">
        <v>84</v>
      </c>
      <c r="N439">
        <v>10</v>
      </c>
      <c r="O439" s="9">
        <v>0</v>
      </c>
      <c r="P439">
        <v>0</v>
      </c>
      <c r="Q439">
        <v>34</v>
      </c>
      <c r="R439">
        <v>0</v>
      </c>
      <c r="S439">
        <v>38</v>
      </c>
      <c r="T439">
        <v>2</v>
      </c>
      <c r="U439" s="3">
        <f t="shared" si="54"/>
        <v>1</v>
      </c>
      <c r="V439" s="3">
        <f t="shared" si="55"/>
        <v>1</v>
      </c>
    </row>
    <row r="440" spans="1:22" x14ac:dyDescent="0.25">
      <c r="A440" s="2">
        <v>2017</v>
      </c>
      <c r="B440" t="s">
        <v>26</v>
      </c>
      <c r="C440" t="s">
        <v>21</v>
      </c>
      <c r="D440" s="2">
        <v>404</v>
      </c>
      <c r="E440" s="2">
        <v>6777</v>
      </c>
      <c r="F440" t="s">
        <v>34</v>
      </c>
      <c r="G440">
        <v>4</v>
      </c>
      <c r="H440">
        <v>4</v>
      </c>
      <c r="I440">
        <v>0</v>
      </c>
      <c r="J440">
        <v>0</v>
      </c>
      <c r="K440">
        <v>0</v>
      </c>
      <c r="L440" s="6">
        <f t="shared" si="49"/>
        <v>1</v>
      </c>
      <c r="M440">
        <v>36</v>
      </c>
      <c r="N440">
        <v>5</v>
      </c>
      <c r="O440" s="9">
        <v>0</v>
      </c>
      <c r="P440">
        <v>0</v>
      </c>
      <c r="Q440">
        <v>9</v>
      </c>
      <c r="R440">
        <v>0</v>
      </c>
      <c r="S440">
        <v>22</v>
      </c>
      <c r="T440">
        <v>0</v>
      </c>
      <c r="U440" s="3">
        <f t="shared" si="54"/>
        <v>1</v>
      </c>
      <c r="V440" s="3">
        <f t="shared" si="55"/>
        <v>1</v>
      </c>
    </row>
    <row r="441" spans="1:22" x14ac:dyDescent="0.25">
      <c r="A441" s="2">
        <v>2017</v>
      </c>
      <c r="B441" t="s">
        <v>26</v>
      </c>
      <c r="C441" t="s">
        <v>21</v>
      </c>
      <c r="D441" s="2">
        <v>591</v>
      </c>
      <c r="E441" s="2">
        <v>222222222</v>
      </c>
      <c r="F441" s="5" t="s">
        <v>428</v>
      </c>
      <c r="G441">
        <v>0</v>
      </c>
      <c r="H441">
        <v>0</v>
      </c>
      <c r="I441">
        <v>0</v>
      </c>
      <c r="J441">
        <v>0</v>
      </c>
      <c r="K441">
        <v>0</v>
      </c>
      <c r="L441" s="6">
        <f t="shared" si="49"/>
        <v>0</v>
      </c>
      <c r="M441">
        <v>2</v>
      </c>
      <c r="N441">
        <v>0</v>
      </c>
      <c r="O441" s="9">
        <v>0</v>
      </c>
      <c r="P441">
        <v>0</v>
      </c>
      <c r="Q441">
        <v>2</v>
      </c>
      <c r="R441">
        <v>0</v>
      </c>
      <c r="S441">
        <v>0</v>
      </c>
      <c r="T441">
        <v>0</v>
      </c>
      <c r="U441" s="3">
        <f t="shared" si="54"/>
        <v>1</v>
      </c>
      <c r="V441" s="3">
        <f t="shared" si="55"/>
        <v>1</v>
      </c>
    </row>
    <row r="442" spans="1:22" x14ac:dyDescent="0.25">
      <c r="A442" s="2">
        <v>2017</v>
      </c>
      <c r="B442" t="s">
        <v>26</v>
      </c>
      <c r="C442" t="s">
        <v>21</v>
      </c>
      <c r="D442" s="2">
        <v>595</v>
      </c>
      <c r="E442" s="2">
        <v>123208</v>
      </c>
      <c r="F442" t="s">
        <v>35</v>
      </c>
      <c r="G442">
        <v>4</v>
      </c>
      <c r="H442">
        <v>4</v>
      </c>
      <c r="I442">
        <v>0</v>
      </c>
      <c r="J442">
        <v>0</v>
      </c>
      <c r="K442">
        <v>0</v>
      </c>
      <c r="L442" s="6">
        <f t="shared" si="49"/>
        <v>1</v>
      </c>
      <c r="M442">
        <v>220</v>
      </c>
      <c r="N442">
        <v>26</v>
      </c>
      <c r="O442" s="9">
        <v>0</v>
      </c>
      <c r="P442">
        <v>0</v>
      </c>
      <c r="Q442">
        <v>168</v>
      </c>
      <c r="R442">
        <v>1</v>
      </c>
      <c r="S442">
        <v>25</v>
      </c>
      <c r="T442">
        <v>0</v>
      </c>
      <c r="U442" s="3">
        <f t="shared" si="54"/>
        <v>0.99545454545454548</v>
      </c>
      <c r="V442" s="3">
        <f t="shared" si="55"/>
        <v>0.9955357142857143</v>
      </c>
    </row>
    <row r="443" spans="1:22" x14ac:dyDescent="0.25">
      <c r="A443" s="2">
        <v>2017</v>
      </c>
      <c r="B443" t="s">
        <v>26</v>
      </c>
      <c r="C443" t="s">
        <v>21</v>
      </c>
      <c r="D443" s="2">
        <v>455</v>
      </c>
      <c r="E443" s="2">
        <v>7401</v>
      </c>
      <c r="F443" t="s">
        <v>36</v>
      </c>
      <c r="G443">
        <v>5</v>
      </c>
      <c r="H443">
        <v>5</v>
      </c>
      <c r="I443">
        <v>0</v>
      </c>
      <c r="J443">
        <v>0</v>
      </c>
      <c r="K443">
        <v>0</v>
      </c>
      <c r="L443" s="6">
        <f t="shared" si="49"/>
        <v>1</v>
      </c>
      <c r="M443">
        <v>132</v>
      </c>
      <c r="N443">
        <v>18</v>
      </c>
      <c r="O443" s="9">
        <v>0</v>
      </c>
      <c r="P443">
        <v>0</v>
      </c>
      <c r="Q443">
        <v>70</v>
      </c>
      <c r="R443">
        <v>0</v>
      </c>
      <c r="S443">
        <v>42</v>
      </c>
      <c r="T443">
        <v>2</v>
      </c>
      <c r="U443" s="3">
        <f t="shared" si="54"/>
        <v>1</v>
      </c>
      <c r="V443" s="3">
        <f t="shared" si="55"/>
        <v>1</v>
      </c>
    </row>
    <row r="444" spans="1:22" x14ac:dyDescent="0.25">
      <c r="A444" s="2">
        <v>2017</v>
      </c>
      <c r="B444" t="s">
        <v>26</v>
      </c>
      <c r="C444" t="s">
        <v>21</v>
      </c>
      <c r="D444" s="2">
        <v>842</v>
      </c>
      <c r="E444" s="2">
        <v>5618</v>
      </c>
      <c r="F444" t="s">
        <v>37</v>
      </c>
      <c r="G444">
        <v>6</v>
      </c>
      <c r="H444">
        <v>6</v>
      </c>
      <c r="I444">
        <v>0</v>
      </c>
      <c r="J444">
        <v>0</v>
      </c>
      <c r="K444">
        <v>0</v>
      </c>
      <c r="L444" s="6">
        <f t="shared" si="49"/>
        <v>1</v>
      </c>
      <c r="M444">
        <v>116</v>
      </c>
      <c r="N444">
        <v>13</v>
      </c>
      <c r="O444" s="9">
        <v>0</v>
      </c>
      <c r="P444">
        <v>0</v>
      </c>
      <c r="Q444">
        <v>50</v>
      </c>
      <c r="R444">
        <v>0</v>
      </c>
      <c r="S444">
        <v>51</v>
      </c>
      <c r="T444">
        <v>2</v>
      </c>
      <c r="U444" s="3">
        <f t="shared" si="54"/>
        <v>1</v>
      </c>
      <c r="V444" s="3">
        <f t="shared" si="55"/>
        <v>1</v>
      </c>
    </row>
    <row r="445" spans="1:22" x14ac:dyDescent="0.25">
      <c r="A445" s="2">
        <v>2017</v>
      </c>
      <c r="B445" t="s">
        <v>26</v>
      </c>
      <c r="C445" t="s">
        <v>21</v>
      </c>
      <c r="D445" s="2">
        <v>554</v>
      </c>
      <c r="E445" s="2">
        <v>119543</v>
      </c>
      <c r="F445" t="s">
        <v>502</v>
      </c>
      <c r="G445">
        <v>2</v>
      </c>
      <c r="H445">
        <v>2</v>
      </c>
      <c r="I445">
        <v>0</v>
      </c>
      <c r="J445">
        <v>0</v>
      </c>
      <c r="K445">
        <v>0</v>
      </c>
      <c r="L445" s="6">
        <f t="shared" si="49"/>
        <v>1</v>
      </c>
      <c r="M445">
        <v>133</v>
      </c>
      <c r="N445">
        <v>17</v>
      </c>
      <c r="O445" s="9">
        <v>0</v>
      </c>
      <c r="P445">
        <v>0</v>
      </c>
      <c r="Q445">
        <v>104</v>
      </c>
      <c r="R445">
        <v>0</v>
      </c>
      <c r="S445">
        <v>12</v>
      </c>
      <c r="T445">
        <v>0</v>
      </c>
      <c r="U445" s="3">
        <f t="shared" si="54"/>
        <v>1</v>
      </c>
      <c r="V445" s="3">
        <f t="shared" si="55"/>
        <v>1</v>
      </c>
    </row>
    <row r="446" spans="1:22" x14ac:dyDescent="0.25">
      <c r="A446" s="2">
        <v>2017</v>
      </c>
      <c r="B446" t="s">
        <v>26</v>
      </c>
      <c r="C446" t="s">
        <v>21</v>
      </c>
      <c r="D446" s="2">
        <v>766</v>
      </c>
      <c r="E446" s="2">
        <v>6781</v>
      </c>
      <c r="F446" t="s">
        <v>349</v>
      </c>
      <c r="G446">
        <v>26</v>
      </c>
      <c r="H446">
        <v>26</v>
      </c>
      <c r="I446">
        <v>0</v>
      </c>
      <c r="J446">
        <v>0</v>
      </c>
      <c r="K446">
        <v>0</v>
      </c>
      <c r="L446" s="6">
        <f t="shared" si="49"/>
        <v>1</v>
      </c>
      <c r="M446">
        <v>378</v>
      </c>
      <c r="N446">
        <v>39</v>
      </c>
      <c r="O446" s="9">
        <v>0</v>
      </c>
      <c r="P446">
        <v>0</v>
      </c>
      <c r="Q446">
        <v>136</v>
      </c>
      <c r="R446">
        <v>6</v>
      </c>
      <c r="S446">
        <v>196</v>
      </c>
      <c r="T446">
        <v>1</v>
      </c>
      <c r="U446" s="3">
        <f t="shared" si="54"/>
        <v>0.98412698412698407</v>
      </c>
      <c r="V446" s="3">
        <f t="shared" si="55"/>
        <v>0.98514851485148514</v>
      </c>
    </row>
    <row r="447" spans="1:22" x14ac:dyDescent="0.25">
      <c r="A447" s="2">
        <v>2017</v>
      </c>
      <c r="B447" t="s">
        <v>26</v>
      </c>
      <c r="C447" t="s">
        <v>21</v>
      </c>
      <c r="D447" s="2">
        <v>777</v>
      </c>
      <c r="E447" s="2">
        <v>5357</v>
      </c>
      <c r="F447" t="s">
        <v>350</v>
      </c>
      <c r="G447">
        <v>33</v>
      </c>
      <c r="H447">
        <v>32</v>
      </c>
      <c r="I447">
        <v>0</v>
      </c>
      <c r="J447">
        <v>0</v>
      </c>
      <c r="K447">
        <v>1</v>
      </c>
      <c r="L447" s="6">
        <f t="shared" si="49"/>
        <v>0.96969696969696972</v>
      </c>
      <c r="M447">
        <v>428</v>
      </c>
      <c r="N447">
        <v>51</v>
      </c>
      <c r="O447" s="9">
        <v>0</v>
      </c>
      <c r="P447">
        <v>0</v>
      </c>
      <c r="Q447">
        <v>202</v>
      </c>
      <c r="R447">
        <v>0</v>
      </c>
      <c r="S447">
        <v>173</v>
      </c>
      <c r="T447">
        <v>2</v>
      </c>
      <c r="U447" s="3">
        <f t="shared" si="54"/>
        <v>1</v>
      </c>
      <c r="V447" s="3">
        <f t="shared" si="55"/>
        <v>0.99783080260303691</v>
      </c>
    </row>
    <row r="448" spans="1:22" x14ac:dyDescent="0.25">
      <c r="A448" s="2">
        <v>2017</v>
      </c>
      <c r="B448" t="s">
        <v>26</v>
      </c>
      <c r="C448" t="s">
        <v>21</v>
      </c>
      <c r="D448" s="2">
        <v>543</v>
      </c>
      <c r="E448" s="2">
        <v>10917</v>
      </c>
      <c r="F448" t="s">
        <v>341</v>
      </c>
      <c r="G448">
        <v>17</v>
      </c>
      <c r="H448">
        <v>17</v>
      </c>
      <c r="I448">
        <v>0</v>
      </c>
      <c r="J448">
        <v>0</v>
      </c>
      <c r="K448">
        <v>0</v>
      </c>
      <c r="L448" s="6">
        <f t="shared" si="49"/>
        <v>1</v>
      </c>
      <c r="M448">
        <v>241</v>
      </c>
      <c r="N448">
        <v>30</v>
      </c>
      <c r="O448" s="9">
        <v>0</v>
      </c>
      <c r="P448">
        <v>0</v>
      </c>
      <c r="Q448">
        <v>119</v>
      </c>
      <c r="R448">
        <v>0</v>
      </c>
      <c r="S448">
        <v>89</v>
      </c>
      <c r="T448">
        <v>3</v>
      </c>
      <c r="U448" s="3">
        <f t="shared" si="54"/>
        <v>1</v>
      </c>
      <c r="V448" s="3">
        <f t="shared" si="55"/>
        <v>1</v>
      </c>
    </row>
    <row r="449" spans="1:22" x14ac:dyDescent="0.25">
      <c r="A449" s="2">
        <v>2017</v>
      </c>
      <c r="B449" t="s">
        <v>26</v>
      </c>
      <c r="C449" t="s">
        <v>21</v>
      </c>
      <c r="D449" s="2">
        <v>536</v>
      </c>
      <c r="E449" s="2">
        <v>10757</v>
      </c>
      <c r="F449" t="s">
        <v>351</v>
      </c>
      <c r="G449">
        <v>0</v>
      </c>
      <c r="H449">
        <v>0</v>
      </c>
      <c r="I449">
        <v>0</v>
      </c>
      <c r="J449">
        <v>0</v>
      </c>
      <c r="K449">
        <v>0</v>
      </c>
      <c r="L449" s="6">
        <f t="shared" si="49"/>
        <v>0</v>
      </c>
      <c r="M449">
        <v>3</v>
      </c>
      <c r="N449">
        <v>1</v>
      </c>
      <c r="O449" s="9">
        <v>0</v>
      </c>
      <c r="P449">
        <v>0</v>
      </c>
      <c r="Q449">
        <v>0</v>
      </c>
      <c r="R449">
        <v>0</v>
      </c>
      <c r="S449">
        <v>2</v>
      </c>
      <c r="T449">
        <v>0</v>
      </c>
      <c r="U449" s="3">
        <f t="shared" si="54"/>
        <v>1</v>
      </c>
      <c r="V449" s="3">
        <f t="shared" si="55"/>
        <v>1</v>
      </c>
    </row>
    <row r="450" spans="1:22" x14ac:dyDescent="0.25">
      <c r="A450" s="2">
        <v>2017</v>
      </c>
      <c r="B450" t="s">
        <v>26</v>
      </c>
      <c r="C450" t="s">
        <v>21</v>
      </c>
      <c r="D450" s="2">
        <v>536</v>
      </c>
      <c r="E450" s="2">
        <v>10757</v>
      </c>
      <c r="F450" t="s">
        <v>351</v>
      </c>
      <c r="G450">
        <v>2</v>
      </c>
      <c r="H450">
        <v>2</v>
      </c>
      <c r="I450">
        <v>0</v>
      </c>
      <c r="J450">
        <v>0</v>
      </c>
      <c r="K450">
        <v>0</v>
      </c>
      <c r="L450" s="6">
        <f t="shared" ref="L450:L513" si="56">IF(G450=0,0,SUM(H450:J450)/G450)</f>
        <v>1</v>
      </c>
      <c r="M450">
        <v>331</v>
      </c>
      <c r="N450">
        <v>40</v>
      </c>
      <c r="O450" s="9">
        <v>0</v>
      </c>
      <c r="P450">
        <v>0</v>
      </c>
      <c r="Q450">
        <v>224</v>
      </c>
      <c r="R450">
        <v>0</v>
      </c>
      <c r="S450">
        <v>65</v>
      </c>
      <c r="T450">
        <v>2</v>
      </c>
      <c r="U450" s="3">
        <f t="shared" si="54"/>
        <v>1</v>
      </c>
      <c r="V450" s="3">
        <f t="shared" si="55"/>
        <v>1</v>
      </c>
    </row>
    <row r="451" spans="1:22" x14ac:dyDescent="0.25">
      <c r="A451" s="2">
        <v>2017</v>
      </c>
      <c r="B451" t="s">
        <v>26</v>
      </c>
      <c r="C451" t="s">
        <v>21</v>
      </c>
      <c r="D451" s="2">
        <v>550</v>
      </c>
      <c r="E451" s="2">
        <v>119292</v>
      </c>
      <c r="F451" t="s">
        <v>344</v>
      </c>
      <c r="G451">
        <v>5</v>
      </c>
      <c r="H451">
        <v>5</v>
      </c>
      <c r="I451">
        <v>0</v>
      </c>
      <c r="J451">
        <v>0</v>
      </c>
      <c r="K451">
        <v>0</v>
      </c>
      <c r="L451" s="6">
        <f t="shared" si="56"/>
        <v>1</v>
      </c>
      <c r="M451">
        <v>96</v>
      </c>
      <c r="N451">
        <v>16</v>
      </c>
      <c r="O451" s="9">
        <v>0</v>
      </c>
      <c r="P451">
        <v>0</v>
      </c>
      <c r="Q451">
        <v>42</v>
      </c>
      <c r="R451">
        <v>0</v>
      </c>
      <c r="S451">
        <v>37</v>
      </c>
      <c r="T451">
        <v>1</v>
      </c>
      <c r="U451" s="3">
        <f t="shared" si="54"/>
        <v>1</v>
      </c>
      <c r="V451" s="3">
        <f t="shared" si="55"/>
        <v>1</v>
      </c>
    </row>
    <row r="452" spans="1:22" x14ac:dyDescent="0.25">
      <c r="A452" s="2">
        <v>2017</v>
      </c>
      <c r="B452" t="s">
        <v>26</v>
      </c>
      <c r="C452" t="s">
        <v>21</v>
      </c>
      <c r="D452" s="2">
        <v>546</v>
      </c>
      <c r="E452" s="2">
        <v>119467</v>
      </c>
      <c r="F452" t="s">
        <v>345</v>
      </c>
      <c r="G452">
        <v>17</v>
      </c>
      <c r="H452">
        <v>17</v>
      </c>
      <c r="I452">
        <v>0</v>
      </c>
      <c r="J452">
        <v>0</v>
      </c>
      <c r="K452">
        <v>0</v>
      </c>
      <c r="L452" s="6">
        <f t="shared" si="56"/>
        <v>1</v>
      </c>
      <c r="M452">
        <v>128</v>
      </c>
      <c r="N452">
        <v>12</v>
      </c>
      <c r="O452" s="9">
        <v>0</v>
      </c>
      <c r="P452">
        <v>0</v>
      </c>
      <c r="Q452">
        <v>45</v>
      </c>
      <c r="R452">
        <v>0</v>
      </c>
      <c r="S452">
        <v>69</v>
      </c>
      <c r="T452">
        <v>2</v>
      </c>
      <c r="U452" s="3">
        <f t="shared" si="54"/>
        <v>1</v>
      </c>
      <c r="V452" s="3">
        <f t="shared" si="55"/>
        <v>1</v>
      </c>
    </row>
    <row r="453" spans="1:22" x14ac:dyDescent="0.25">
      <c r="A453" s="2">
        <v>2017</v>
      </c>
      <c r="B453" t="s">
        <v>26</v>
      </c>
      <c r="C453" t="s">
        <v>21</v>
      </c>
      <c r="D453" s="2">
        <v>520</v>
      </c>
      <c r="E453" s="2">
        <v>8687</v>
      </c>
      <c r="F453" t="s">
        <v>346</v>
      </c>
      <c r="G453">
        <v>2</v>
      </c>
      <c r="H453">
        <v>2</v>
      </c>
      <c r="I453">
        <v>0</v>
      </c>
      <c r="J453">
        <v>0</v>
      </c>
      <c r="K453">
        <v>0</v>
      </c>
      <c r="L453" s="6">
        <f t="shared" si="56"/>
        <v>1</v>
      </c>
      <c r="M453">
        <v>27</v>
      </c>
      <c r="N453">
        <v>5</v>
      </c>
      <c r="O453" s="9">
        <v>0</v>
      </c>
      <c r="P453">
        <v>0</v>
      </c>
      <c r="Q453">
        <v>12</v>
      </c>
      <c r="R453">
        <v>0</v>
      </c>
      <c r="S453">
        <v>10</v>
      </c>
      <c r="T453">
        <v>0</v>
      </c>
      <c r="U453" s="3">
        <f t="shared" si="54"/>
        <v>1</v>
      </c>
      <c r="V453" s="3">
        <f t="shared" si="55"/>
        <v>1</v>
      </c>
    </row>
    <row r="454" spans="1:22" x14ac:dyDescent="0.25">
      <c r="A454" s="2">
        <v>2017</v>
      </c>
      <c r="B454" t="s">
        <v>38</v>
      </c>
      <c r="C454" t="s">
        <v>1</v>
      </c>
      <c r="D454" s="2">
        <v>53</v>
      </c>
      <c r="E454" s="2">
        <v>4713</v>
      </c>
      <c r="F454" t="s">
        <v>470</v>
      </c>
      <c r="G454">
        <v>13</v>
      </c>
      <c r="H454">
        <v>13</v>
      </c>
      <c r="I454">
        <v>0</v>
      </c>
      <c r="J454">
        <v>0</v>
      </c>
      <c r="K454">
        <v>0</v>
      </c>
      <c r="L454" s="6">
        <f t="shared" si="56"/>
        <v>1</v>
      </c>
      <c r="M454">
        <v>231</v>
      </c>
      <c r="N454">
        <v>39</v>
      </c>
      <c r="O454" s="9">
        <v>0</v>
      </c>
      <c r="P454">
        <v>0</v>
      </c>
      <c r="Q454">
        <v>90</v>
      </c>
      <c r="R454">
        <v>3</v>
      </c>
      <c r="S454">
        <v>98</v>
      </c>
      <c r="T454">
        <v>1</v>
      </c>
      <c r="U454" s="3">
        <f t="shared" ref="U454:U487" si="57">IF(M454=0,0,((N454+O454+Q454+S454+T454)/M454))</f>
        <v>0.98701298701298701</v>
      </c>
      <c r="V454" s="3">
        <f t="shared" ref="V454:V487" si="58">(H454+I454+J454+N454+Q454+S454+T454)/(G454+M454)</f>
        <v>0.98770491803278693</v>
      </c>
    </row>
    <row r="455" spans="1:22" x14ac:dyDescent="0.25">
      <c r="A455" s="2">
        <v>2017</v>
      </c>
      <c r="B455" t="s">
        <v>38</v>
      </c>
      <c r="C455" t="s">
        <v>1</v>
      </c>
      <c r="D455" s="2">
        <v>243</v>
      </c>
      <c r="E455" s="2">
        <v>4498</v>
      </c>
      <c r="F455" t="s">
        <v>471</v>
      </c>
      <c r="G455">
        <v>7</v>
      </c>
      <c r="H455">
        <v>7</v>
      </c>
      <c r="I455">
        <v>0</v>
      </c>
      <c r="J455">
        <v>0</v>
      </c>
      <c r="K455">
        <v>0</v>
      </c>
      <c r="L455" s="6">
        <f t="shared" si="56"/>
        <v>1</v>
      </c>
      <c r="M455">
        <v>91</v>
      </c>
      <c r="N455">
        <v>16</v>
      </c>
      <c r="O455" s="9">
        <v>0</v>
      </c>
      <c r="P455">
        <v>0</v>
      </c>
      <c r="Q455">
        <v>35</v>
      </c>
      <c r="R455">
        <v>0</v>
      </c>
      <c r="S455">
        <v>40</v>
      </c>
      <c r="T455">
        <v>0</v>
      </c>
      <c r="U455" s="3">
        <f t="shared" si="57"/>
        <v>1</v>
      </c>
      <c r="V455" s="3">
        <f t="shared" si="58"/>
        <v>1</v>
      </c>
    </row>
    <row r="456" spans="1:22" x14ac:dyDescent="0.25">
      <c r="A456" s="2">
        <v>2017</v>
      </c>
      <c r="B456" t="s">
        <v>38</v>
      </c>
      <c r="C456" t="s">
        <v>1</v>
      </c>
      <c r="D456" s="2">
        <v>16594</v>
      </c>
      <c r="E456" s="2">
        <v>119329</v>
      </c>
      <c r="F456" t="s">
        <v>472</v>
      </c>
      <c r="G456">
        <v>17</v>
      </c>
      <c r="H456">
        <v>17</v>
      </c>
      <c r="I456">
        <v>0</v>
      </c>
      <c r="J456">
        <v>0</v>
      </c>
      <c r="K456">
        <v>0</v>
      </c>
      <c r="L456" s="6">
        <f t="shared" si="56"/>
        <v>1</v>
      </c>
      <c r="M456">
        <v>227</v>
      </c>
      <c r="N456">
        <v>42</v>
      </c>
      <c r="O456" s="9">
        <v>0</v>
      </c>
      <c r="P456">
        <v>1</v>
      </c>
      <c r="Q456">
        <v>89</v>
      </c>
      <c r="R456">
        <v>0</v>
      </c>
      <c r="S456">
        <v>93</v>
      </c>
      <c r="T456">
        <v>2</v>
      </c>
      <c r="U456" s="3">
        <f t="shared" si="57"/>
        <v>0.99559471365638763</v>
      </c>
      <c r="V456" s="3">
        <f t="shared" si="58"/>
        <v>0.99590163934426235</v>
      </c>
    </row>
    <row r="457" spans="1:22" x14ac:dyDescent="0.25">
      <c r="A457" s="2">
        <v>2017</v>
      </c>
      <c r="B457" t="s">
        <v>38</v>
      </c>
      <c r="C457" t="s">
        <v>1</v>
      </c>
      <c r="D457" s="2">
        <v>0</v>
      </c>
      <c r="E457" s="2">
        <v>119331</v>
      </c>
      <c r="F457" t="s">
        <v>506</v>
      </c>
      <c r="G457">
        <v>2</v>
      </c>
      <c r="H457">
        <v>2</v>
      </c>
      <c r="I457">
        <v>0</v>
      </c>
      <c r="J457">
        <v>0</v>
      </c>
      <c r="K457">
        <v>0</v>
      </c>
      <c r="L457" s="6">
        <f t="shared" si="56"/>
        <v>1</v>
      </c>
      <c r="M457">
        <v>6</v>
      </c>
      <c r="N457">
        <v>1</v>
      </c>
      <c r="O457" s="9">
        <v>0</v>
      </c>
      <c r="P457">
        <v>0</v>
      </c>
      <c r="Q457">
        <v>1</v>
      </c>
      <c r="R457">
        <v>0</v>
      </c>
      <c r="S457">
        <v>4</v>
      </c>
      <c r="T457">
        <v>0</v>
      </c>
      <c r="U457" s="3">
        <f t="shared" si="57"/>
        <v>1</v>
      </c>
      <c r="V457" s="3">
        <f t="shared" si="58"/>
        <v>1</v>
      </c>
    </row>
    <row r="458" spans="1:22" x14ac:dyDescent="0.25">
      <c r="A458" s="2">
        <v>2017</v>
      </c>
      <c r="B458" t="s">
        <v>38</v>
      </c>
      <c r="C458" t="s">
        <v>1</v>
      </c>
      <c r="D458" s="2">
        <v>335</v>
      </c>
      <c r="E458" s="2">
        <v>2726</v>
      </c>
      <c r="F458" t="s">
        <v>473</v>
      </c>
      <c r="G458">
        <v>27</v>
      </c>
      <c r="H458">
        <v>27</v>
      </c>
      <c r="I458">
        <v>0</v>
      </c>
      <c r="J458">
        <v>0</v>
      </c>
      <c r="K458">
        <v>0</v>
      </c>
      <c r="L458" s="6">
        <f t="shared" si="56"/>
        <v>1</v>
      </c>
      <c r="M458">
        <v>230</v>
      </c>
      <c r="N458">
        <v>48</v>
      </c>
      <c r="O458" s="9">
        <v>0</v>
      </c>
      <c r="P458">
        <v>0</v>
      </c>
      <c r="Q458">
        <v>83</v>
      </c>
      <c r="R458">
        <v>0</v>
      </c>
      <c r="S458">
        <v>99</v>
      </c>
      <c r="T458">
        <v>0</v>
      </c>
      <c r="U458" s="3">
        <f t="shared" si="57"/>
        <v>1</v>
      </c>
      <c r="V458" s="3">
        <f t="shared" si="58"/>
        <v>1</v>
      </c>
    </row>
    <row r="459" spans="1:22" x14ac:dyDescent="0.25">
      <c r="A459" s="2">
        <v>2017</v>
      </c>
      <c r="B459" t="s">
        <v>38</v>
      </c>
      <c r="C459" t="s">
        <v>1</v>
      </c>
      <c r="D459" s="2">
        <v>473</v>
      </c>
      <c r="E459" s="2">
        <v>5243</v>
      </c>
      <c r="F459" t="s">
        <v>474</v>
      </c>
      <c r="G459">
        <v>18</v>
      </c>
      <c r="H459">
        <v>18</v>
      </c>
      <c r="I459">
        <v>0</v>
      </c>
      <c r="J459">
        <v>0</v>
      </c>
      <c r="K459">
        <v>0</v>
      </c>
      <c r="L459" s="6">
        <f t="shared" si="56"/>
        <v>1</v>
      </c>
      <c r="M459">
        <v>262</v>
      </c>
      <c r="N459">
        <v>51</v>
      </c>
      <c r="O459" s="9">
        <v>0</v>
      </c>
      <c r="P459">
        <v>0</v>
      </c>
      <c r="Q459">
        <v>113</v>
      </c>
      <c r="R459">
        <v>1</v>
      </c>
      <c r="S459">
        <v>96</v>
      </c>
      <c r="T459">
        <v>1</v>
      </c>
      <c r="U459" s="3">
        <f t="shared" si="57"/>
        <v>0.99618320610687028</v>
      </c>
      <c r="V459" s="3">
        <f t="shared" si="58"/>
        <v>0.99642857142857144</v>
      </c>
    </row>
    <row r="460" spans="1:22" x14ac:dyDescent="0.25">
      <c r="A460" s="2">
        <v>2017</v>
      </c>
      <c r="B460" t="s">
        <v>38</v>
      </c>
      <c r="C460" t="s">
        <v>1</v>
      </c>
      <c r="D460" s="2">
        <v>67</v>
      </c>
      <c r="E460" s="2">
        <v>2833</v>
      </c>
      <c r="F460" t="s">
        <v>475</v>
      </c>
      <c r="G460">
        <v>2</v>
      </c>
      <c r="H460">
        <v>2</v>
      </c>
      <c r="I460">
        <v>0</v>
      </c>
      <c r="J460">
        <v>0</v>
      </c>
      <c r="K460">
        <v>0</v>
      </c>
      <c r="L460" s="6">
        <f t="shared" si="56"/>
        <v>1</v>
      </c>
      <c r="M460">
        <v>97</v>
      </c>
      <c r="N460">
        <v>22</v>
      </c>
      <c r="O460" s="9">
        <v>0</v>
      </c>
      <c r="P460">
        <v>0</v>
      </c>
      <c r="Q460">
        <v>46</v>
      </c>
      <c r="R460">
        <v>0</v>
      </c>
      <c r="S460">
        <v>28</v>
      </c>
      <c r="T460">
        <v>1</v>
      </c>
      <c r="U460" s="3">
        <f t="shared" si="57"/>
        <v>1</v>
      </c>
      <c r="V460" s="3">
        <f t="shared" si="58"/>
        <v>1</v>
      </c>
    </row>
    <row r="461" spans="1:22" x14ac:dyDescent="0.25">
      <c r="A461" s="2">
        <v>2017</v>
      </c>
      <c r="B461" t="s">
        <v>38</v>
      </c>
      <c r="C461" t="s">
        <v>1</v>
      </c>
      <c r="D461" s="2">
        <v>3621</v>
      </c>
      <c r="E461" s="2">
        <v>9748</v>
      </c>
      <c r="F461" t="s">
        <v>476</v>
      </c>
      <c r="G461">
        <v>3</v>
      </c>
      <c r="H461">
        <v>3</v>
      </c>
      <c r="I461">
        <v>0</v>
      </c>
      <c r="J461">
        <v>0</v>
      </c>
      <c r="K461">
        <v>0</v>
      </c>
      <c r="L461" s="6">
        <f t="shared" si="56"/>
        <v>1</v>
      </c>
      <c r="M461">
        <v>225</v>
      </c>
      <c r="N461">
        <v>55</v>
      </c>
      <c r="O461" s="9">
        <v>0</v>
      </c>
      <c r="P461">
        <v>0</v>
      </c>
      <c r="Q461">
        <v>103</v>
      </c>
      <c r="R461">
        <v>0</v>
      </c>
      <c r="S461">
        <v>67</v>
      </c>
      <c r="T461">
        <v>0</v>
      </c>
      <c r="U461" s="3">
        <f t="shared" si="57"/>
        <v>1</v>
      </c>
      <c r="V461" s="3">
        <f t="shared" si="58"/>
        <v>1</v>
      </c>
    </row>
    <row r="462" spans="1:22" x14ac:dyDescent="0.25">
      <c r="A462" s="2">
        <v>2017</v>
      </c>
      <c r="B462" t="s">
        <v>38</v>
      </c>
      <c r="C462" t="s">
        <v>1</v>
      </c>
      <c r="D462" s="2">
        <v>567</v>
      </c>
      <c r="E462" s="2">
        <v>3218</v>
      </c>
      <c r="F462" t="s">
        <v>477</v>
      </c>
      <c r="G462">
        <v>28</v>
      </c>
      <c r="H462">
        <v>28</v>
      </c>
      <c r="I462">
        <v>0</v>
      </c>
      <c r="J462">
        <v>0</v>
      </c>
      <c r="K462">
        <v>0</v>
      </c>
      <c r="L462" s="6">
        <f t="shared" si="56"/>
        <v>1</v>
      </c>
      <c r="M462">
        <v>228</v>
      </c>
      <c r="N462">
        <v>37</v>
      </c>
      <c r="O462" s="9">
        <v>0</v>
      </c>
      <c r="P462">
        <v>0</v>
      </c>
      <c r="Q462">
        <v>89</v>
      </c>
      <c r="R462">
        <v>1</v>
      </c>
      <c r="S462">
        <v>101</v>
      </c>
      <c r="T462">
        <v>0</v>
      </c>
      <c r="U462" s="3">
        <f t="shared" si="57"/>
        <v>0.99561403508771928</v>
      </c>
      <c r="V462" s="3">
        <f t="shared" si="58"/>
        <v>0.99609375</v>
      </c>
    </row>
    <row r="463" spans="1:22" x14ac:dyDescent="0.25">
      <c r="A463" s="2">
        <v>2017</v>
      </c>
      <c r="B463" t="s">
        <v>38</v>
      </c>
      <c r="C463" t="s">
        <v>1</v>
      </c>
      <c r="D463" s="2">
        <v>20430</v>
      </c>
      <c r="E463" s="2">
        <v>120449</v>
      </c>
      <c r="F463" t="s">
        <v>505</v>
      </c>
      <c r="G463">
        <v>5</v>
      </c>
      <c r="H463">
        <v>4</v>
      </c>
      <c r="I463">
        <v>0</v>
      </c>
      <c r="J463">
        <v>1</v>
      </c>
      <c r="K463">
        <v>0</v>
      </c>
      <c r="L463" s="6">
        <f t="shared" si="56"/>
        <v>1</v>
      </c>
      <c r="M463">
        <v>78</v>
      </c>
      <c r="N463">
        <v>17</v>
      </c>
      <c r="O463" s="9">
        <v>0</v>
      </c>
      <c r="P463">
        <v>0</v>
      </c>
      <c r="Q463">
        <v>37</v>
      </c>
      <c r="R463">
        <v>0</v>
      </c>
      <c r="S463">
        <v>23</v>
      </c>
      <c r="T463">
        <v>1</v>
      </c>
      <c r="U463" s="3">
        <f t="shared" si="57"/>
        <v>1</v>
      </c>
      <c r="V463" s="3">
        <f t="shared" si="58"/>
        <v>1</v>
      </c>
    </row>
    <row r="464" spans="1:22" x14ac:dyDescent="0.25">
      <c r="A464" s="2">
        <v>2017</v>
      </c>
      <c r="B464" t="s">
        <v>38</v>
      </c>
      <c r="C464" t="s">
        <v>1</v>
      </c>
      <c r="D464" s="2">
        <v>627</v>
      </c>
      <c r="E464" s="2">
        <v>3693</v>
      </c>
      <c r="F464" t="s">
        <v>478</v>
      </c>
      <c r="G464">
        <v>15</v>
      </c>
      <c r="H464">
        <v>15</v>
      </c>
      <c r="I464">
        <v>0</v>
      </c>
      <c r="J464">
        <v>0</v>
      </c>
      <c r="K464">
        <v>0</v>
      </c>
      <c r="L464" s="6">
        <f t="shared" si="56"/>
        <v>1</v>
      </c>
      <c r="M464">
        <v>172</v>
      </c>
      <c r="N464">
        <v>32</v>
      </c>
      <c r="O464" s="9">
        <v>0</v>
      </c>
      <c r="P464">
        <v>0</v>
      </c>
      <c r="Q464">
        <v>66</v>
      </c>
      <c r="R464">
        <v>0</v>
      </c>
      <c r="S464">
        <v>72</v>
      </c>
      <c r="T464">
        <v>2</v>
      </c>
      <c r="U464" s="3">
        <f t="shared" si="57"/>
        <v>1</v>
      </c>
      <c r="V464" s="3">
        <f t="shared" si="58"/>
        <v>1</v>
      </c>
    </row>
    <row r="465" spans="1:22" x14ac:dyDescent="0.25">
      <c r="A465" s="2">
        <v>2017</v>
      </c>
      <c r="B465" t="s">
        <v>38</v>
      </c>
      <c r="C465" t="s">
        <v>1</v>
      </c>
      <c r="D465" s="2">
        <v>130</v>
      </c>
      <c r="E465" s="2">
        <v>5419</v>
      </c>
      <c r="F465" t="s">
        <v>479</v>
      </c>
      <c r="G465">
        <v>14</v>
      </c>
      <c r="H465">
        <v>14</v>
      </c>
      <c r="I465">
        <v>0</v>
      </c>
      <c r="J465">
        <v>0</v>
      </c>
      <c r="K465">
        <v>0</v>
      </c>
      <c r="L465" s="6">
        <f t="shared" si="56"/>
        <v>1</v>
      </c>
      <c r="M465">
        <v>210</v>
      </c>
      <c r="N465">
        <v>45</v>
      </c>
      <c r="O465" s="9">
        <v>0</v>
      </c>
      <c r="P465">
        <v>0</v>
      </c>
      <c r="Q465">
        <v>95</v>
      </c>
      <c r="R465">
        <v>0</v>
      </c>
      <c r="S465">
        <v>69</v>
      </c>
      <c r="T465">
        <v>1</v>
      </c>
      <c r="U465" s="3">
        <f t="shared" si="57"/>
        <v>1</v>
      </c>
      <c r="V465" s="3">
        <f t="shared" si="58"/>
        <v>1</v>
      </c>
    </row>
    <row r="466" spans="1:22" x14ac:dyDescent="0.25">
      <c r="A466" s="2">
        <v>2017</v>
      </c>
      <c r="B466" t="s">
        <v>38</v>
      </c>
      <c r="C466" t="s">
        <v>1</v>
      </c>
      <c r="D466" s="2">
        <v>1397</v>
      </c>
      <c r="E466" s="2">
        <v>3661</v>
      </c>
      <c r="F466" t="s">
        <v>480</v>
      </c>
      <c r="G466">
        <v>17</v>
      </c>
      <c r="H466">
        <v>17</v>
      </c>
      <c r="I466">
        <v>0</v>
      </c>
      <c r="J466">
        <v>0</v>
      </c>
      <c r="K466">
        <v>0</v>
      </c>
      <c r="L466" s="6">
        <f t="shared" si="56"/>
        <v>1</v>
      </c>
      <c r="M466">
        <v>192</v>
      </c>
      <c r="N466">
        <v>36</v>
      </c>
      <c r="O466" s="9">
        <v>0</v>
      </c>
      <c r="P466">
        <v>0</v>
      </c>
      <c r="Q466">
        <v>63</v>
      </c>
      <c r="R466">
        <v>0</v>
      </c>
      <c r="S466">
        <v>93</v>
      </c>
      <c r="T466">
        <v>0</v>
      </c>
      <c r="U466" s="3">
        <f t="shared" si="57"/>
        <v>1</v>
      </c>
      <c r="V466" s="3">
        <f t="shared" si="58"/>
        <v>1</v>
      </c>
    </row>
    <row r="467" spans="1:22" x14ac:dyDescent="0.25">
      <c r="A467" s="2">
        <v>2017</v>
      </c>
      <c r="B467" t="s">
        <v>38</v>
      </c>
      <c r="C467" t="s">
        <v>1</v>
      </c>
      <c r="D467" s="2">
        <v>1508</v>
      </c>
      <c r="E467" s="2">
        <v>3157</v>
      </c>
      <c r="F467" t="s">
        <v>481</v>
      </c>
      <c r="G467">
        <v>2</v>
      </c>
      <c r="H467">
        <v>2</v>
      </c>
      <c r="I467">
        <v>0</v>
      </c>
      <c r="J467">
        <v>0</v>
      </c>
      <c r="K467">
        <v>0</v>
      </c>
      <c r="L467" s="6">
        <f t="shared" si="56"/>
        <v>1</v>
      </c>
      <c r="M467">
        <v>267</v>
      </c>
      <c r="N467">
        <v>68</v>
      </c>
      <c r="O467" s="9">
        <v>0</v>
      </c>
      <c r="P467">
        <v>0</v>
      </c>
      <c r="Q467">
        <v>149</v>
      </c>
      <c r="R467">
        <v>0</v>
      </c>
      <c r="S467">
        <v>49</v>
      </c>
      <c r="T467">
        <v>1</v>
      </c>
      <c r="U467" s="3">
        <f t="shared" si="57"/>
        <v>1</v>
      </c>
      <c r="V467" s="3">
        <f t="shared" si="58"/>
        <v>1</v>
      </c>
    </row>
    <row r="468" spans="1:22" x14ac:dyDescent="0.25">
      <c r="A468" s="2">
        <v>2017</v>
      </c>
      <c r="B468" t="s">
        <v>38</v>
      </c>
      <c r="C468" t="s">
        <v>1</v>
      </c>
      <c r="D468" s="2">
        <v>136</v>
      </c>
      <c r="E468" s="2">
        <v>2834</v>
      </c>
      <c r="F468" t="s">
        <v>482</v>
      </c>
      <c r="G468">
        <v>8</v>
      </c>
      <c r="H468">
        <v>8</v>
      </c>
      <c r="I468">
        <v>0</v>
      </c>
      <c r="J468">
        <v>0</v>
      </c>
      <c r="K468">
        <v>0</v>
      </c>
      <c r="L468" s="6">
        <f t="shared" si="56"/>
        <v>1</v>
      </c>
      <c r="M468">
        <v>108</v>
      </c>
      <c r="N468">
        <v>22</v>
      </c>
      <c r="O468" s="9">
        <v>0</v>
      </c>
      <c r="P468">
        <v>0</v>
      </c>
      <c r="Q468">
        <v>48</v>
      </c>
      <c r="R468">
        <v>0</v>
      </c>
      <c r="S468">
        <v>38</v>
      </c>
      <c r="T468">
        <v>0</v>
      </c>
      <c r="U468" s="3">
        <f t="shared" si="57"/>
        <v>1</v>
      </c>
      <c r="V468" s="3">
        <f t="shared" si="58"/>
        <v>1</v>
      </c>
    </row>
    <row r="469" spans="1:22" x14ac:dyDescent="0.25">
      <c r="A469" s="2">
        <v>2017</v>
      </c>
      <c r="B469" t="s">
        <v>38</v>
      </c>
      <c r="C469" t="s">
        <v>1</v>
      </c>
      <c r="D469" s="2">
        <v>138</v>
      </c>
      <c r="E469" s="2">
        <v>2741</v>
      </c>
      <c r="F469" t="s">
        <v>483</v>
      </c>
      <c r="G469">
        <v>20</v>
      </c>
      <c r="H469">
        <v>20</v>
      </c>
      <c r="I469">
        <v>0</v>
      </c>
      <c r="J469">
        <v>0</v>
      </c>
      <c r="K469">
        <v>0</v>
      </c>
      <c r="L469" s="6">
        <f t="shared" si="56"/>
        <v>1</v>
      </c>
      <c r="M469">
        <v>222</v>
      </c>
      <c r="N469">
        <v>29</v>
      </c>
      <c r="O469" s="9">
        <v>0</v>
      </c>
      <c r="P469">
        <v>0</v>
      </c>
      <c r="Q469">
        <v>83</v>
      </c>
      <c r="R469">
        <v>1</v>
      </c>
      <c r="S469">
        <v>107</v>
      </c>
      <c r="T469">
        <v>2</v>
      </c>
      <c r="U469" s="3">
        <f t="shared" si="57"/>
        <v>0.99549549549549554</v>
      </c>
      <c r="V469" s="3">
        <f t="shared" si="58"/>
        <v>0.99586776859504134</v>
      </c>
    </row>
    <row r="470" spans="1:22" x14ac:dyDescent="0.25">
      <c r="A470" s="2">
        <v>2017</v>
      </c>
      <c r="B470" t="s">
        <v>38</v>
      </c>
      <c r="C470" t="s">
        <v>1</v>
      </c>
      <c r="D470" s="2">
        <v>19352</v>
      </c>
      <c r="E470" s="2">
        <v>122191</v>
      </c>
      <c r="F470" t="s">
        <v>484</v>
      </c>
      <c r="G470">
        <v>11</v>
      </c>
      <c r="H470">
        <v>11</v>
      </c>
      <c r="I470">
        <v>0</v>
      </c>
      <c r="J470">
        <v>0</v>
      </c>
      <c r="K470">
        <v>0</v>
      </c>
      <c r="L470" s="6">
        <f t="shared" si="56"/>
        <v>1</v>
      </c>
      <c r="M470">
        <v>267</v>
      </c>
      <c r="N470">
        <v>48</v>
      </c>
      <c r="O470" s="9">
        <v>0</v>
      </c>
      <c r="P470">
        <v>1</v>
      </c>
      <c r="Q470">
        <v>102</v>
      </c>
      <c r="R470">
        <v>0</v>
      </c>
      <c r="S470">
        <v>116</v>
      </c>
      <c r="T470">
        <v>0</v>
      </c>
      <c r="U470" s="3">
        <f t="shared" si="57"/>
        <v>0.99625468164794007</v>
      </c>
      <c r="V470" s="3">
        <f t="shared" si="58"/>
        <v>0.99640287769784175</v>
      </c>
    </row>
    <row r="471" spans="1:22" x14ac:dyDescent="0.25">
      <c r="A471" s="2">
        <v>2017</v>
      </c>
      <c r="B471" t="s">
        <v>38</v>
      </c>
      <c r="C471" t="s">
        <v>1</v>
      </c>
      <c r="D471" s="2">
        <v>1632</v>
      </c>
      <c r="E471" s="2">
        <v>2953</v>
      </c>
      <c r="F471" t="s">
        <v>485</v>
      </c>
      <c r="G471">
        <v>5</v>
      </c>
      <c r="H471">
        <v>4</v>
      </c>
      <c r="I471">
        <v>0</v>
      </c>
      <c r="J471">
        <v>1</v>
      </c>
      <c r="K471">
        <v>0</v>
      </c>
      <c r="L471" s="6">
        <f t="shared" si="56"/>
        <v>1</v>
      </c>
      <c r="M471">
        <v>194</v>
      </c>
      <c r="N471">
        <v>34</v>
      </c>
      <c r="O471" s="9">
        <v>0</v>
      </c>
      <c r="P471">
        <v>0</v>
      </c>
      <c r="Q471">
        <v>65</v>
      </c>
      <c r="R471">
        <v>0</v>
      </c>
      <c r="S471">
        <v>93</v>
      </c>
      <c r="T471">
        <v>2</v>
      </c>
      <c r="U471" s="3">
        <f t="shared" si="57"/>
        <v>1</v>
      </c>
      <c r="V471" s="3">
        <f t="shared" si="58"/>
        <v>1</v>
      </c>
    </row>
    <row r="472" spans="1:22" x14ac:dyDescent="0.25">
      <c r="A472" s="2">
        <v>2017</v>
      </c>
      <c r="B472" t="s">
        <v>38</v>
      </c>
      <c r="C472" t="s">
        <v>1</v>
      </c>
      <c r="D472" s="2">
        <v>1661</v>
      </c>
      <c r="E472" s="2">
        <v>104</v>
      </c>
      <c r="F472" t="s">
        <v>486</v>
      </c>
      <c r="G472">
        <v>10</v>
      </c>
      <c r="H472">
        <v>10</v>
      </c>
      <c r="I472">
        <v>0</v>
      </c>
      <c r="J472">
        <v>0</v>
      </c>
      <c r="K472">
        <v>0</v>
      </c>
      <c r="L472" s="6">
        <f t="shared" si="56"/>
        <v>1</v>
      </c>
      <c r="M472">
        <v>108</v>
      </c>
      <c r="N472">
        <v>13</v>
      </c>
      <c r="O472" s="9">
        <v>0</v>
      </c>
      <c r="P472">
        <v>0</v>
      </c>
      <c r="Q472">
        <v>37</v>
      </c>
      <c r="R472">
        <v>0</v>
      </c>
      <c r="S472">
        <v>57</v>
      </c>
      <c r="T472">
        <v>1</v>
      </c>
      <c r="U472" s="3">
        <f t="shared" si="57"/>
        <v>1</v>
      </c>
      <c r="V472" s="3">
        <f t="shared" si="58"/>
        <v>1</v>
      </c>
    </row>
    <row r="473" spans="1:22" x14ac:dyDescent="0.25">
      <c r="A473" s="2">
        <v>2017</v>
      </c>
      <c r="B473" t="s">
        <v>38</v>
      </c>
      <c r="C473" t="s">
        <v>1</v>
      </c>
      <c r="D473" s="2">
        <v>1667</v>
      </c>
      <c r="E473" s="2">
        <v>4727</v>
      </c>
      <c r="F473" t="s">
        <v>487</v>
      </c>
      <c r="G473">
        <v>10</v>
      </c>
      <c r="H473">
        <v>10</v>
      </c>
      <c r="I473">
        <v>0</v>
      </c>
      <c r="J473">
        <v>0</v>
      </c>
      <c r="K473">
        <v>0</v>
      </c>
      <c r="L473" s="6">
        <f t="shared" si="56"/>
        <v>1</v>
      </c>
      <c r="M473">
        <v>173</v>
      </c>
      <c r="N473">
        <v>22</v>
      </c>
      <c r="O473" s="9">
        <v>0</v>
      </c>
      <c r="P473">
        <v>0</v>
      </c>
      <c r="Q473">
        <v>56</v>
      </c>
      <c r="R473">
        <v>0</v>
      </c>
      <c r="S473">
        <v>94</v>
      </c>
      <c r="T473">
        <v>1</v>
      </c>
      <c r="U473" s="3">
        <f t="shared" si="57"/>
        <v>1</v>
      </c>
      <c r="V473" s="3">
        <f t="shared" si="58"/>
        <v>1</v>
      </c>
    </row>
    <row r="474" spans="1:22" x14ac:dyDescent="0.25">
      <c r="A474" s="2">
        <v>2017</v>
      </c>
      <c r="B474" t="s">
        <v>38</v>
      </c>
      <c r="C474" t="s">
        <v>1</v>
      </c>
      <c r="D474" s="2">
        <v>20010</v>
      </c>
      <c r="E474" s="2">
        <v>119432</v>
      </c>
      <c r="F474" t="s">
        <v>488</v>
      </c>
      <c r="G474">
        <v>16</v>
      </c>
      <c r="H474">
        <v>16</v>
      </c>
      <c r="I474">
        <v>0</v>
      </c>
      <c r="J474">
        <v>0</v>
      </c>
      <c r="K474">
        <v>0</v>
      </c>
      <c r="L474" s="6">
        <f t="shared" si="56"/>
        <v>1</v>
      </c>
      <c r="M474">
        <v>236</v>
      </c>
      <c r="N474">
        <v>36</v>
      </c>
      <c r="O474" s="9">
        <v>0</v>
      </c>
      <c r="P474">
        <v>0</v>
      </c>
      <c r="Q474">
        <v>97</v>
      </c>
      <c r="R474">
        <v>0</v>
      </c>
      <c r="S474">
        <v>102</v>
      </c>
      <c r="T474">
        <v>1</v>
      </c>
      <c r="U474" s="3">
        <f t="shared" si="57"/>
        <v>1</v>
      </c>
      <c r="V474" s="3">
        <f t="shared" si="58"/>
        <v>1</v>
      </c>
    </row>
    <row r="475" spans="1:22" x14ac:dyDescent="0.25">
      <c r="A475" s="2">
        <v>2017</v>
      </c>
      <c r="B475" t="s">
        <v>38</v>
      </c>
      <c r="C475" t="s">
        <v>1</v>
      </c>
      <c r="D475" s="2">
        <v>639</v>
      </c>
      <c r="E475" s="2">
        <v>4723</v>
      </c>
      <c r="F475" t="s">
        <v>489</v>
      </c>
      <c r="G475">
        <v>16</v>
      </c>
      <c r="H475">
        <v>16</v>
      </c>
      <c r="I475">
        <v>0</v>
      </c>
      <c r="J475">
        <v>0</v>
      </c>
      <c r="K475">
        <v>0</v>
      </c>
      <c r="L475" s="6">
        <f t="shared" si="56"/>
        <v>1</v>
      </c>
      <c r="M475">
        <v>228</v>
      </c>
      <c r="N475">
        <v>41</v>
      </c>
      <c r="O475" s="9">
        <v>0</v>
      </c>
      <c r="P475">
        <v>0</v>
      </c>
      <c r="Q475">
        <v>99</v>
      </c>
      <c r="R475">
        <v>1</v>
      </c>
      <c r="S475">
        <v>87</v>
      </c>
      <c r="T475">
        <v>0</v>
      </c>
      <c r="U475" s="3">
        <f t="shared" si="57"/>
        <v>0.99561403508771928</v>
      </c>
      <c r="V475" s="3">
        <f t="shared" si="58"/>
        <v>0.99590163934426235</v>
      </c>
    </row>
    <row r="476" spans="1:22" x14ac:dyDescent="0.25">
      <c r="A476" s="2">
        <v>2017</v>
      </c>
      <c r="B476" t="s">
        <v>38</v>
      </c>
      <c r="C476" t="s">
        <v>1</v>
      </c>
      <c r="D476" s="2">
        <v>1909</v>
      </c>
      <c r="E476" s="2">
        <v>5437</v>
      </c>
      <c r="F476" t="s">
        <v>490</v>
      </c>
      <c r="G476">
        <v>17</v>
      </c>
      <c r="H476">
        <v>17</v>
      </c>
      <c r="I476">
        <v>0</v>
      </c>
      <c r="J476">
        <v>0</v>
      </c>
      <c r="K476">
        <v>0</v>
      </c>
      <c r="L476" s="6">
        <f t="shared" si="56"/>
        <v>1</v>
      </c>
      <c r="M476">
        <v>162</v>
      </c>
      <c r="N476">
        <v>33</v>
      </c>
      <c r="O476" s="9">
        <v>0</v>
      </c>
      <c r="P476">
        <v>0</v>
      </c>
      <c r="Q476">
        <v>65</v>
      </c>
      <c r="R476">
        <v>2</v>
      </c>
      <c r="S476">
        <v>62</v>
      </c>
      <c r="T476">
        <v>0</v>
      </c>
      <c r="U476" s="3">
        <f t="shared" si="57"/>
        <v>0.98765432098765427</v>
      </c>
      <c r="V476" s="3">
        <f t="shared" si="58"/>
        <v>0.98882681564245811</v>
      </c>
    </row>
    <row r="477" spans="1:22" x14ac:dyDescent="0.25">
      <c r="A477" s="2">
        <v>2017</v>
      </c>
      <c r="B477" t="s">
        <v>38</v>
      </c>
      <c r="C477" t="s">
        <v>1</v>
      </c>
      <c r="D477" s="2">
        <v>531</v>
      </c>
      <c r="E477" s="2">
        <v>9506</v>
      </c>
      <c r="F477" t="s">
        <v>57</v>
      </c>
      <c r="G477">
        <v>2</v>
      </c>
      <c r="H477">
        <v>2</v>
      </c>
      <c r="I477">
        <v>0</v>
      </c>
      <c r="J477">
        <v>0</v>
      </c>
      <c r="K477">
        <v>0</v>
      </c>
      <c r="L477" s="6">
        <f t="shared" si="56"/>
        <v>1</v>
      </c>
      <c r="M477">
        <v>32</v>
      </c>
      <c r="N477">
        <v>7</v>
      </c>
      <c r="O477" s="9">
        <v>0</v>
      </c>
      <c r="P477">
        <v>0</v>
      </c>
      <c r="Q477">
        <v>12</v>
      </c>
      <c r="R477">
        <v>0</v>
      </c>
      <c r="S477">
        <v>13</v>
      </c>
      <c r="T477">
        <v>0</v>
      </c>
      <c r="U477" s="3">
        <f t="shared" si="57"/>
        <v>1</v>
      </c>
      <c r="V477" s="3">
        <f t="shared" si="58"/>
        <v>1</v>
      </c>
    </row>
    <row r="478" spans="1:22" x14ac:dyDescent="0.25">
      <c r="A478" s="2">
        <v>2017</v>
      </c>
      <c r="B478" t="s">
        <v>38</v>
      </c>
      <c r="C478" t="s">
        <v>1</v>
      </c>
      <c r="D478" s="2">
        <v>3622</v>
      </c>
      <c r="E478" s="2">
        <v>5670</v>
      </c>
      <c r="F478" t="s">
        <v>491</v>
      </c>
      <c r="G478">
        <v>12</v>
      </c>
      <c r="H478">
        <v>12</v>
      </c>
      <c r="I478">
        <v>0</v>
      </c>
      <c r="J478">
        <v>0</v>
      </c>
      <c r="K478">
        <v>0</v>
      </c>
      <c r="L478" s="6">
        <f t="shared" si="56"/>
        <v>1</v>
      </c>
      <c r="M478">
        <v>292</v>
      </c>
      <c r="N478">
        <v>53</v>
      </c>
      <c r="O478" s="9">
        <v>0</v>
      </c>
      <c r="P478">
        <v>0</v>
      </c>
      <c r="Q478">
        <v>122</v>
      </c>
      <c r="R478">
        <v>0</v>
      </c>
      <c r="S478">
        <v>116</v>
      </c>
      <c r="T478">
        <v>1</v>
      </c>
      <c r="U478" s="3">
        <f t="shared" si="57"/>
        <v>1</v>
      </c>
      <c r="V478" s="3">
        <f t="shared" si="58"/>
        <v>1</v>
      </c>
    </row>
    <row r="479" spans="1:22" x14ac:dyDescent="0.25">
      <c r="A479" s="2">
        <v>2017</v>
      </c>
      <c r="B479" t="s">
        <v>38</v>
      </c>
      <c r="C479" t="s">
        <v>1</v>
      </c>
      <c r="D479" s="2">
        <v>15555</v>
      </c>
      <c r="E479" s="2">
        <v>9514</v>
      </c>
      <c r="F479" t="s">
        <v>492</v>
      </c>
      <c r="G479">
        <v>12</v>
      </c>
      <c r="H479">
        <v>12</v>
      </c>
      <c r="I479">
        <v>0</v>
      </c>
      <c r="J479">
        <v>0</v>
      </c>
      <c r="K479">
        <v>0</v>
      </c>
      <c r="L479" s="6">
        <f t="shared" si="56"/>
        <v>1</v>
      </c>
      <c r="M479">
        <v>207</v>
      </c>
      <c r="N479">
        <v>49</v>
      </c>
      <c r="O479" s="9">
        <v>0</v>
      </c>
      <c r="P479">
        <v>0</v>
      </c>
      <c r="Q479">
        <v>75</v>
      </c>
      <c r="R479">
        <v>0</v>
      </c>
      <c r="S479">
        <v>82</v>
      </c>
      <c r="T479">
        <v>1</v>
      </c>
      <c r="U479" s="3">
        <f t="shared" si="57"/>
        <v>1</v>
      </c>
      <c r="V479" s="3">
        <f t="shared" si="58"/>
        <v>1</v>
      </c>
    </row>
    <row r="480" spans="1:22" x14ac:dyDescent="0.25">
      <c r="A480" s="2">
        <v>2017</v>
      </c>
      <c r="B480" t="s">
        <v>38</v>
      </c>
      <c r="C480" t="s">
        <v>1</v>
      </c>
      <c r="D480" s="2">
        <v>820</v>
      </c>
      <c r="E480" s="2">
        <v>5431</v>
      </c>
      <c r="F480" t="s">
        <v>493</v>
      </c>
      <c r="G480">
        <v>20</v>
      </c>
      <c r="H480">
        <v>20</v>
      </c>
      <c r="I480">
        <v>0</v>
      </c>
      <c r="J480">
        <v>0</v>
      </c>
      <c r="K480">
        <v>0</v>
      </c>
      <c r="L480" s="6">
        <f t="shared" si="56"/>
        <v>1</v>
      </c>
      <c r="M480">
        <v>250</v>
      </c>
      <c r="N480">
        <v>58</v>
      </c>
      <c r="O480" s="9">
        <v>0</v>
      </c>
      <c r="P480">
        <v>0</v>
      </c>
      <c r="Q480">
        <v>79</v>
      </c>
      <c r="R480">
        <v>2</v>
      </c>
      <c r="S480">
        <v>109</v>
      </c>
      <c r="T480">
        <v>2</v>
      </c>
      <c r="U480" s="3">
        <f t="shared" si="57"/>
        <v>0.99199999999999999</v>
      </c>
      <c r="V480" s="3">
        <f t="shared" si="58"/>
        <v>0.99259259259259258</v>
      </c>
    </row>
    <row r="481" spans="1:22" x14ac:dyDescent="0.25">
      <c r="A481" s="2">
        <v>2017</v>
      </c>
      <c r="B481" t="s">
        <v>38</v>
      </c>
      <c r="C481" t="s">
        <v>1</v>
      </c>
      <c r="D481" s="2">
        <v>3595</v>
      </c>
      <c r="E481" s="2">
        <v>9918</v>
      </c>
      <c r="F481" t="s">
        <v>495</v>
      </c>
      <c r="G481">
        <v>3</v>
      </c>
      <c r="H481">
        <v>3</v>
      </c>
      <c r="I481">
        <v>0</v>
      </c>
      <c r="J481">
        <v>0</v>
      </c>
      <c r="K481">
        <v>0</v>
      </c>
      <c r="L481" s="6">
        <f t="shared" si="56"/>
        <v>1</v>
      </c>
      <c r="M481">
        <v>238</v>
      </c>
      <c r="N481">
        <v>64</v>
      </c>
      <c r="O481" s="9">
        <v>0</v>
      </c>
      <c r="P481">
        <v>0</v>
      </c>
      <c r="Q481">
        <v>97</v>
      </c>
      <c r="R481">
        <v>0</v>
      </c>
      <c r="S481">
        <v>77</v>
      </c>
      <c r="T481">
        <v>0</v>
      </c>
      <c r="U481" s="3">
        <f t="shared" si="57"/>
        <v>1</v>
      </c>
      <c r="V481" s="3">
        <f t="shared" si="58"/>
        <v>1</v>
      </c>
    </row>
    <row r="482" spans="1:22" x14ac:dyDescent="0.25">
      <c r="A482" s="2">
        <v>2017</v>
      </c>
      <c r="B482" t="s">
        <v>38</v>
      </c>
      <c r="C482" t="s">
        <v>1</v>
      </c>
      <c r="D482" s="2">
        <v>1016</v>
      </c>
      <c r="E482" s="2">
        <v>2749</v>
      </c>
      <c r="F482" t="s">
        <v>496</v>
      </c>
      <c r="G482">
        <v>16</v>
      </c>
      <c r="H482">
        <v>16</v>
      </c>
      <c r="I482">
        <v>0</v>
      </c>
      <c r="J482">
        <v>0</v>
      </c>
      <c r="K482">
        <v>0</v>
      </c>
      <c r="L482" s="6">
        <f t="shared" si="56"/>
        <v>1</v>
      </c>
      <c r="M482">
        <v>202</v>
      </c>
      <c r="N482">
        <v>39</v>
      </c>
      <c r="O482" s="9">
        <v>0</v>
      </c>
      <c r="P482">
        <v>1</v>
      </c>
      <c r="Q482">
        <v>78</v>
      </c>
      <c r="R482">
        <v>1</v>
      </c>
      <c r="S482">
        <v>83</v>
      </c>
      <c r="T482">
        <v>0</v>
      </c>
      <c r="U482" s="3">
        <f t="shared" si="57"/>
        <v>0.99009900990099009</v>
      </c>
      <c r="V482" s="3">
        <f t="shared" si="58"/>
        <v>0.99082568807339455</v>
      </c>
    </row>
    <row r="483" spans="1:22" x14ac:dyDescent="0.25">
      <c r="A483" s="2">
        <v>2017</v>
      </c>
      <c r="B483" t="s">
        <v>38</v>
      </c>
      <c r="C483" t="s">
        <v>1</v>
      </c>
      <c r="D483" s="2">
        <v>1050</v>
      </c>
      <c r="E483" s="2">
        <v>5302</v>
      </c>
      <c r="F483" t="s">
        <v>497</v>
      </c>
      <c r="G483">
        <v>0</v>
      </c>
      <c r="H483">
        <v>0</v>
      </c>
      <c r="I483">
        <v>0</v>
      </c>
      <c r="J483">
        <v>0</v>
      </c>
      <c r="K483">
        <v>0</v>
      </c>
      <c r="L483" s="6">
        <f t="shared" si="56"/>
        <v>0</v>
      </c>
      <c r="M483">
        <v>40</v>
      </c>
      <c r="N483">
        <v>7</v>
      </c>
      <c r="O483" s="9">
        <v>0</v>
      </c>
      <c r="P483">
        <v>0</v>
      </c>
      <c r="Q483">
        <v>21</v>
      </c>
      <c r="R483">
        <v>0</v>
      </c>
      <c r="S483">
        <v>12</v>
      </c>
      <c r="T483">
        <v>0</v>
      </c>
      <c r="U483" s="3">
        <f t="shared" si="57"/>
        <v>1</v>
      </c>
      <c r="V483" s="3">
        <f t="shared" si="58"/>
        <v>1</v>
      </c>
    </row>
    <row r="484" spans="1:22" x14ac:dyDescent="0.25">
      <c r="A484" s="2">
        <v>2017</v>
      </c>
      <c r="B484" t="s">
        <v>38</v>
      </c>
      <c r="C484" t="s">
        <v>1</v>
      </c>
      <c r="D484" s="2">
        <v>1108</v>
      </c>
      <c r="E484" s="2">
        <v>4332</v>
      </c>
      <c r="F484" t="s">
        <v>498</v>
      </c>
      <c r="G484">
        <v>10</v>
      </c>
      <c r="H484">
        <v>10</v>
      </c>
      <c r="I484">
        <v>0</v>
      </c>
      <c r="J484">
        <v>0</v>
      </c>
      <c r="K484">
        <v>0</v>
      </c>
      <c r="L484" s="6">
        <f t="shared" si="56"/>
        <v>1</v>
      </c>
      <c r="M484">
        <v>204</v>
      </c>
      <c r="N484">
        <v>40</v>
      </c>
      <c r="O484" s="9">
        <v>0</v>
      </c>
      <c r="P484">
        <v>2</v>
      </c>
      <c r="Q484">
        <v>91</v>
      </c>
      <c r="R484">
        <v>0</v>
      </c>
      <c r="S484">
        <v>71</v>
      </c>
      <c r="T484">
        <v>0</v>
      </c>
      <c r="U484" s="3">
        <f t="shared" si="57"/>
        <v>0.99019607843137258</v>
      </c>
      <c r="V484" s="3">
        <f t="shared" si="58"/>
        <v>0.99065420560747663</v>
      </c>
    </row>
    <row r="485" spans="1:22" x14ac:dyDescent="0.25">
      <c r="A485" s="2">
        <v>2017</v>
      </c>
      <c r="B485" t="s">
        <v>38</v>
      </c>
      <c r="C485" t="s">
        <v>1</v>
      </c>
      <c r="D485" s="2">
        <v>3623</v>
      </c>
      <c r="E485" s="2">
        <v>6046</v>
      </c>
      <c r="F485" t="s">
        <v>499</v>
      </c>
      <c r="G485">
        <v>20</v>
      </c>
      <c r="H485">
        <v>20</v>
      </c>
      <c r="I485">
        <v>0</v>
      </c>
      <c r="J485">
        <v>0</v>
      </c>
      <c r="K485">
        <v>0</v>
      </c>
      <c r="L485" s="6">
        <f t="shared" si="56"/>
        <v>1</v>
      </c>
      <c r="M485">
        <v>254</v>
      </c>
      <c r="N485">
        <v>48</v>
      </c>
      <c r="O485" s="9">
        <v>0</v>
      </c>
      <c r="P485">
        <v>1</v>
      </c>
      <c r="Q485">
        <v>120</v>
      </c>
      <c r="R485">
        <v>0</v>
      </c>
      <c r="S485">
        <v>85</v>
      </c>
      <c r="T485">
        <v>0</v>
      </c>
      <c r="U485" s="3">
        <f t="shared" si="57"/>
        <v>0.99606299212598426</v>
      </c>
      <c r="V485" s="3">
        <f t="shared" si="58"/>
        <v>0.9963503649635036</v>
      </c>
    </row>
    <row r="486" spans="1:22" x14ac:dyDescent="0.25">
      <c r="A486" s="2">
        <v>2017</v>
      </c>
      <c r="B486" t="s">
        <v>38</v>
      </c>
      <c r="C486" t="s">
        <v>1</v>
      </c>
      <c r="D486" s="2">
        <v>14791</v>
      </c>
      <c r="E486" s="2">
        <v>118895</v>
      </c>
      <c r="F486" t="s">
        <v>500</v>
      </c>
      <c r="G486">
        <v>3</v>
      </c>
      <c r="H486">
        <v>3</v>
      </c>
      <c r="I486">
        <v>0</v>
      </c>
      <c r="J486">
        <v>0</v>
      </c>
      <c r="K486">
        <v>0</v>
      </c>
      <c r="L486" s="6">
        <f t="shared" si="56"/>
        <v>1</v>
      </c>
      <c r="M486">
        <v>40</v>
      </c>
      <c r="N486">
        <v>7</v>
      </c>
      <c r="O486" s="9">
        <v>0</v>
      </c>
      <c r="P486">
        <v>0</v>
      </c>
      <c r="Q486">
        <v>9</v>
      </c>
      <c r="R486">
        <v>0</v>
      </c>
      <c r="S486">
        <v>24</v>
      </c>
      <c r="T486">
        <v>0</v>
      </c>
      <c r="U486" s="3">
        <f t="shared" si="57"/>
        <v>1</v>
      </c>
      <c r="V486" s="3">
        <f t="shared" si="58"/>
        <v>1</v>
      </c>
    </row>
    <row r="487" spans="1:22" x14ac:dyDescent="0.25">
      <c r="A487" s="2">
        <v>2017</v>
      </c>
      <c r="B487" t="s">
        <v>38</v>
      </c>
      <c r="C487" t="s">
        <v>1</v>
      </c>
      <c r="D487" s="2">
        <v>15880</v>
      </c>
      <c r="E487" s="2">
        <v>9708</v>
      </c>
      <c r="F487" t="s">
        <v>501</v>
      </c>
      <c r="G487">
        <v>10</v>
      </c>
      <c r="H487">
        <v>10</v>
      </c>
      <c r="I487">
        <v>0</v>
      </c>
      <c r="J487">
        <v>0</v>
      </c>
      <c r="K487">
        <v>0</v>
      </c>
      <c r="L487" s="6">
        <f t="shared" si="56"/>
        <v>1</v>
      </c>
      <c r="M487">
        <v>238</v>
      </c>
      <c r="N487">
        <v>53</v>
      </c>
      <c r="O487" s="9">
        <v>0</v>
      </c>
      <c r="P487">
        <v>0</v>
      </c>
      <c r="Q487">
        <v>84</v>
      </c>
      <c r="R487">
        <v>2</v>
      </c>
      <c r="S487">
        <v>97</v>
      </c>
      <c r="T487">
        <v>2</v>
      </c>
      <c r="U487" s="3">
        <f t="shared" si="57"/>
        <v>0.99159663865546221</v>
      </c>
      <c r="V487" s="3">
        <f t="shared" si="58"/>
        <v>0.99193548387096775</v>
      </c>
    </row>
    <row r="488" spans="1:22" x14ac:dyDescent="0.25">
      <c r="A488" s="2">
        <v>2017</v>
      </c>
      <c r="B488" t="s">
        <v>38</v>
      </c>
      <c r="C488" t="s">
        <v>22</v>
      </c>
      <c r="D488" s="2">
        <v>153</v>
      </c>
      <c r="E488" s="2">
        <v>222222222</v>
      </c>
      <c r="F488" t="s">
        <v>39</v>
      </c>
      <c r="G488">
        <v>0</v>
      </c>
      <c r="H488">
        <v>0</v>
      </c>
      <c r="I488">
        <v>0</v>
      </c>
      <c r="J488">
        <v>0</v>
      </c>
      <c r="K488">
        <v>0</v>
      </c>
      <c r="L488" s="6">
        <f t="shared" si="56"/>
        <v>0</v>
      </c>
      <c r="M488">
        <v>1</v>
      </c>
      <c r="N488">
        <v>1</v>
      </c>
      <c r="O488" s="9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s="3">
        <f t="shared" ref="U488" si="59">IF(M488=0,0,((N488+O488+Q488+S488+T488)/M488))</f>
        <v>1</v>
      </c>
      <c r="V488" s="3">
        <f t="shared" ref="V488" si="60">(H488+I488+J488+N488+Q488+S488+T488)/(G488+M488)</f>
        <v>1</v>
      </c>
    </row>
    <row r="489" spans="1:22" x14ac:dyDescent="0.25">
      <c r="A489" s="2">
        <v>2017</v>
      </c>
      <c r="B489" t="s">
        <v>38</v>
      </c>
      <c r="C489" t="s">
        <v>22</v>
      </c>
      <c r="D489" s="2">
        <v>137</v>
      </c>
      <c r="E489" s="2">
        <v>5010</v>
      </c>
      <c r="F489" t="s">
        <v>27</v>
      </c>
      <c r="G489">
        <v>15</v>
      </c>
      <c r="H489">
        <v>15</v>
      </c>
      <c r="I489">
        <v>0</v>
      </c>
      <c r="J489">
        <v>0</v>
      </c>
      <c r="K489">
        <v>0</v>
      </c>
      <c r="L489" s="6">
        <f t="shared" si="56"/>
        <v>1</v>
      </c>
      <c r="M489">
        <v>269</v>
      </c>
      <c r="N489">
        <v>74</v>
      </c>
      <c r="O489" s="9">
        <v>0</v>
      </c>
      <c r="P489">
        <v>0</v>
      </c>
      <c r="Q489">
        <v>83</v>
      </c>
      <c r="R489">
        <v>11</v>
      </c>
      <c r="S489">
        <v>99</v>
      </c>
      <c r="T489">
        <v>2</v>
      </c>
      <c r="U489" s="3">
        <f t="shared" ref="U489:U519" si="61">IF(M489=0,0,((N489+O489+Q489+S489+T489)/M489))</f>
        <v>0.95910780669144979</v>
      </c>
      <c r="V489" s="3">
        <f t="shared" ref="V489:V519" si="62">(H489+I489+J489+N489+Q489+S489+T489)/(G489+M489)</f>
        <v>0.96126760563380287</v>
      </c>
    </row>
    <row r="490" spans="1:22" x14ac:dyDescent="0.25">
      <c r="A490" s="2">
        <v>2017</v>
      </c>
      <c r="B490" t="s">
        <v>38</v>
      </c>
      <c r="C490" t="s">
        <v>22</v>
      </c>
      <c r="D490" s="2">
        <v>29</v>
      </c>
      <c r="E490" s="2">
        <v>4489</v>
      </c>
      <c r="F490" t="s">
        <v>353</v>
      </c>
      <c r="G490">
        <v>23</v>
      </c>
      <c r="H490">
        <v>23</v>
      </c>
      <c r="I490">
        <v>0</v>
      </c>
      <c r="J490">
        <v>0</v>
      </c>
      <c r="K490">
        <v>0</v>
      </c>
      <c r="L490" s="6">
        <f t="shared" si="56"/>
        <v>1</v>
      </c>
      <c r="M490">
        <v>380</v>
      </c>
      <c r="N490">
        <v>112</v>
      </c>
      <c r="O490" s="9">
        <v>0</v>
      </c>
      <c r="P490">
        <v>0</v>
      </c>
      <c r="Q490">
        <v>126</v>
      </c>
      <c r="R490">
        <v>0</v>
      </c>
      <c r="S490">
        <v>138</v>
      </c>
      <c r="T490">
        <v>4</v>
      </c>
      <c r="U490" s="3">
        <f t="shared" si="61"/>
        <v>1</v>
      </c>
      <c r="V490" s="3">
        <f t="shared" si="62"/>
        <v>1</v>
      </c>
    </row>
    <row r="491" spans="1:22" x14ac:dyDescent="0.25">
      <c r="A491" s="2">
        <v>2017</v>
      </c>
      <c r="B491" t="s">
        <v>38</v>
      </c>
      <c r="C491" t="s">
        <v>22</v>
      </c>
      <c r="D491" s="2">
        <v>38</v>
      </c>
      <c r="E491" s="2">
        <v>7115</v>
      </c>
      <c r="F491" t="s">
        <v>354</v>
      </c>
      <c r="G491">
        <v>23</v>
      </c>
      <c r="H491">
        <v>23</v>
      </c>
      <c r="I491">
        <v>0</v>
      </c>
      <c r="J491">
        <v>0</v>
      </c>
      <c r="K491">
        <v>0</v>
      </c>
      <c r="L491" s="6">
        <f t="shared" si="56"/>
        <v>1</v>
      </c>
      <c r="M491">
        <v>246</v>
      </c>
      <c r="N491">
        <v>60</v>
      </c>
      <c r="O491" s="9">
        <v>0</v>
      </c>
      <c r="P491">
        <v>1</v>
      </c>
      <c r="Q491">
        <v>81</v>
      </c>
      <c r="R491">
        <v>0</v>
      </c>
      <c r="S491">
        <v>104</v>
      </c>
      <c r="T491">
        <v>0</v>
      </c>
      <c r="U491" s="3">
        <f t="shared" si="61"/>
        <v>0.99593495934959353</v>
      </c>
      <c r="V491" s="3">
        <f t="shared" si="62"/>
        <v>0.99628252788104088</v>
      </c>
    </row>
    <row r="492" spans="1:22" x14ac:dyDescent="0.25">
      <c r="A492" s="2">
        <v>2017</v>
      </c>
      <c r="B492" t="s">
        <v>38</v>
      </c>
      <c r="C492" t="s">
        <v>22</v>
      </c>
      <c r="D492" s="2">
        <v>58</v>
      </c>
      <c r="E492" s="2">
        <v>7621</v>
      </c>
      <c r="F492" t="s">
        <v>355</v>
      </c>
      <c r="G492">
        <v>44</v>
      </c>
      <c r="H492">
        <v>43</v>
      </c>
      <c r="I492">
        <v>0</v>
      </c>
      <c r="J492">
        <v>0</v>
      </c>
      <c r="K492">
        <v>1</v>
      </c>
      <c r="L492" s="6">
        <f t="shared" si="56"/>
        <v>0.97727272727272729</v>
      </c>
      <c r="M492">
        <v>524</v>
      </c>
      <c r="N492">
        <v>124</v>
      </c>
      <c r="O492" s="9">
        <v>0</v>
      </c>
      <c r="P492">
        <v>0</v>
      </c>
      <c r="Q492">
        <v>197</v>
      </c>
      <c r="R492">
        <v>18</v>
      </c>
      <c r="S492">
        <v>175</v>
      </c>
      <c r="T492">
        <v>10</v>
      </c>
      <c r="U492" s="3">
        <f t="shared" si="61"/>
        <v>0.96564885496183206</v>
      </c>
      <c r="V492" s="3">
        <f t="shared" si="62"/>
        <v>0.96654929577464788</v>
      </c>
    </row>
    <row r="493" spans="1:22" x14ac:dyDescent="0.25">
      <c r="A493" s="2">
        <v>2017</v>
      </c>
      <c r="B493" t="s">
        <v>38</v>
      </c>
      <c r="C493" t="s">
        <v>22</v>
      </c>
      <c r="D493" s="2">
        <v>51</v>
      </c>
      <c r="E493" s="2">
        <v>7616</v>
      </c>
      <c r="F493" t="s">
        <v>410</v>
      </c>
      <c r="G493">
        <v>0</v>
      </c>
      <c r="H493">
        <v>0</v>
      </c>
      <c r="I493">
        <v>0</v>
      </c>
      <c r="J493">
        <v>0</v>
      </c>
      <c r="K493">
        <v>0</v>
      </c>
      <c r="L493" s="6">
        <f t="shared" si="56"/>
        <v>0</v>
      </c>
      <c r="M493">
        <v>1</v>
      </c>
      <c r="N493">
        <v>0</v>
      </c>
      <c r="O493" s="9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 s="3">
        <f t="shared" si="61"/>
        <v>1</v>
      </c>
      <c r="V493" s="3">
        <f t="shared" si="62"/>
        <v>1</v>
      </c>
    </row>
    <row r="494" spans="1:22" x14ac:dyDescent="0.25">
      <c r="A494" s="2">
        <v>2017</v>
      </c>
      <c r="B494" t="s">
        <v>38</v>
      </c>
      <c r="C494" t="s">
        <v>22</v>
      </c>
      <c r="D494" s="2">
        <v>60</v>
      </c>
      <c r="E494" s="2">
        <v>7787</v>
      </c>
      <c r="F494" t="s">
        <v>357</v>
      </c>
      <c r="G494">
        <v>0</v>
      </c>
      <c r="H494">
        <v>0</v>
      </c>
      <c r="I494">
        <v>0</v>
      </c>
      <c r="J494">
        <v>0</v>
      </c>
      <c r="K494">
        <v>0</v>
      </c>
      <c r="L494" s="6">
        <f t="shared" si="56"/>
        <v>0</v>
      </c>
      <c r="M494">
        <v>4</v>
      </c>
      <c r="N494">
        <v>2</v>
      </c>
      <c r="O494" s="9">
        <v>0</v>
      </c>
      <c r="P494">
        <v>0</v>
      </c>
      <c r="Q494">
        <v>1</v>
      </c>
      <c r="R494">
        <v>0</v>
      </c>
      <c r="S494">
        <v>1</v>
      </c>
      <c r="T494">
        <v>0</v>
      </c>
      <c r="U494" s="3">
        <f t="shared" si="61"/>
        <v>1</v>
      </c>
      <c r="V494" s="3">
        <f t="shared" si="62"/>
        <v>1</v>
      </c>
    </row>
    <row r="495" spans="1:22" x14ac:dyDescent="0.25">
      <c r="A495" s="2">
        <v>2017</v>
      </c>
      <c r="B495" t="s">
        <v>38</v>
      </c>
      <c r="C495" t="s">
        <v>22</v>
      </c>
      <c r="D495" s="2">
        <v>23</v>
      </c>
      <c r="E495" s="2">
        <v>5832</v>
      </c>
      <c r="F495" t="s">
        <v>358</v>
      </c>
      <c r="G495">
        <v>6</v>
      </c>
      <c r="H495">
        <v>6</v>
      </c>
      <c r="I495">
        <v>0</v>
      </c>
      <c r="J495">
        <v>0</v>
      </c>
      <c r="K495">
        <v>0</v>
      </c>
      <c r="L495" s="6">
        <f t="shared" si="56"/>
        <v>1</v>
      </c>
      <c r="M495">
        <v>106</v>
      </c>
      <c r="N495">
        <v>22</v>
      </c>
      <c r="O495" s="9">
        <v>0</v>
      </c>
      <c r="P495">
        <v>0</v>
      </c>
      <c r="Q495">
        <v>30</v>
      </c>
      <c r="R495">
        <v>1</v>
      </c>
      <c r="S495">
        <v>51</v>
      </c>
      <c r="T495">
        <v>2</v>
      </c>
      <c r="U495" s="3">
        <f t="shared" si="61"/>
        <v>0.99056603773584906</v>
      </c>
      <c r="V495" s="3">
        <f t="shared" si="62"/>
        <v>0.9910714285714286</v>
      </c>
    </row>
    <row r="496" spans="1:22" x14ac:dyDescent="0.25">
      <c r="A496" s="2">
        <v>2017</v>
      </c>
      <c r="B496" t="s">
        <v>38</v>
      </c>
      <c r="C496" t="s">
        <v>22</v>
      </c>
      <c r="D496" s="2">
        <v>77</v>
      </c>
      <c r="E496" s="2">
        <v>9967</v>
      </c>
      <c r="F496" t="s">
        <v>359</v>
      </c>
      <c r="G496">
        <v>48</v>
      </c>
      <c r="H496">
        <v>48</v>
      </c>
      <c r="I496">
        <v>0</v>
      </c>
      <c r="J496">
        <v>0</v>
      </c>
      <c r="K496">
        <v>0</v>
      </c>
      <c r="L496" s="6">
        <f t="shared" si="56"/>
        <v>1</v>
      </c>
      <c r="M496">
        <v>462</v>
      </c>
      <c r="N496">
        <v>106</v>
      </c>
      <c r="O496" s="9">
        <v>0</v>
      </c>
      <c r="P496">
        <v>0</v>
      </c>
      <c r="Q496">
        <v>188</v>
      </c>
      <c r="R496">
        <v>10</v>
      </c>
      <c r="S496">
        <v>153</v>
      </c>
      <c r="T496">
        <v>5</v>
      </c>
      <c r="U496" s="3">
        <f t="shared" si="61"/>
        <v>0.97835497835497831</v>
      </c>
      <c r="V496" s="3">
        <f t="shared" si="62"/>
        <v>0.98039215686274506</v>
      </c>
    </row>
    <row r="497" spans="1:22" x14ac:dyDescent="0.25">
      <c r="A497" s="2">
        <v>2017</v>
      </c>
      <c r="B497" t="s">
        <v>38</v>
      </c>
      <c r="C497" t="s">
        <v>22</v>
      </c>
      <c r="D497" s="2">
        <v>28</v>
      </c>
      <c r="E497" s="2">
        <v>4356</v>
      </c>
      <c r="F497" t="s">
        <v>360</v>
      </c>
      <c r="G497">
        <v>24</v>
      </c>
      <c r="H497">
        <v>24</v>
      </c>
      <c r="I497">
        <v>0</v>
      </c>
      <c r="J497">
        <v>0</v>
      </c>
      <c r="K497">
        <v>0</v>
      </c>
      <c r="L497" s="6">
        <f t="shared" si="56"/>
        <v>1</v>
      </c>
      <c r="M497">
        <v>509</v>
      </c>
      <c r="N497">
        <v>131</v>
      </c>
      <c r="O497" s="9">
        <v>0</v>
      </c>
      <c r="P497">
        <v>1</v>
      </c>
      <c r="Q497">
        <v>202</v>
      </c>
      <c r="R497">
        <v>3</v>
      </c>
      <c r="S497">
        <v>170</v>
      </c>
      <c r="T497">
        <v>2</v>
      </c>
      <c r="U497" s="3">
        <f t="shared" si="61"/>
        <v>0.99214145383104124</v>
      </c>
      <c r="V497" s="3">
        <f t="shared" si="62"/>
        <v>0.99249530956848031</v>
      </c>
    </row>
    <row r="498" spans="1:22" x14ac:dyDescent="0.25">
      <c r="A498" s="2">
        <v>2017</v>
      </c>
      <c r="B498" t="s">
        <v>38</v>
      </c>
      <c r="C498" t="s">
        <v>22</v>
      </c>
      <c r="D498" s="2">
        <v>63</v>
      </c>
      <c r="E498" s="2">
        <v>7817</v>
      </c>
      <c r="F498" t="s">
        <v>361</v>
      </c>
      <c r="G498">
        <v>37</v>
      </c>
      <c r="H498">
        <v>36</v>
      </c>
      <c r="I498">
        <v>0</v>
      </c>
      <c r="J498">
        <v>0</v>
      </c>
      <c r="K498">
        <v>1</v>
      </c>
      <c r="L498" s="6">
        <f t="shared" si="56"/>
        <v>0.97297297297297303</v>
      </c>
      <c r="M498">
        <v>401</v>
      </c>
      <c r="N498">
        <v>94</v>
      </c>
      <c r="O498" s="9">
        <v>0</v>
      </c>
      <c r="P498">
        <v>0</v>
      </c>
      <c r="Q498">
        <v>160</v>
      </c>
      <c r="R498">
        <v>1</v>
      </c>
      <c r="S498">
        <v>145</v>
      </c>
      <c r="T498">
        <v>1</v>
      </c>
      <c r="U498" s="3">
        <f t="shared" si="61"/>
        <v>0.99750623441396513</v>
      </c>
      <c r="V498" s="3">
        <f t="shared" si="62"/>
        <v>0.99543378995433784</v>
      </c>
    </row>
    <row r="499" spans="1:22" x14ac:dyDescent="0.25">
      <c r="A499" s="2">
        <v>2017</v>
      </c>
      <c r="B499" t="s">
        <v>38</v>
      </c>
      <c r="C499" t="s">
        <v>22</v>
      </c>
      <c r="D499" s="2">
        <v>19</v>
      </c>
      <c r="E499" s="2">
        <v>5831</v>
      </c>
      <c r="F499" t="s">
        <v>362</v>
      </c>
      <c r="G499">
        <v>19</v>
      </c>
      <c r="H499">
        <v>19</v>
      </c>
      <c r="I499">
        <v>0</v>
      </c>
      <c r="J499">
        <v>0</v>
      </c>
      <c r="K499">
        <v>0</v>
      </c>
      <c r="L499" s="6">
        <f t="shared" si="56"/>
        <v>1</v>
      </c>
      <c r="M499">
        <v>329</v>
      </c>
      <c r="N499">
        <v>83</v>
      </c>
      <c r="O499" s="9">
        <v>0</v>
      </c>
      <c r="P499">
        <v>1</v>
      </c>
      <c r="Q499">
        <v>105</v>
      </c>
      <c r="R499">
        <v>3</v>
      </c>
      <c r="S499">
        <v>134</v>
      </c>
      <c r="T499">
        <v>3</v>
      </c>
      <c r="U499" s="3">
        <f t="shared" si="61"/>
        <v>0.9878419452887538</v>
      </c>
      <c r="V499" s="3">
        <f t="shared" si="62"/>
        <v>0.9885057471264368</v>
      </c>
    </row>
    <row r="500" spans="1:22" x14ac:dyDescent="0.25">
      <c r="A500" s="2">
        <v>2017</v>
      </c>
      <c r="B500" t="s">
        <v>38</v>
      </c>
      <c r="C500" t="s">
        <v>22</v>
      </c>
      <c r="D500" s="2">
        <v>147</v>
      </c>
      <c r="E500" s="2">
        <v>2834</v>
      </c>
      <c r="F500" t="s">
        <v>482</v>
      </c>
      <c r="G500">
        <v>4</v>
      </c>
      <c r="H500">
        <v>4</v>
      </c>
      <c r="I500">
        <v>0</v>
      </c>
      <c r="J500">
        <v>0</v>
      </c>
      <c r="K500">
        <v>0</v>
      </c>
      <c r="L500" s="6">
        <f t="shared" si="56"/>
        <v>1</v>
      </c>
      <c r="M500">
        <v>146</v>
      </c>
      <c r="N500">
        <v>46</v>
      </c>
      <c r="O500" s="9">
        <v>0</v>
      </c>
      <c r="P500">
        <v>0</v>
      </c>
      <c r="Q500">
        <v>39</v>
      </c>
      <c r="R500">
        <v>0</v>
      </c>
      <c r="S500">
        <v>60</v>
      </c>
      <c r="T500">
        <v>1</v>
      </c>
      <c r="U500" s="3">
        <f t="shared" si="61"/>
        <v>1</v>
      </c>
      <c r="V500" s="3">
        <f t="shared" si="62"/>
        <v>1</v>
      </c>
    </row>
    <row r="501" spans="1:22" x14ac:dyDescent="0.25">
      <c r="A501" s="2">
        <v>2017</v>
      </c>
      <c r="B501" t="s">
        <v>38</v>
      </c>
      <c r="C501" t="s">
        <v>22</v>
      </c>
      <c r="D501" s="2">
        <v>68</v>
      </c>
      <c r="E501" s="2">
        <v>7923</v>
      </c>
      <c r="F501" t="s">
        <v>363</v>
      </c>
      <c r="G501">
        <v>15</v>
      </c>
      <c r="H501">
        <v>15</v>
      </c>
      <c r="I501">
        <v>0</v>
      </c>
      <c r="J501">
        <v>0</v>
      </c>
      <c r="K501">
        <v>0</v>
      </c>
      <c r="L501" s="6">
        <f t="shared" si="56"/>
        <v>1</v>
      </c>
      <c r="M501">
        <v>273</v>
      </c>
      <c r="N501">
        <v>75</v>
      </c>
      <c r="O501" s="9">
        <v>0</v>
      </c>
      <c r="P501">
        <v>0</v>
      </c>
      <c r="Q501">
        <v>116</v>
      </c>
      <c r="R501">
        <v>3</v>
      </c>
      <c r="S501">
        <v>79</v>
      </c>
      <c r="T501">
        <v>0</v>
      </c>
      <c r="U501" s="3">
        <f t="shared" si="61"/>
        <v>0.98901098901098905</v>
      </c>
      <c r="V501" s="3">
        <f t="shared" si="62"/>
        <v>0.98958333333333337</v>
      </c>
    </row>
    <row r="502" spans="1:22" x14ac:dyDescent="0.25">
      <c r="A502" s="2">
        <v>2017</v>
      </c>
      <c r="B502" t="s">
        <v>38</v>
      </c>
      <c r="C502" t="s">
        <v>22</v>
      </c>
      <c r="D502" s="2">
        <v>144</v>
      </c>
      <c r="E502" s="2">
        <v>4536</v>
      </c>
      <c r="F502" t="s">
        <v>364</v>
      </c>
      <c r="G502">
        <v>21</v>
      </c>
      <c r="H502">
        <v>21</v>
      </c>
      <c r="I502">
        <v>0</v>
      </c>
      <c r="J502">
        <v>0</v>
      </c>
      <c r="K502">
        <v>0</v>
      </c>
      <c r="L502" s="6">
        <f t="shared" si="56"/>
        <v>1</v>
      </c>
      <c r="M502">
        <v>256</v>
      </c>
      <c r="N502">
        <v>44</v>
      </c>
      <c r="O502" s="9">
        <v>0</v>
      </c>
      <c r="P502">
        <v>1</v>
      </c>
      <c r="Q502">
        <v>135</v>
      </c>
      <c r="R502">
        <v>0</v>
      </c>
      <c r="S502">
        <v>74</v>
      </c>
      <c r="T502">
        <v>2</v>
      </c>
      <c r="U502" s="3">
        <f t="shared" si="61"/>
        <v>0.99609375</v>
      </c>
      <c r="V502" s="3">
        <f t="shared" si="62"/>
        <v>0.99638989169675085</v>
      </c>
    </row>
    <row r="503" spans="1:22" x14ac:dyDescent="0.25">
      <c r="A503" s="2">
        <v>2017</v>
      </c>
      <c r="B503" t="s">
        <v>38</v>
      </c>
      <c r="C503" t="s">
        <v>22</v>
      </c>
      <c r="D503" s="2">
        <v>70</v>
      </c>
      <c r="E503" s="2">
        <v>8358</v>
      </c>
      <c r="F503" t="s">
        <v>365</v>
      </c>
      <c r="G503">
        <v>4</v>
      </c>
      <c r="H503">
        <v>4</v>
      </c>
      <c r="I503">
        <v>0</v>
      </c>
      <c r="J503">
        <v>0</v>
      </c>
      <c r="K503">
        <v>0</v>
      </c>
      <c r="L503" s="6">
        <f t="shared" si="56"/>
        <v>1</v>
      </c>
      <c r="M503">
        <v>87</v>
      </c>
      <c r="N503">
        <v>26</v>
      </c>
      <c r="O503" s="9">
        <v>0</v>
      </c>
      <c r="P503">
        <v>0</v>
      </c>
      <c r="Q503">
        <v>30</v>
      </c>
      <c r="R503">
        <v>0</v>
      </c>
      <c r="S503">
        <v>31</v>
      </c>
      <c r="T503">
        <v>0</v>
      </c>
      <c r="U503" s="3">
        <f t="shared" si="61"/>
        <v>1</v>
      </c>
      <c r="V503" s="3">
        <f t="shared" si="62"/>
        <v>1</v>
      </c>
    </row>
    <row r="504" spans="1:22" x14ac:dyDescent="0.25">
      <c r="A504" s="2">
        <v>2017</v>
      </c>
      <c r="B504" t="s">
        <v>38</v>
      </c>
      <c r="C504" t="s">
        <v>22</v>
      </c>
      <c r="D504" s="2">
        <v>1</v>
      </c>
      <c r="E504" s="2">
        <v>6777</v>
      </c>
      <c r="F504" t="s">
        <v>34</v>
      </c>
      <c r="G504">
        <v>0</v>
      </c>
      <c r="H504">
        <v>0</v>
      </c>
      <c r="I504">
        <v>0</v>
      </c>
      <c r="J504">
        <v>0</v>
      </c>
      <c r="K504">
        <v>0</v>
      </c>
      <c r="L504" s="6">
        <f t="shared" si="56"/>
        <v>0</v>
      </c>
      <c r="M504">
        <v>3</v>
      </c>
      <c r="N504">
        <v>1</v>
      </c>
      <c r="O504" s="9">
        <v>0</v>
      </c>
      <c r="P504">
        <v>0</v>
      </c>
      <c r="Q504">
        <v>0</v>
      </c>
      <c r="R504">
        <v>0</v>
      </c>
      <c r="S504">
        <v>2</v>
      </c>
      <c r="T504">
        <v>0</v>
      </c>
      <c r="U504" s="3">
        <f t="shared" si="61"/>
        <v>1</v>
      </c>
      <c r="V504" s="3">
        <f t="shared" si="62"/>
        <v>1</v>
      </c>
    </row>
    <row r="505" spans="1:22" x14ac:dyDescent="0.25">
      <c r="A505" s="2">
        <v>2017</v>
      </c>
      <c r="B505" t="s">
        <v>38</v>
      </c>
      <c r="C505" t="s">
        <v>22</v>
      </c>
      <c r="D505" s="2">
        <v>52</v>
      </c>
      <c r="E505" s="2">
        <v>222222222</v>
      </c>
      <c r="F505" s="5" t="s">
        <v>366</v>
      </c>
      <c r="G505">
        <v>0</v>
      </c>
      <c r="H505">
        <v>0</v>
      </c>
      <c r="I505">
        <v>0</v>
      </c>
      <c r="J505">
        <v>0</v>
      </c>
      <c r="K505">
        <v>0</v>
      </c>
      <c r="L505" s="6">
        <f t="shared" si="56"/>
        <v>0</v>
      </c>
      <c r="M505">
        <v>1</v>
      </c>
      <c r="N505">
        <v>1</v>
      </c>
      <c r="O505" s="9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s="3">
        <f t="shared" si="61"/>
        <v>1</v>
      </c>
      <c r="V505" s="3">
        <f t="shared" si="62"/>
        <v>1</v>
      </c>
    </row>
    <row r="506" spans="1:22" x14ac:dyDescent="0.25">
      <c r="A506" s="2">
        <v>2017</v>
      </c>
      <c r="B506" t="s">
        <v>38</v>
      </c>
      <c r="C506" t="s">
        <v>22</v>
      </c>
      <c r="D506" s="2">
        <v>65</v>
      </c>
      <c r="E506" s="2">
        <v>7806</v>
      </c>
      <c r="F506" t="s">
        <v>328</v>
      </c>
      <c r="G506">
        <v>30</v>
      </c>
      <c r="H506">
        <v>30</v>
      </c>
      <c r="I506">
        <v>0</v>
      </c>
      <c r="J506">
        <v>0</v>
      </c>
      <c r="K506">
        <v>0</v>
      </c>
      <c r="L506" s="6">
        <f t="shared" si="56"/>
        <v>1</v>
      </c>
      <c r="M506">
        <v>393</v>
      </c>
      <c r="N506">
        <v>104</v>
      </c>
      <c r="O506" s="9">
        <v>0</v>
      </c>
      <c r="P506">
        <v>0</v>
      </c>
      <c r="Q506">
        <v>173</v>
      </c>
      <c r="R506">
        <v>0</v>
      </c>
      <c r="S506">
        <v>113</v>
      </c>
      <c r="T506">
        <v>3</v>
      </c>
      <c r="U506" s="3">
        <f t="shared" si="61"/>
        <v>1</v>
      </c>
      <c r="V506" s="3">
        <f t="shared" si="62"/>
        <v>1</v>
      </c>
    </row>
    <row r="507" spans="1:22" x14ac:dyDescent="0.25">
      <c r="A507" s="2">
        <v>2017</v>
      </c>
      <c r="B507" t="s">
        <v>38</v>
      </c>
      <c r="C507" t="s">
        <v>22</v>
      </c>
      <c r="D507" s="2">
        <v>27</v>
      </c>
      <c r="E507" s="2">
        <v>4492</v>
      </c>
      <c r="F507" t="s">
        <v>367</v>
      </c>
      <c r="G507">
        <v>27</v>
      </c>
      <c r="H507">
        <v>27</v>
      </c>
      <c r="I507">
        <v>0</v>
      </c>
      <c r="J507">
        <v>0</v>
      </c>
      <c r="K507">
        <v>0</v>
      </c>
      <c r="L507" s="6">
        <f t="shared" si="56"/>
        <v>1</v>
      </c>
      <c r="M507">
        <v>337</v>
      </c>
      <c r="N507">
        <v>79</v>
      </c>
      <c r="O507" s="9">
        <v>0</v>
      </c>
      <c r="P507">
        <v>0</v>
      </c>
      <c r="Q507">
        <v>138</v>
      </c>
      <c r="R507">
        <v>10</v>
      </c>
      <c r="S507">
        <v>107</v>
      </c>
      <c r="T507">
        <v>3</v>
      </c>
      <c r="U507" s="3">
        <f t="shared" si="61"/>
        <v>0.97032640949554894</v>
      </c>
      <c r="V507" s="3">
        <f t="shared" si="62"/>
        <v>0.97252747252747251</v>
      </c>
    </row>
    <row r="508" spans="1:22" x14ac:dyDescent="0.25">
      <c r="A508" s="2">
        <v>2017</v>
      </c>
      <c r="B508" t="s">
        <v>38</v>
      </c>
      <c r="C508" t="s">
        <v>22</v>
      </c>
      <c r="D508" s="2">
        <v>143</v>
      </c>
      <c r="E508" s="2">
        <v>122604</v>
      </c>
      <c r="F508" t="s">
        <v>413</v>
      </c>
      <c r="G508">
        <v>0</v>
      </c>
      <c r="H508">
        <v>0</v>
      </c>
      <c r="I508">
        <v>0</v>
      </c>
      <c r="J508">
        <v>0</v>
      </c>
      <c r="K508">
        <v>0</v>
      </c>
      <c r="L508" s="6">
        <f t="shared" si="56"/>
        <v>0</v>
      </c>
      <c r="M508">
        <v>1</v>
      </c>
      <c r="N508">
        <v>0</v>
      </c>
      <c r="O508" s="9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 s="3">
        <f t="shared" si="61"/>
        <v>1</v>
      </c>
      <c r="V508" s="3">
        <f t="shared" si="62"/>
        <v>1</v>
      </c>
    </row>
    <row r="509" spans="1:22" x14ac:dyDescent="0.25">
      <c r="A509" s="2">
        <v>2017</v>
      </c>
      <c r="B509" t="s">
        <v>38</v>
      </c>
      <c r="C509" t="s">
        <v>22</v>
      </c>
      <c r="D509" s="2">
        <v>119</v>
      </c>
      <c r="E509" s="2">
        <v>8697</v>
      </c>
      <c r="F509" t="s">
        <v>368</v>
      </c>
      <c r="G509">
        <v>2</v>
      </c>
      <c r="H509">
        <v>2</v>
      </c>
      <c r="I509">
        <v>0</v>
      </c>
      <c r="J509">
        <v>0</v>
      </c>
      <c r="K509">
        <v>0</v>
      </c>
      <c r="L509" s="6">
        <f t="shared" si="56"/>
        <v>1</v>
      </c>
      <c r="M509">
        <v>43</v>
      </c>
      <c r="N509">
        <v>11</v>
      </c>
      <c r="O509" s="9">
        <v>0</v>
      </c>
      <c r="P509">
        <v>0</v>
      </c>
      <c r="Q509">
        <v>14</v>
      </c>
      <c r="R509">
        <v>0</v>
      </c>
      <c r="S509">
        <v>18</v>
      </c>
      <c r="T509">
        <v>0</v>
      </c>
      <c r="U509" s="3">
        <f t="shared" si="61"/>
        <v>1</v>
      </c>
      <c r="V509" s="3">
        <f t="shared" si="62"/>
        <v>1</v>
      </c>
    </row>
    <row r="510" spans="1:22" x14ac:dyDescent="0.25">
      <c r="A510" s="2">
        <v>2017</v>
      </c>
      <c r="B510" t="s">
        <v>38</v>
      </c>
      <c r="C510" t="s">
        <v>22</v>
      </c>
      <c r="D510" s="2">
        <v>152</v>
      </c>
      <c r="E510" s="2">
        <v>222222222</v>
      </c>
      <c r="F510" s="5" t="s">
        <v>429</v>
      </c>
      <c r="G510">
        <v>1</v>
      </c>
      <c r="H510">
        <v>1</v>
      </c>
      <c r="I510">
        <v>0</v>
      </c>
      <c r="J510">
        <v>0</v>
      </c>
      <c r="K510">
        <v>0</v>
      </c>
      <c r="L510" s="6">
        <f t="shared" si="56"/>
        <v>1</v>
      </c>
      <c r="M510">
        <v>78</v>
      </c>
      <c r="N510">
        <v>23</v>
      </c>
      <c r="O510" s="9">
        <v>0</v>
      </c>
      <c r="P510">
        <v>0</v>
      </c>
      <c r="Q510">
        <v>18</v>
      </c>
      <c r="R510">
        <v>0</v>
      </c>
      <c r="S510">
        <v>36</v>
      </c>
      <c r="T510">
        <v>1</v>
      </c>
      <c r="U510" s="3">
        <f t="shared" si="61"/>
        <v>1</v>
      </c>
      <c r="V510" s="3">
        <f t="shared" si="62"/>
        <v>1</v>
      </c>
    </row>
    <row r="511" spans="1:22" x14ac:dyDescent="0.25">
      <c r="A511" s="2">
        <v>2017</v>
      </c>
      <c r="B511" t="s">
        <v>38</v>
      </c>
      <c r="C511" t="s">
        <v>22</v>
      </c>
      <c r="D511" s="2">
        <v>53</v>
      </c>
      <c r="E511" s="2">
        <v>4717</v>
      </c>
      <c r="F511" t="s">
        <v>494</v>
      </c>
      <c r="G511">
        <v>0</v>
      </c>
      <c r="H511">
        <v>0</v>
      </c>
      <c r="I511">
        <v>0</v>
      </c>
      <c r="J511">
        <v>0</v>
      </c>
      <c r="K511">
        <v>0</v>
      </c>
      <c r="L511" s="6">
        <f t="shared" si="56"/>
        <v>0</v>
      </c>
      <c r="M511">
        <v>9</v>
      </c>
      <c r="N511">
        <v>4</v>
      </c>
      <c r="O511" s="9">
        <v>0</v>
      </c>
      <c r="P511">
        <v>0</v>
      </c>
      <c r="Q511">
        <v>1</v>
      </c>
      <c r="R511">
        <v>0</v>
      </c>
      <c r="S511">
        <v>4</v>
      </c>
      <c r="T511">
        <v>0</v>
      </c>
      <c r="U511" s="3">
        <f t="shared" si="61"/>
        <v>1</v>
      </c>
      <c r="V511" s="3">
        <f t="shared" si="62"/>
        <v>1</v>
      </c>
    </row>
    <row r="512" spans="1:22" x14ac:dyDescent="0.25">
      <c r="A512" s="2">
        <v>2017</v>
      </c>
      <c r="B512" t="s">
        <v>38</v>
      </c>
      <c r="C512" t="s">
        <v>22</v>
      </c>
      <c r="D512" s="2">
        <v>40</v>
      </c>
      <c r="E512" s="2">
        <v>6831</v>
      </c>
      <c r="F512" t="s">
        <v>28</v>
      </c>
      <c r="G512">
        <v>0</v>
      </c>
      <c r="H512">
        <v>0</v>
      </c>
      <c r="I512">
        <v>0</v>
      </c>
      <c r="J512">
        <v>0</v>
      </c>
      <c r="K512">
        <v>0</v>
      </c>
      <c r="L512" s="6">
        <f t="shared" si="56"/>
        <v>0</v>
      </c>
      <c r="M512">
        <v>1</v>
      </c>
      <c r="N512">
        <v>0</v>
      </c>
      <c r="O512" s="9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 s="3">
        <f t="shared" si="61"/>
        <v>1</v>
      </c>
      <c r="V512" s="3">
        <f t="shared" si="62"/>
        <v>1</v>
      </c>
    </row>
    <row r="513" spans="1:22" x14ac:dyDescent="0.25">
      <c r="A513" s="2">
        <v>2017</v>
      </c>
      <c r="B513" t="s">
        <v>38</v>
      </c>
      <c r="C513" t="s">
        <v>22</v>
      </c>
      <c r="D513" s="2">
        <v>111</v>
      </c>
      <c r="E513" s="2">
        <v>118696</v>
      </c>
      <c r="F513" t="s">
        <v>404</v>
      </c>
      <c r="G513">
        <v>0</v>
      </c>
      <c r="H513">
        <v>0</v>
      </c>
      <c r="I513">
        <v>0</v>
      </c>
      <c r="J513">
        <v>0</v>
      </c>
      <c r="K513">
        <v>0</v>
      </c>
      <c r="L513" s="6">
        <f t="shared" si="56"/>
        <v>0</v>
      </c>
      <c r="M513">
        <v>2</v>
      </c>
      <c r="N513">
        <v>0</v>
      </c>
      <c r="O513" s="9">
        <v>0</v>
      </c>
      <c r="P513">
        <v>0</v>
      </c>
      <c r="Q513">
        <v>1</v>
      </c>
      <c r="R513">
        <v>0</v>
      </c>
      <c r="S513">
        <v>1</v>
      </c>
      <c r="T513">
        <v>0</v>
      </c>
      <c r="U513" s="3">
        <f t="shared" si="61"/>
        <v>1</v>
      </c>
      <c r="V513" s="3">
        <f t="shared" si="62"/>
        <v>1</v>
      </c>
    </row>
    <row r="514" spans="1:22" x14ac:dyDescent="0.25">
      <c r="A514" s="2">
        <v>2017</v>
      </c>
      <c r="B514" t="s">
        <v>38</v>
      </c>
      <c r="C514" t="s">
        <v>22</v>
      </c>
      <c r="D514" s="2">
        <v>42</v>
      </c>
      <c r="E514" s="2">
        <v>7312</v>
      </c>
      <c r="F514" t="s">
        <v>430</v>
      </c>
      <c r="G514">
        <v>0</v>
      </c>
      <c r="H514">
        <v>0</v>
      </c>
      <c r="I514">
        <v>0</v>
      </c>
      <c r="J514">
        <v>0</v>
      </c>
      <c r="K514">
        <v>0</v>
      </c>
      <c r="L514" s="6">
        <f t="shared" ref="L514:L577" si="63">IF(G514=0,0,SUM(H514:J514)/G514)</f>
        <v>0</v>
      </c>
      <c r="M514">
        <v>2</v>
      </c>
      <c r="N514">
        <v>1</v>
      </c>
      <c r="O514" s="9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 s="3">
        <f t="shared" si="61"/>
        <v>1</v>
      </c>
      <c r="V514" s="3">
        <f t="shared" si="62"/>
        <v>1</v>
      </c>
    </row>
    <row r="515" spans="1:22" x14ac:dyDescent="0.25">
      <c r="A515" s="2">
        <v>2017</v>
      </c>
      <c r="B515" t="s">
        <v>38</v>
      </c>
      <c r="C515" t="s">
        <v>22</v>
      </c>
      <c r="D515" s="2">
        <v>116</v>
      </c>
      <c r="E515" s="2">
        <v>119505</v>
      </c>
      <c r="F515" t="s">
        <v>417</v>
      </c>
      <c r="G515">
        <v>11</v>
      </c>
      <c r="H515">
        <v>11</v>
      </c>
      <c r="I515">
        <v>0</v>
      </c>
      <c r="J515">
        <v>0</v>
      </c>
      <c r="K515">
        <v>0</v>
      </c>
      <c r="L515" s="6">
        <f t="shared" si="63"/>
        <v>1</v>
      </c>
      <c r="M515">
        <v>93</v>
      </c>
      <c r="N515">
        <v>19</v>
      </c>
      <c r="O515" s="9">
        <v>0</v>
      </c>
      <c r="P515">
        <v>0</v>
      </c>
      <c r="Q515">
        <v>32</v>
      </c>
      <c r="R515">
        <v>0</v>
      </c>
      <c r="S515">
        <v>40</v>
      </c>
      <c r="T515">
        <v>2</v>
      </c>
      <c r="U515" s="3">
        <f t="shared" si="61"/>
        <v>1</v>
      </c>
      <c r="V515" s="3">
        <f t="shared" si="62"/>
        <v>1</v>
      </c>
    </row>
    <row r="516" spans="1:22" x14ac:dyDescent="0.25">
      <c r="A516" s="2">
        <v>2017</v>
      </c>
      <c r="B516" t="s">
        <v>38</v>
      </c>
      <c r="C516" t="s">
        <v>22</v>
      </c>
      <c r="D516" s="2">
        <v>25</v>
      </c>
      <c r="E516" s="2">
        <v>4357</v>
      </c>
      <c r="F516" t="s">
        <v>369</v>
      </c>
      <c r="G516">
        <v>47</v>
      </c>
      <c r="H516">
        <v>47</v>
      </c>
      <c r="I516">
        <v>0</v>
      </c>
      <c r="J516">
        <v>0</v>
      </c>
      <c r="K516">
        <v>0</v>
      </c>
      <c r="L516" s="6">
        <f t="shared" si="63"/>
        <v>1</v>
      </c>
      <c r="M516">
        <v>470</v>
      </c>
      <c r="N516">
        <v>102</v>
      </c>
      <c r="O516" s="9">
        <v>0</v>
      </c>
      <c r="P516">
        <v>0</v>
      </c>
      <c r="Q516">
        <v>175</v>
      </c>
      <c r="R516">
        <v>9</v>
      </c>
      <c r="S516">
        <v>181</v>
      </c>
      <c r="T516">
        <v>3</v>
      </c>
      <c r="U516" s="3">
        <f t="shared" si="61"/>
        <v>0.98085106382978726</v>
      </c>
      <c r="V516" s="3">
        <f t="shared" si="62"/>
        <v>0.98259187620889743</v>
      </c>
    </row>
    <row r="517" spans="1:22" x14ac:dyDescent="0.25">
      <c r="A517" s="2">
        <v>2017</v>
      </c>
      <c r="B517" t="s">
        <v>38</v>
      </c>
      <c r="C517" t="s">
        <v>22</v>
      </c>
      <c r="D517" s="2">
        <v>184</v>
      </c>
      <c r="E517" s="2">
        <v>120870</v>
      </c>
      <c r="F517" t="s">
        <v>371</v>
      </c>
      <c r="G517">
        <v>2</v>
      </c>
      <c r="H517">
        <v>2</v>
      </c>
      <c r="I517">
        <v>0</v>
      </c>
      <c r="J517">
        <v>0</v>
      </c>
      <c r="K517">
        <v>0</v>
      </c>
      <c r="L517" s="6">
        <f t="shared" si="63"/>
        <v>1</v>
      </c>
      <c r="M517">
        <v>339</v>
      </c>
      <c r="N517">
        <v>58</v>
      </c>
      <c r="O517" s="9">
        <v>0</v>
      </c>
      <c r="P517">
        <v>0</v>
      </c>
      <c r="Q517">
        <v>137</v>
      </c>
      <c r="R517">
        <v>2</v>
      </c>
      <c r="S517">
        <v>139</v>
      </c>
      <c r="T517">
        <v>3</v>
      </c>
      <c r="U517" s="3">
        <f t="shared" si="61"/>
        <v>0.99410029498525077</v>
      </c>
      <c r="V517" s="3">
        <f t="shared" si="62"/>
        <v>0.99413489736070382</v>
      </c>
    </row>
    <row r="518" spans="1:22" x14ac:dyDescent="0.25">
      <c r="A518" s="2">
        <v>2017</v>
      </c>
      <c r="B518" t="s">
        <v>38</v>
      </c>
      <c r="C518" t="s">
        <v>22</v>
      </c>
      <c r="D518" s="2">
        <v>129</v>
      </c>
      <c r="E518" s="2">
        <v>5246</v>
      </c>
      <c r="F518" t="s">
        <v>347</v>
      </c>
      <c r="G518">
        <v>1</v>
      </c>
      <c r="H518">
        <v>1</v>
      </c>
      <c r="I518">
        <v>0</v>
      </c>
      <c r="J518">
        <v>0</v>
      </c>
      <c r="K518">
        <v>0</v>
      </c>
      <c r="L518" s="6">
        <f t="shared" si="63"/>
        <v>1</v>
      </c>
      <c r="M518">
        <v>25</v>
      </c>
      <c r="N518">
        <v>7</v>
      </c>
      <c r="O518" s="9">
        <v>0</v>
      </c>
      <c r="P518">
        <v>0</v>
      </c>
      <c r="Q518">
        <v>8</v>
      </c>
      <c r="R518">
        <v>0</v>
      </c>
      <c r="S518">
        <v>10</v>
      </c>
      <c r="T518">
        <v>0</v>
      </c>
      <c r="U518" s="3">
        <f t="shared" si="61"/>
        <v>1</v>
      </c>
      <c r="V518" s="3">
        <f t="shared" si="62"/>
        <v>1</v>
      </c>
    </row>
    <row r="519" spans="1:22" x14ac:dyDescent="0.25">
      <c r="A519" s="2">
        <v>2017</v>
      </c>
      <c r="B519" t="s">
        <v>38</v>
      </c>
      <c r="C519" t="s">
        <v>22</v>
      </c>
      <c r="D519" s="2">
        <v>142</v>
      </c>
      <c r="E519" s="2">
        <v>122502</v>
      </c>
      <c r="F519" t="s">
        <v>372</v>
      </c>
      <c r="G519">
        <v>21</v>
      </c>
      <c r="H519">
        <v>21</v>
      </c>
      <c r="I519">
        <v>0</v>
      </c>
      <c r="J519">
        <v>0</v>
      </c>
      <c r="K519">
        <v>0</v>
      </c>
      <c r="L519" s="6">
        <f t="shared" si="63"/>
        <v>1</v>
      </c>
      <c r="M519">
        <v>284</v>
      </c>
      <c r="N519">
        <v>76</v>
      </c>
      <c r="O519" s="9">
        <v>0</v>
      </c>
      <c r="P519">
        <v>0</v>
      </c>
      <c r="Q519">
        <v>117</v>
      </c>
      <c r="R519">
        <v>1</v>
      </c>
      <c r="S519">
        <v>89</v>
      </c>
      <c r="T519">
        <v>1</v>
      </c>
      <c r="U519" s="3">
        <f t="shared" si="61"/>
        <v>0.99647887323943662</v>
      </c>
      <c r="V519" s="3">
        <f t="shared" si="62"/>
        <v>0.99672131147540988</v>
      </c>
    </row>
    <row r="520" spans="1:22" x14ac:dyDescent="0.25">
      <c r="A520" s="2">
        <v>2017</v>
      </c>
      <c r="B520" t="s">
        <v>38</v>
      </c>
      <c r="C520" t="s">
        <v>23</v>
      </c>
      <c r="D520" s="2">
        <v>489</v>
      </c>
      <c r="E520" s="2">
        <v>7740</v>
      </c>
      <c r="F520" t="s">
        <v>40</v>
      </c>
      <c r="G520">
        <v>20</v>
      </c>
      <c r="H520">
        <v>20</v>
      </c>
      <c r="I520">
        <v>0</v>
      </c>
      <c r="J520">
        <v>0</v>
      </c>
      <c r="K520">
        <v>0</v>
      </c>
      <c r="L520" s="6">
        <f t="shared" si="63"/>
        <v>1</v>
      </c>
      <c r="M520">
        <v>256</v>
      </c>
      <c r="N520">
        <v>61</v>
      </c>
      <c r="O520" s="9">
        <v>0</v>
      </c>
      <c r="P520">
        <v>1</v>
      </c>
      <c r="Q520">
        <v>85</v>
      </c>
      <c r="R520">
        <v>0</v>
      </c>
      <c r="S520">
        <v>107</v>
      </c>
      <c r="T520">
        <v>2</v>
      </c>
      <c r="U520" s="3">
        <f t="shared" ref="U520" si="64">IF(M520=0,0,((N520+O520+Q520+S520+T520)/M520))</f>
        <v>0.99609375</v>
      </c>
      <c r="V520" s="3">
        <f t="shared" ref="V520" si="65">(H520+I520+J520+N520+Q520+S520+T520)/(G520+M520)</f>
        <v>0.99637681159420288</v>
      </c>
    </row>
    <row r="521" spans="1:22" x14ac:dyDescent="0.25">
      <c r="A521" s="2">
        <v>2017</v>
      </c>
      <c r="B521" t="s">
        <v>38</v>
      </c>
      <c r="C521" t="s">
        <v>23</v>
      </c>
      <c r="D521" s="2">
        <v>492</v>
      </c>
      <c r="E521" s="2">
        <v>7744</v>
      </c>
      <c r="F521" t="s">
        <v>374</v>
      </c>
      <c r="G521">
        <v>13</v>
      </c>
      <c r="H521">
        <v>13</v>
      </c>
      <c r="I521">
        <v>0</v>
      </c>
      <c r="J521">
        <v>0</v>
      </c>
      <c r="K521">
        <v>0</v>
      </c>
      <c r="L521" s="6">
        <f t="shared" si="63"/>
        <v>1</v>
      </c>
      <c r="M521">
        <v>298</v>
      </c>
      <c r="N521">
        <v>80</v>
      </c>
      <c r="O521" s="9">
        <v>0</v>
      </c>
      <c r="P521">
        <v>0</v>
      </c>
      <c r="Q521">
        <v>104</v>
      </c>
      <c r="R521">
        <v>3</v>
      </c>
      <c r="S521">
        <v>111</v>
      </c>
      <c r="T521">
        <v>0</v>
      </c>
      <c r="U521" s="3">
        <f t="shared" ref="U521:U534" si="66">IF(M521=0,0,((N521+O521+Q521+S521+T521)/M521))</f>
        <v>0.98993288590604023</v>
      </c>
      <c r="V521" s="3">
        <f t="shared" ref="V521:V534" si="67">(H521+I521+J521+N521+Q521+S521+T521)/(G521+M521)</f>
        <v>0.99035369774919613</v>
      </c>
    </row>
    <row r="522" spans="1:22" x14ac:dyDescent="0.25">
      <c r="A522" s="2">
        <v>2017</v>
      </c>
      <c r="B522" t="s">
        <v>38</v>
      </c>
      <c r="C522" t="s">
        <v>23</v>
      </c>
      <c r="D522" s="2">
        <v>555</v>
      </c>
      <c r="E522" s="2">
        <v>119114</v>
      </c>
      <c r="F522" t="s">
        <v>375</v>
      </c>
      <c r="G522">
        <v>20</v>
      </c>
      <c r="H522">
        <v>20</v>
      </c>
      <c r="I522">
        <v>0</v>
      </c>
      <c r="J522">
        <v>0</v>
      </c>
      <c r="K522">
        <v>0</v>
      </c>
      <c r="L522" s="6">
        <f t="shared" si="63"/>
        <v>1</v>
      </c>
      <c r="M522">
        <v>297</v>
      </c>
      <c r="N522">
        <v>55</v>
      </c>
      <c r="O522" s="9">
        <v>0</v>
      </c>
      <c r="P522">
        <v>0</v>
      </c>
      <c r="Q522">
        <v>139</v>
      </c>
      <c r="R522">
        <v>0</v>
      </c>
      <c r="S522">
        <v>103</v>
      </c>
      <c r="T522">
        <v>0</v>
      </c>
      <c r="U522" s="3">
        <f t="shared" si="66"/>
        <v>1</v>
      </c>
      <c r="V522" s="3">
        <f t="shared" si="67"/>
        <v>1</v>
      </c>
    </row>
    <row r="523" spans="1:22" x14ac:dyDescent="0.25">
      <c r="A523" s="2">
        <v>2017</v>
      </c>
      <c r="B523" t="s">
        <v>38</v>
      </c>
      <c r="C523" t="s">
        <v>23</v>
      </c>
      <c r="D523" s="2">
        <v>493</v>
      </c>
      <c r="E523" s="2">
        <v>7742</v>
      </c>
      <c r="F523" t="s">
        <v>376</v>
      </c>
      <c r="G523">
        <v>4</v>
      </c>
      <c r="H523">
        <v>4</v>
      </c>
      <c r="I523">
        <v>0</v>
      </c>
      <c r="J523">
        <v>0</v>
      </c>
      <c r="K523">
        <v>0</v>
      </c>
      <c r="L523" s="6">
        <f t="shared" si="63"/>
        <v>1</v>
      </c>
      <c r="M523">
        <v>180</v>
      </c>
      <c r="N523">
        <v>31</v>
      </c>
      <c r="O523" s="9">
        <v>0</v>
      </c>
      <c r="P523">
        <v>0</v>
      </c>
      <c r="Q523">
        <v>60</v>
      </c>
      <c r="R523">
        <v>0</v>
      </c>
      <c r="S523">
        <v>89</v>
      </c>
      <c r="T523">
        <v>0</v>
      </c>
      <c r="U523" s="3">
        <f t="shared" si="66"/>
        <v>1</v>
      </c>
      <c r="V523" s="3">
        <f t="shared" si="67"/>
        <v>1</v>
      </c>
    </row>
    <row r="524" spans="1:22" x14ac:dyDescent="0.25">
      <c r="A524" s="2">
        <v>2017</v>
      </c>
      <c r="B524" t="s">
        <v>38</v>
      </c>
      <c r="C524" t="s">
        <v>23</v>
      </c>
      <c r="D524" s="2">
        <v>593</v>
      </c>
      <c r="E524" s="2">
        <v>122796</v>
      </c>
      <c r="F524" t="s">
        <v>379</v>
      </c>
      <c r="G524">
        <v>19</v>
      </c>
      <c r="H524">
        <v>19</v>
      </c>
      <c r="I524">
        <v>0</v>
      </c>
      <c r="J524">
        <v>0</v>
      </c>
      <c r="K524">
        <v>0</v>
      </c>
      <c r="L524" s="6">
        <f t="shared" si="63"/>
        <v>1</v>
      </c>
      <c r="M524">
        <v>311</v>
      </c>
      <c r="N524">
        <v>89</v>
      </c>
      <c r="O524" s="9">
        <v>0</v>
      </c>
      <c r="P524">
        <v>0</v>
      </c>
      <c r="Q524">
        <v>111</v>
      </c>
      <c r="R524">
        <v>0</v>
      </c>
      <c r="S524">
        <v>108</v>
      </c>
      <c r="T524">
        <v>3</v>
      </c>
      <c r="U524" s="3">
        <f t="shared" si="66"/>
        <v>1</v>
      </c>
      <c r="V524" s="3">
        <f t="shared" si="67"/>
        <v>1</v>
      </c>
    </row>
    <row r="525" spans="1:22" x14ac:dyDescent="0.25">
      <c r="A525" s="2">
        <v>2017</v>
      </c>
      <c r="B525" t="s">
        <v>38</v>
      </c>
      <c r="C525" t="s">
        <v>23</v>
      </c>
      <c r="D525" s="2">
        <v>291</v>
      </c>
      <c r="E525" s="2">
        <v>121506</v>
      </c>
      <c r="F525" t="s">
        <v>380</v>
      </c>
      <c r="G525">
        <v>0</v>
      </c>
      <c r="H525">
        <v>0</v>
      </c>
      <c r="I525">
        <v>0</v>
      </c>
      <c r="J525">
        <v>0</v>
      </c>
      <c r="K525">
        <v>0</v>
      </c>
      <c r="L525" s="6">
        <f t="shared" si="63"/>
        <v>0</v>
      </c>
      <c r="M525">
        <v>1</v>
      </c>
      <c r="N525">
        <v>0</v>
      </c>
      <c r="O525" s="9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 s="3">
        <f t="shared" si="66"/>
        <v>1</v>
      </c>
      <c r="V525" s="3">
        <f t="shared" si="67"/>
        <v>1</v>
      </c>
    </row>
    <row r="526" spans="1:22" x14ac:dyDescent="0.25">
      <c r="A526" s="2">
        <v>2017</v>
      </c>
      <c r="B526" t="s">
        <v>38</v>
      </c>
      <c r="C526" t="s">
        <v>23</v>
      </c>
      <c r="D526" s="2">
        <v>592</v>
      </c>
      <c r="E526" s="2">
        <v>122956</v>
      </c>
      <c r="F526" t="s">
        <v>381</v>
      </c>
      <c r="G526">
        <v>9</v>
      </c>
      <c r="H526">
        <v>9</v>
      </c>
      <c r="I526">
        <v>0</v>
      </c>
      <c r="J526">
        <v>0</v>
      </c>
      <c r="K526">
        <v>0</v>
      </c>
      <c r="L526" s="6">
        <f t="shared" si="63"/>
        <v>1</v>
      </c>
      <c r="M526">
        <v>239</v>
      </c>
      <c r="N526">
        <v>65</v>
      </c>
      <c r="O526" s="9">
        <v>0</v>
      </c>
      <c r="P526">
        <v>0</v>
      </c>
      <c r="Q526">
        <v>78</v>
      </c>
      <c r="R526">
        <v>1</v>
      </c>
      <c r="S526">
        <v>93</v>
      </c>
      <c r="T526">
        <v>2</v>
      </c>
      <c r="U526" s="3">
        <f t="shared" si="66"/>
        <v>0.99581589958159</v>
      </c>
      <c r="V526" s="3">
        <f t="shared" si="67"/>
        <v>0.99596774193548387</v>
      </c>
    </row>
    <row r="527" spans="1:22" x14ac:dyDescent="0.25">
      <c r="A527" s="2">
        <v>2017</v>
      </c>
      <c r="B527" t="s">
        <v>38</v>
      </c>
      <c r="C527" t="s">
        <v>23</v>
      </c>
      <c r="D527" s="2">
        <v>494</v>
      </c>
      <c r="E527" s="2">
        <v>7743</v>
      </c>
      <c r="F527" t="s">
        <v>383</v>
      </c>
      <c r="G527">
        <v>23</v>
      </c>
      <c r="H527">
        <v>23</v>
      </c>
      <c r="I527">
        <v>0</v>
      </c>
      <c r="J527">
        <v>0</v>
      </c>
      <c r="K527">
        <v>0</v>
      </c>
      <c r="L527" s="6">
        <f t="shared" si="63"/>
        <v>1</v>
      </c>
      <c r="M527">
        <v>382</v>
      </c>
      <c r="N527">
        <v>108</v>
      </c>
      <c r="O527" s="9">
        <v>0</v>
      </c>
      <c r="P527">
        <v>0</v>
      </c>
      <c r="Q527">
        <v>117</v>
      </c>
      <c r="R527">
        <v>10</v>
      </c>
      <c r="S527">
        <v>141</v>
      </c>
      <c r="T527">
        <v>6</v>
      </c>
      <c r="U527" s="3">
        <f t="shared" si="66"/>
        <v>0.97382198952879584</v>
      </c>
      <c r="V527" s="3">
        <f t="shared" si="67"/>
        <v>0.97530864197530864</v>
      </c>
    </row>
    <row r="528" spans="1:22" x14ac:dyDescent="0.25">
      <c r="A528" s="2">
        <v>2017</v>
      </c>
      <c r="B528" t="s">
        <v>38</v>
      </c>
      <c r="C528" t="s">
        <v>23</v>
      </c>
      <c r="D528" s="2">
        <v>279</v>
      </c>
      <c r="E528" s="2">
        <v>10480</v>
      </c>
      <c r="F528" t="s">
        <v>384</v>
      </c>
      <c r="G528">
        <v>0</v>
      </c>
      <c r="H528">
        <v>0</v>
      </c>
      <c r="I528">
        <v>0</v>
      </c>
      <c r="J528">
        <v>0</v>
      </c>
      <c r="K528">
        <v>0</v>
      </c>
      <c r="L528" s="6">
        <f t="shared" si="63"/>
        <v>0</v>
      </c>
      <c r="M528">
        <v>1</v>
      </c>
      <c r="N528">
        <v>0</v>
      </c>
      <c r="O528" s="9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 s="3">
        <f t="shared" si="66"/>
        <v>1</v>
      </c>
      <c r="V528" s="3">
        <f t="shared" si="67"/>
        <v>1</v>
      </c>
    </row>
    <row r="529" spans="1:22" x14ac:dyDescent="0.25">
      <c r="A529" s="2">
        <v>2017</v>
      </c>
      <c r="B529" t="s">
        <v>38</v>
      </c>
      <c r="C529" t="s">
        <v>23</v>
      </c>
      <c r="D529" s="2">
        <v>534</v>
      </c>
      <c r="E529" s="2">
        <v>10480</v>
      </c>
      <c r="F529" t="s">
        <v>384</v>
      </c>
      <c r="G529">
        <v>0</v>
      </c>
      <c r="H529">
        <v>0</v>
      </c>
      <c r="I529">
        <v>0</v>
      </c>
      <c r="J529">
        <v>0</v>
      </c>
      <c r="K529">
        <v>0</v>
      </c>
      <c r="L529" s="6">
        <f t="shared" si="63"/>
        <v>0</v>
      </c>
      <c r="M529">
        <v>1</v>
      </c>
      <c r="N529">
        <v>1</v>
      </c>
      <c r="O529" s="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 s="3">
        <f t="shared" si="66"/>
        <v>1</v>
      </c>
      <c r="V529" s="3">
        <f t="shared" si="67"/>
        <v>1</v>
      </c>
    </row>
    <row r="530" spans="1:22" x14ac:dyDescent="0.25">
      <c r="A530" s="2">
        <v>2017</v>
      </c>
      <c r="B530" t="s">
        <v>38</v>
      </c>
      <c r="C530" t="s">
        <v>23</v>
      </c>
      <c r="D530" s="2">
        <v>278</v>
      </c>
      <c r="E530" s="2">
        <v>5803</v>
      </c>
      <c r="F530" t="s">
        <v>385</v>
      </c>
      <c r="G530">
        <v>0</v>
      </c>
      <c r="H530">
        <v>0</v>
      </c>
      <c r="I530">
        <v>0</v>
      </c>
      <c r="J530">
        <v>0</v>
      </c>
      <c r="K530">
        <v>0</v>
      </c>
      <c r="L530" s="6">
        <f t="shared" si="63"/>
        <v>0</v>
      </c>
      <c r="M530">
        <v>1</v>
      </c>
      <c r="N530">
        <v>0</v>
      </c>
      <c r="O530" s="9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 s="3">
        <f t="shared" si="66"/>
        <v>1</v>
      </c>
      <c r="V530" s="3">
        <f t="shared" si="67"/>
        <v>1</v>
      </c>
    </row>
    <row r="531" spans="1:22" x14ac:dyDescent="0.25">
      <c r="A531" s="2">
        <v>2017</v>
      </c>
      <c r="B531" t="s">
        <v>38</v>
      </c>
      <c r="C531" t="s">
        <v>23</v>
      </c>
      <c r="D531" s="2">
        <v>533</v>
      </c>
      <c r="E531" s="2">
        <v>5803</v>
      </c>
      <c r="F531" t="s">
        <v>385</v>
      </c>
      <c r="G531">
        <v>0</v>
      </c>
      <c r="H531">
        <v>0</v>
      </c>
      <c r="I531">
        <v>0</v>
      </c>
      <c r="J531">
        <v>0</v>
      </c>
      <c r="K531">
        <v>0</v>
      </c>
      <c r="L531" s="6">
        <f t="shared" si="63"/>
        <v>0</v>
      </c>
      <c r="M531">
        <v>5</v>
      </c>
      <c r="N531">
        <v>1</v>
      </c>
      <c r="O531" s="9">
        <v>0</v>
      </c>
      <c r="P531">
        <v>0</v>
      </c>
      <c r="Q531">
        <v>3</v>
      </c>
      <c r="R531">
        <v>0</v>
      </c>
      <c r="S531">
        <v>0</v>
      </c>
      <c r="T531">
        <v>1</v>
      </c>
      <c r="U531" s="3">
        <f t="shared" si="66"/>
        <v>1</v>
      </c>
      <c r="V531" s="3">
        <f t="shared" si="67"/>
        <v>1</v>
      </c>
    </row>
    <row r="532" spans="1:22" x14ac:dyDescent="0.25">
      <c r="A532" s="2">
        <v>2017</v>
      </c>
      <c r="B532" t="s">
        <v>38</v>
      </c>
      <c r="C532" t="s">
        <v>23</v>
      </c>
      <c r="D532" s="2">
        <v>496</v>
      </c>
      <c r="E532" s="2">
        <v>7741</v>
      </c>
      <c r="F532" t="s">
        <v>387</v>
      </c>
      <c r="G532">
        <v>19</v>
      </c>
      <c r="H532">
        <v>19</v>
      </c>
      <c r="I532">
        <v>0</v>
      </c>
      <c r="J532">
        <v>0</v>
      </c>
      <c r="K532">
        <v>0</v>
      </c>
      <c r="L532" s="6">
        <f t="shared" si="63"/>
        <v>1</v>
      </c>
      <c r="M532">
        <v>298</v>
      </c>
      <c r="N532">
        <v>51</v>
      </c>
      <c r="O532" s="9">
        <v>0</v>
      </c>
      <c r="P532">
        <v>0</v>
      </c>
      <c r="Q532">
        <v>99</v>
      </c>
      <c r="R532">
        <v>0</v>
      </c>
      <c r="S532">
        <v>144</v>
      </c>
      <c r="T532">
        <v>4</v>
      </c>
      <c r="U532" s="3">
        <f t="shared" si="66"/>
        <v>1</v>
      </c>
      <c r="V532" s="3">
        <f t="shared" si="67"/>
        <v>1</v>
      </c>
    </row>
    <row r="533" spans="1:22" x14ac:dyDescent="0.25">
      <c r="A533" s="2">
        <v>2017</v>
      </c>
      <c r="B533" t="s">
        <v>38</v>
      </c>
      <c r="C533" t="s">
        <v>23</v>
      </c>
      <c r="D533" s="2">
        <v>444</v>
      </c>
      <c r="E533" s="2">
        <v>7314</v>
      </c>
      <c r="F533" t="s">
        <v>388</v>
      </c>
      <c r="G533">
        <v>12</v>
      </c>
      <c r="H533">
        <v>12</v>
      </c>
      <c r="I533">
        <v>0</v>
      </c>
      <c r="J533">
        <v>0</v>
      </c>
      <c r="K533">
        <v>0</v>
      </c>
      <c r="L533" s="6">
        <f t="shared" si="63"/>
        <v>1</v>
      </c>
      <c r="M533">
        <v>209</v>
      </c>
      <c r="N533">
        <v>39</v>
      </c>
      <c r="O533" s="9">
        <v>0</v>
      </c>
      <c r="P533">
        <v>0</v>
      </c>
      <c r="Q533">
        <v>68</v>
      </c>
      <c r="R533">
        <v>0</v>
      </c>
      <c r="S533">
        <v>102</v>
      </c>
      <c r="T533">
        <v>0</v>
      </c>
      <c r="U533" s="3">
        <f t="shared" si="66"/>
        <v>1</v>
      </c>
      <c r="V533" s="3">
        <f t="shared" si="67"/>
        <v>1</v>
      </c>
    </row>
    <row r="534" spans="1:22" x14ac:dyDescent="0.25">
      <c r="A534" s="2">
        <v>2017</v>
      </c>
      <c r="B534" t="s">
        <v>38</v>
      </c>
      <c r="C534" t="s">
        <v>23</v>
      </c>
      <c r="D534" s="2">
        <v>505</v>
      </c>
      <c r="E534" s="2">
        <v>8344</v>
      </c>
      <c r="F534" t="s">
        <v>389</v>
      </c>
      <c r="G534">
        <v>20</v>
      </c>
      <c r="H534">
        <v>20</v>
      </c>
      <c r="I534">
        <v>0</v>
      </c>
      <c r="J534">
        <v>0</v>
      </c>
      <c r="K534">
        <v>0</v>
      </c>
      <c r="L534" s="6">
        <f t="shared" si="63"/>
        <v>1</v>
      </c>
      <c r="M534">
        <v>347</v>
      </c>
      <c r="N534">
        <v>80</v>
      </c>
      <c r="O534" s="9">
        <v>0</v>
      </c>
      <c r="P534">
        <v>0</v>
      </c>
      <c r="Q534">
        <v>127</v>
      </c>
      <c r="R534">
        <v>0</v>
      </c>
      <c r="S534">
        <v>138</v>
      </c>
      <c r="T534">
        <v>2</v>
      </c>
      <c r="U534" s="3">
        <f t="shared" si="66"/>
        <v>1</v>
      </c>
      <c r="V534" s="3">
        <f t="shared" si="67"/>
        <v>1</v>
      </c>
    </row>
    <row r="535" spans="1:22" x14ac:dyDescent="0.25">
      <c r="A535" s="2">
        <v>2017</v>
      </c>
      <c r="B535" t="s">
        <v>38</v>
      </c>
      <c r="C535" t="s">
        <v>24</v>
      </c>
      <c r="D535" s="2">
        <v>136</v>
      </c>
      <c r="E535" s="2">
        <v>121923</v>
      </c>
      <c r="F535" t="s">
        <v>41</v>
      </c>
      <c r="G535">
        <v>8</v>
      </c>
      <c r="H535">
        <v>8</v>
      </c>
      <c r="I535">
        <v>0</v>
      </c>
      <c r="J535">
        <v>0</v>
      </c>
      <c r="K535">
        <v>0</v>
      </c>
      <c r="L535" s="6">
        <f t="shared" si="63"/>
        <v>1</v>
      </c>
      <c r="M535">
        <v>147</v>
      </c>
      <c r="N535">
        <v>37</v>
      </c>
      <c r="O535" s="9">
        <v>0</v>
      </c>
      <c r="P535">
        <v>0</v>
      </c>
      <c r="Q535">
        <v>52</v>
      </c>
      <c r="R535">
        <v>0</v>
      </c>
      <c r="S535">
        <v>57</v>
      </c>
      <c r="T535">
        <v>1</v>
      </c>
      <c r="U535" s="3">
        <f t="shared" ref="U535" si="68">IF(M535=0,0,((N535+O535+Q535+S535+T535)/M535))</f>
        <v>1</v>
      </c>
      <c r="V535" s="3">
        <f t="shared" ref="V535" si="69">(H535+I535+J535+N535+Q535+S535+T535)/(G535+M535)</f>
        <v>1</v>
      </c>
    </row>
    <row r="536" spans="1:22" x14ac:dyDescent="0.25">
      <c r="A536" s="2">
        <v>2017</v>
      </c>
      <c r="B536" t="s">
        <v>38</v>
      </c>
      <c r="C536" t="s">
        <v>24</v>
      </c>
      <c r="D536" s="2">
        <v>13</v>
      </c>
      <c r="E536" s="2">
        <v>5621</v>
      </c>
      <c r="F536" t="s">
        <v>390</v>
      </c>
      <c r="G536">
        <v>12</v>
      </c>
      <c r="H536">
        <v>12</v>
      </c>
      <c r="I536">
        <v>0</v>
      </c>
      <c r="J536">
        <v>0</v>
      </c>
      <c r="K536">
        <v>0</v>
      </c>
      <c r="L536" s="6">
        <f t="shared" si="63"/>
        <v>1</v>
      </c>
      <c r="M536">
        <v>267</v>
      </c>
      <c r="N536">
        <v>54</v>
      </c>
      <c r="O536" s="9">
        <v>0</v>
      </c>
      <c r="P536">
        <v>1</v>
      </c>
      <c r="Q536">
        <v>110</v>
      </c>
      <c r="R536">
        <v>1</v>
      </c>
      <c r="S536">
        <v>101</v>
      </c>
      <c r="T536">
        <v>0</v>
      </c>
      <c r="U536" s="3">
        <f t="shared" ref="U536:U566" si="70">IF(M536=0,0,((N536+O536+Q536+S536+T536)/M536))</f>
        <v>0.99250936329588013</v>
      </c>
      <c r="V536" s="3">
        <f t="shared" ref="V536:V566" si="71">(H536+I536+J536+N536+Q536+S536+T536)/(G536+M536)</f>
        <v>0.99283154121863804</v>
      </c>
    </row>
    <row r="537" spans="1:22" x14ac:dyDescent="0.25">
      <c r="A537" s="2">
        <v>2017</v>
      </c>
      <c r="B537" t="s">
        <v>38</v>
      </c>
      <c r="C537" t="s">
        <v>24</v>
      </c>
      <c r="D537" s="2">
        <v>115</v>
      </c>
      <c r="E537" s="2">
        <v>119430</v>
      </c>
      <c r="F537" t="s">
        <v>391</v>
      </c>
      <c r="G537">
        <v>4</v>
      </c>
      <c r="H537">
        <v>4</v>
      </c>
      <c r="I537">
        <v>0</v>
      </c>
      <c r="J537">
        <v>0</v>
      </c>
      <c r="K537">
        <v>0</v>
      </c>
      <c r="L537" s="6">
        <f t="shared" si="63"/>
        <v>1</v>
      </c>
      <c r="M537">
        <v>153</v>
      </c>
      <c r="N537">
        <v>39</v>
      </c>
      <c r="O537" s="9">
        <v>0</v>
      </c>
      <c r="P537">
        <v>0</v>
      </c>
      <c r="Q537">
        <v>62</v>
      </c>
      <c r="R537">
        <v>0</v>
      </c>
      <c r="S537">
        <v>52</v>
      </c>
      <c r="T537">
        <v>0</v>
      </c>
      <c r="U537" s="3">
        <f t="shared" si="70"/>
        <v>1</v>
      </c>
      <c r="V537" s="3">
        <f t="shared" si="71"/>
        <v>1</v>
      </c>
    </row>
    <row r="538" spans="1:22" x14ac:dyDescent="0.25">
      <c r="A538" s="2">
        <v>2017</v>
      </c>
      <c r="B538" t="s">
        <v>38</v>
      </c>
      <c r="C538" t="s">
        <v>24</v>
      </c>
      <c r="D538" s="2">
        <v>16</v>
      </c>
      <c r="E538" s="2">
        <v>5774</v>
      </c>
      <c r="F538" t="s">
        <v>392</v>
      </c>
      <c r="G538">
        <v>9</v>
      </c>
      <c r="H538">
        <v>9</v>
      </c>
      <c r="I538">
        <v>0</v>
      </c>
      <c r="J538">
        <v>0</v>
      </c>
      <c r="K538">
        <v>0</v>
      </c>
      <c r="L538" s="6">
        <f t="shared" si="63"/>
        <v>1</v>
      </c>
      <c r="M538">
        <v>222</v>
      </c>
      <c r="N538">
        <v>44</v>
      </c>
      <c r="O538" s="9">
        <v>0</v>
      </c>
      <c r="P538">
        <v>1</v>
      </c>
      <c r="Q538">
        <v>82</v>
      </c>
      <c r="R538">
        <v>7</v>
      </c>
      <c r="S538">
        <v>87</v>
      </c>
      <c r="T538">
        <v>1</v>
      </c>
      <c r="U538" s="3">
        <f t="shared" si="70"/>
        <v>0.963963963963964</v>
      </c>
      <c r="V538" s="3">
        <f t="shared" si="71"/>
        <v>0.96536796536796532</v>
      </c>
    </row>
    <row r="539" spans="1:22" x14ac:dyDescent="0.25">
      <c r="A539" s="2">
        <v>2017</v>
      </c>
      <c r="B539" t="s">
        <v>38</v>
      </c>
      <c r="C539" t="s">
        <v>24</v>
      </c>
      <c r="D539" s="2">
        <v>107</v>
      </c>
      <c r="E539" s="2">
        <v>119171</v>
      </c>
      <c r="F539" t="s">
        <v>393</v>
      </c>
      <c r="G539">
        <v>14</v>
      </c>
      <c r="H539">
        <v>14</v>
      </c>
      <c r="I539">
        <v>0</v>
      </c>
      <c r="J539">
        <v>0</v>
      </c>
      <c r="K539">
        <v>0</v>
      </c>
      <c r="L539" s="6">
        <f t="shared" si="63"/>
        <v>1</v>
      </c>
      <c r="M539">
        <v>165</v>
      </c>
      <c r="N539">
        <v>38</v>
      </c>
      <c r="O539" s="9">
        <v>0</v>
      </c>
      <c r="P539">
        <v>0</v>
      </c>
      <c r="Q539">
        <v>66</v>
      </c>
      <c r="R539">
        <v>0</v>
      </c>
      <c r="S539">
        <v>60</v>
      </c>
      <c r="T539">
        <v>1</v>
      </c>
      <c r="U539" s="3">
        <f t="shared" si="70"/>
        <v>1</v>
      </c>
      <c r="V539" s="3">
        <f t="shared" si="71"/>
        <v>1</v>
      </c>
    </row>
    <row r="540" spans="1:22" x14ac:dyDescent="0.25">
      <c r="A540" s="2">
        <v>2017</v>
      </c>
      <c r="B540" t="s">
        <v>38</v>
      </c>
      <c r="C540" t="s">
        <v>24</v>
      </c>
      <c r="D540" s="2">
        <v>58</v>
      </c>
      <c r="E540" s="2">
        <v>7621</v>
      </c>
      <c r="F540" t="s">
        <v>355</v>
      </c>
      <c r="G540">
        <v>0</v>
      </c>
      <c r="H540">
        <v>0</v>
      </c>
      <c r="I540">
        <v>0</v>
      </c>
      <c r="J540">
        <v>0</v>
      </c>
      <c r="K540">
        <v>0</v>
      </c>
      <c r="L540" s="6">
        <f t="shared" si="63"/>
        <v>0</v>
      </c>
      <c r="M540">
        <v>2</v>
      </c>
      <c r="N540">
        <v>2</v>
      </c>
      <c r="O540" s="9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s="3">
        <f t="shared" si="70"/>
        <v>1</v>
      </c>
      <c r="V540" s="3">
        <f t="shared" si="71"/>
        <v>1</v>
      </c>
    </row>
    <row r="541" spans="1:22" x14ac:dyDescent="0.25">
      <c r="A541" s="2">
        <v>2017</v>
      </c>
      <c r="B541" t="s">
        <v>38</v>
      </c>
      <c r="C541" t="s">
        <v>24</v>
      </c>
      <c r="D541" s="2">
        <v>109</v>
      </c>
      <c r="E541" s="2">
        <v>119114</v>
      </c>
      <c r="F541" t="s">
        <v>375</v>
      </c>
      <c r="G541">
        <v>0</v>
      </c>
      <c r="H541">
        <v>0</v>
      </c>
      <c r="I541">
        <v>0</v>
      </c>
      <c r="J541">
        <v>0</v>
      </c>
      <c r="K541">
        <v>0</v>
      </c>
      <c r="L541" s="6">
        <f t="shared" si="63"/>
        <v>0</v>
      </c>
      <c r="M541">
        <v>1</v>
      </c>
      <c r="N541">
        <v>0</v>
      </c>
      <c r="O541" s="9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 s="3">
        <f t="shared" si="70"/>
        <v>1</v>
      </c>
      <c r="V541" s="3">
        <f t="shared" si="71"/>
        <v>1</v>
      </c>
    </row>
    <row r="542" spans="1:22" x14ac:dyDescent="0.25">
      <c r="A542" s="2">
        <v>2017</v>
      </c>
      <c r="B542" t="s">
        <v>38</v>
      </c>
      <c r="C542" t="s">
        <v>24</v>
      </c>
      <c r="D542" s="2">
        <v>104</v>
      </c>
      <c r="E542" s="2">
        <v>118880</v>
      </c>
      <c r="F542" t="s">
        <v>394</v>
      </c>
      <c r="G542">
        <v>7</v>
      </c>
      <c r="H542">
        <v>7</v>
      </c>
      <c r="I542">
        <v>0</v>
      </c>
      <c r="J542">
        <v>0</v>
      </c>
      <c r="K542">
        <v>0</v>
      </c>
      <c r="L542" s="6">
        <f t="shared" si="63"/>
        <v>1</v>
      </c>
      <c r="M542">
        <v>248</v>
      </c>
      <c r="N542">
        <v>47</v>
      </c>
      <c r="O542" s="9">
        <v>0</v>
      </c>
      <c r="P542">
        <v>0</v>
      </c>
      <c r="Q542">
        <v>118</v>
      </c>
      <c r="R542">
        <v>0</v>
      </c>
      <c r="S542">
        <v>83</v>
      </c>
      <c r="T542">
        <v>0</v>
      </c>
      <c r="U542" s="3">
        <f t="shared" si="70"/>
        <v>1</v>
      </c>
      <c r="V542" s="3">
        <f t="shared" si="71"/>
        <v>1</v>
      </c>
    </row>
    <row r="543" spans="1:22" x14ac:dyDescent="0.25">
      <c r="A543" s="2">
        <v>2017</v>
      </c>
      <c r="B543" t="s">
        <v>38</v>
      </c>
      <c r="C543" t="s">
        <v>24</v>
      </c>
      <c r="D543" s="2">
        <v>132</v>
      </c>
      <c r="E543" s="2">
        <v>121352</v>
      </c>
      <c r="F543" t="s">
        <v>395</v>
      </c>
      <c r="G543">
        <v>4</v>
      </c>
      <c r="H543">
        <v>4</v>
      </c>
      <c r="I543">
        <v>0</v>
      </c>
      <c r="J543">
        <v>0</v>
      </c>
      <c r="K543">
        <v>0</v>
      </c>
      <c r="L543" s="6">
        <f t="shared" si="63"/>
        <v>1</v>
      </c>
      <c r="M543">
        <v>242</v>
      </c>
      <c r="N543">
        <v>42</v>
      </c>
      <c r="O543" s="9">
        <v>0</v>
      </c>
      <c r="P543">
        <v>0</v>
      </c>
      <c r="Q543">
        <v>92</v>
      </c>
      <c r="R543">
        <v>6</v>
      </c>
      <c r="S543">
        <v>101</v>
      </c>
      <c r="T543">
        <v>1</v>
      </c>
      <c r="U543" s="3">
        <f t="shared" si="70"/>
        <v>0.97520661157024791</v>
      </c>
      <c r="V543" s="3">
        <f t="shared" si="71"/>
        <v>0.97560975609756095</v>
      </c>
    </row>
    <row r="544" spans="1:22" x14ac:dyDescent="0.25">
      <c r="A544" s="2">
        <v>2017</v>
      </c>
      <c r="B544" t="s">
        <v>38</v>
      </c>
      <c r="C544" t="s">
        <v>24</v>
      </c>
      <c r="D544" s="2">
        <v>84</v>
      </c>
      <c r="E544" s="2">
        <v>9529</v>
      </c>
      <c r="F544" t="s">
        <v>396</v>
      </c>
      <c r="G544">
        <v>11</v>
      </c>
      <c r="H544">
        <v>11</v>
      </c>
      <c r="I544">
        <v>0</v>
      </c>
      <c r="J544">
        <v>0</v>
      </c>
      <c r="K544">
        <v>0</v>
      </c>
      <c r="L544" s="6">
        <f t="shared" si="63"/>
        <v>1</v>
      </c>
      <c r="M544">
        <v>208</v>
      </c>
      <c r="N544">
        <v>64</v>
      </c>
      <c r="O544" s="9">
        <v>0</v>
      </c>
      <c r="P544">
        <v>1</v>
      </c>
      <c r="Q544">
        <v>91</v>
      </c>
      <c r="R544">
        <v>0</v>
      </c>
      <c r="S544">
        <v>52</v>
      </c>
      <c r="T544">
        <v>0</v>
      </c>
      <c r="U544" s="3">
        <f t="shared" si="70"/>
        <v>0.99519230769230771</v>
      </c>
      <c r="V544" s="3">
        <f t="shared" si="71"/>
        <v>0.99543378995433784</v>
      </c>
    </row>
    <row r="545" spans="1:22" x14ac:dyDescent="0.25">
      <c r="A545" s="2">
        <v>2017</v>
      </c>
      <c r="B545" t="s">
        <v>38</v>
      </c>
      <c r="C545" t="s">
        <v>24</v>
      </c>
      <c r="D545" s="2">
        <v>113</v>
      </c>
      <c r="E545" s="2">
        <v>119349</v>
      </c>
      <c r="F545" t="s">
        <v>397</v>
      </c>
      <c r="G545">
        <v>6</v>
      </c>
      <c r="H545">
        <v>6</v>
      </c>
      <c r="I545">
        <v>0</v>
      </c>
      <c r="J545">
        <v>0</v>
      </c>
      <c r="K545">
        <v>0</v>
      </c>
      <c r="L545" s="6">
        <f t="shared" si="63"/>
        <v>1</v>
      </c>
      <c r="M545">
        <v>207</v>
      </c>
      <c r="N545">
        <v>36</v>
      </c>
      <c r="O545" s="9">
        <v>0</v>
      </c>
      <c r="P545">
        <v>0</v>
      </c>
      <c r="Q545">
        <v>89</v>
      </c>
      <c r="R545">
        <v>0</v>
      </c>
      <c r="S545">
        <v>81</v>
      </c>
      <c r="T545">
        <v>1</v>
      </c>
      <c r="U545" s="3">
        <f t="shared" si="70"/>
        <v>1</v>
      </c>
      <c r="V545" s="3">
        <f t="shared" si="71"/>
        <v>1</v>
      </c>
    </row>
    <row r="546" spans="1:22" x14ac:dyDescent="0.25">
      <c r="A546" s="2">
        <v>2017</v>
      </c>
      <c r="B546" t="s">
        <v>38</v>
      </c>
      <c r="C546" t="s">
        <v>24</v>
      </c>
      <c r="D546" s="2">
        <v>135</v>
      </c>
      <c r="E546" s="2">
        <v>121924</v>
      </c>
      <c r="F546" t="s">
        <v>398</v>
      </c>
      <c r="G546">
        <v>12</v>
      </c>
      <c r="H546">
        <v>12</v>
      </c>
      <c r="I546">
        <v>0</v>
      </c>
      <c r="J546">
        <v>0</v>
      </c>
      <c r="K546">
        <v>0</v>
      </c>
      <c r="L546" s="6">
        <f t="shared" si="63"/>
        <v>1</v>
      </c>
      <c r="M546">
        <v>197</v>
      </c>
      <c r="N546">
        <v>43</v>
      </c>
      <c r="O546" s="9">
        <v>0</v>
      </c>
      <c r="P546">
        <v>0</v>
      </c>
      <c r="Q546">
        <v>79</v>
      </c>
      <c r="R546">
        <v>0</v>
      </c>
      <c r="S546">
        <v>74</v>
      </c>
      <c r="T546">
        <v>1</v>
      </c>
      <c r="U546" s="3">
        <f t="shared" si="70"/>
        <v>1</v>
      </c>
      <c r="V546" s="3">
        <f t="shared" si="71"/>
        <v>1</v>
      </c>
    </row>
    <row r="547" spans="1:22" x14ac:dyDescent="0.25">
      <c r="A547" s="2">
        <v>2017</v>
      </c>
      <c r="B547" t="s">
        <v>38</v>
      </c>
      <c r="C547" t="s">
        <v>24</v>
      </c>
      <c r="D547" s="2">
        <v>28</v>
      </c>
      <c r="E547" s="2">
        <v>4356</v>
      </c>
      <c r="F547" t="s">
        <v>360</v>
      </c>
      <c r="G547">
        <v>1</v>
      </c>
      <c r="H547">
        <v>1</v>
      </c>
      <c r="I547">
        <v>0</v>
      </c>
      <c r="J547">
        <v>0</v>
      </c>
      <c r="K547">
        <v>0</v>
      </c>
      <c r="L547" s="6">
        <f t="shared" si="63"/>
        <v>1</v>
      </c>
      <c r="M547">
        <v>2</v>
      </c>
      <c r="N547">
        <v>0</v>
      </c>
      <c r="O547" s="9">
        <v>0</v>
      </c>
      <c r="P547">
        <v>0</v>
      </c>
      <c r="Q547">
        <v>2</v>
      </c>
      <c r="R547">
        <v>0</v>
      </c>
      <c r="S547">
        <v>0</v>
      </c>
      <c r="T547">
        <v>0</v>
      </c>
      <c r="U547" s="3">
        <f t="shared" si="70"/>
        <v>1</v>
      </c>
      <c r="V547" s="3">
        <f t="shared" si="71"/>
        <v>1</v>
      </c>
    </row>
    <row r="548" spans="1:22" x14ac:dyDescent="0.25">
      <c r="A548" s="2">
        <v>2017</v>
      </c>
      <c r="B548" t="s">
        <v>38</v>
      </c>
      <c r="C548" t="s">
        <v>24</v>
      </c>
      <c r="D548" s="2">
        <v>110</v>
      </c>
      <c r="E548" s="2">
        <v>118697</v>
      </c>
      <c r="F548" t="s">
        <v>399</v>
      </c>
      <c r="G548">
        <v>6</v>
      </c>
      <c r="H548">
        <v>6</v>
      </c>
      <c r="I548">
        <v>0</v>
      </c>
      <c r="J548">
        <v>0</v>
      </c>
      <c r="K548">
        <v>0</v>
      </c>
      <c r="L548" s="6">
        <f t="shared" si="63"/>
        <v>1</v>
      </c>
      <c r="M548">
        <v>201</v>
      </c>
      <c r="N548">
        <v>50</v>
      </c>
      <c r="O548" s="9">
        <v>0</v>
      </c>
      <c r="P548">
        <v>0</v>
      </c>
      <c r="Q548">
        <v>71</v>
      </c>
      <c r="R548">
        <v>0</v>
      </c>
      <c r="S548">
        <v>76</v>
      </c>
      <c r="T548">
        <v>4</v>
      </c>
      <c r="U548" s="3">
        <f t="shared" si="70"/>
        <v>1</v>
      </c>
      <c r="V548" s="3">
        <f t="shared" si="71"/>
        <v>1</v>
      </c>
    </row>
    <row r="549" spans="1:22" x14ac:dyDescent="0.25">
      <c r="A549" s="2">
        <v>2017</v>
      </c>
      <c r="B549" t="s">
        <v>38</v>
      </c>
      <c r="C549" t="s">
        <v>24</v>
      </c>
      <c r="D549" s="2">
        <v>85</v>
      </c>
      <c r="E549" s="2">
        <v>10528</v>
      </c>
      <c r="F549" t="s">
        <v>400</v>
      </c>
      <c r="G549">
        <v>4</v>
      </c>
      <c r="H549">
        <v>4</v>
      </c>
      <c r="I549">
        <v>0</v>
      </c>
      <c r="J549">
        <v>0</v>
      </c>
      <c r="K549">
        <v>0</v>
      </c>
      <c r="L549" s="6">
        <f t="shared" si="63"/>
        <v>1</v>
      </c>
      <c r="M549">
        <v>71</v>
      </c>
      <c r="N549">
        <v>15</v>
      </c>
      <c r="O549" s="9">
        <v>0</v>
      </c>
      <c r="P549">
        <v>0</v>
      </c>
      <c r="Q549">
        <v>27</v>
      </c>
      <c r="R549">
        <v>0</v>
      </c>
      <c r="S549">
        <v>29</v>
      </c>
      <c r="T549">
        <v>0</v>
      </c>
      <c r="U549" s="3">
        <f t="shared" si="70"/>
        <v>1</v>
      </c>
      <c r="V549" s="3">
        <f t="shared" si="71"/>
        <v>1</v>
      </c>
    </row>
    <row r="550" spans="1:22" x14ac:dyDescent="0.25">
      <c r="A550" s="2">
        <v>2017</v>
      </c>
      <c r="B550" t="s">
        <v>38</v>
      </c>
      <c r="C550" t="s">
        <v>24</v>
      </c>
      <c r="D550" s="2">
        <v>93</v>
      </c>
      <c r="E550" s="2">
        <v>118657</v>
      </c>
      <c r="F550" t="s">
        <v>401</v>
      </c>
      <c r="G550">
        <v>9</v>
      </c>
      <c r="H550">
        <v>9</v>
      </c>
      <c r="I550">
        <v>0</v>
      </c>
      <c r="J550">
        <v>0</v>
      </c>
      <c r="K550">
        <v>0</v>
      </c>
      <c r="L550" s="6">
        <f t="shared" si="63"/>
        <v>1</v>
      </c>
      <c r="M550">
        <v>167</v>
      </c>
      <c r="N550">
        <v>33</v>
      </c>
      <c r="O550" s="9">
        <v>0</v>
      </c>
      <c r="P550">
        <v>0</v>
      </c>
      <c r="Q550">
        <v>66</v>
      </c>
      <c r="R550">
        <v>0</v>
      </c>
      <c r="S550">
        <v>68</v>
      </c>
      <c r="T550">
        <v>0</v>
      </c>
      <c r="U550" s="3">
        <f t="shared" si="70"/>
        <v>1</v>
      </c>
      <c r="V550" s="3">
        <f t="shared" si="71"/>
        <v>1</v>
      </c>
    </row>
    <row r="551" spans="1:22" x14ac:dyDescent="0.25">
      <c r="A551" s="2">
        <v>2017</v>
      </c>
      <c r="B551" t="s">
        <v>38</v>
      </c>
      <c r="C551" t="s">
        <v>24</v>
      </c>
      <c r="D551" s="2">
        <v>36</v>
      </c>
      <c r="E551" s="2">
        <v>118472</v>
      </c>
      <c r="F551" t="s">
        <v>503</v>
      </c>
      <c r="G551">
        <v>15</v>
      </c>
      <c r="H551">
        <v>15</v>
      </c>
      <c r="I551">
        <v>0</v>
      </c>
      <c r="J551">
        <v>0</v>
      </c>
      <c r="K551">
        <v>0</v>
      </c>
      <c r="L551" s="6">
        <f t="shared" si="63"/>
        <v>1</v>
      </c>
      <c r="M551">
        <v>232</v>
      </c>
      <c r="N551">
        <v>56</v>
      </c>
      <c r="O551" s="9">
        <v>0</v>
      </c>
      <c r="P551">
        <v>0</v>
      </c>
      <c r="Q551">
        <v>92</v>
      </c>
      <c r="R551">
        <v>2</v>
      </c>
      <c r="S551">
        <v>81</v>
      </c>
      <c r="T551">
        <v>1</v>
      </c>
      <c r="U551" s="3">
        <f t="shared" si="70"/>
        <v>0.99137931034482762</v>
      </c>
      <c r="V551" s="3">
        <f t="shared" si="71"/>
        <v>0.9919028340080972</v>
      </c>
    </row>
    <row r="552" spans="1:22" x14ac:dyDescent="0.25">
      <c r="A552" s="2">
        <v>2017</v>
      </c>
      <c r="B552" t="s">
        <v>38</v>
      </c>
      <c r="C552" t="s">
        <v>24</v>
      </c>
      <c r="D552" s="2">
        <v>1</v>
      </c>
      <c r="E552" s="2">
        <v>6777</v>
      </c>
      <c r="F552" t="s">
        <v>34</v>
      </c>
      <c r="G552">
        <v>0</v>
      </c>
      <c r="H552">
        <v>0</v>
      </c>
      <c r="I552">
        <v>0</v>
      </c>
      <c r="J552">
        <v>0</v>
      </c>
      <c r="K552">
        <v>0</v>
      </c>
      <c r="L552" s="6">
        <f t="shared" si="63"/>
        <v>0</v>
      </c>
      <c r="M552">
        <v>2</v>
      </c>
      <c r="N552">
        <v>1</v>
      </c>
      <c r="O552" s="9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 s="3">
        <f t="shared" si="70"/>
        <v>1</v>
      </c>
      <c r="V552" s="3">
        <f t="shared" si="71"/>
        <v>1</v>
      </c>
    </row>
    <row r="553" spans="1:22" x14ac:dyDescent="0.25">
      <c r="A553" s="2">
        <v>2017</v>
      </c>
      <c r="B553" t="s">
        <v>38</v>
      </c>
      <c r="C553" t="s">
        <v>24</v>
      </c>
      <c r="D553" s="2">
        <v>133</v>
      </c>
      <c r="E553" s="2">
        <v>120862</v>
      </c>
      <c r="F553" t="s">
        <v>48</v>
      </c>
      <c r="G553">
        <v>0</v>
      </c>
      <c r="H553">
        <v>0</v>
      </c>
      <c r="I553">
        <v>0</v>
      </c>
      <c r="J553">
        <v>0</v>
      </c>
      <c r="K553">
        <v>0</v>
      </c>
      <c r="L553" s="6">
        <f t="shared" si="63"/>
        <v>0</v>
      </c>
      <c r="M553">
        <v>1</v>
      </c>
      <c r="N553">
        <v>1</v>
      </c>
      <c r="O553" s="9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s="3">
        <f t="shared" si="70"/>
        <v>1</v>
      </c>
      <c r="V553" s="3">
        <f t="shared" si="71"/>
        <v>1</v>
      </c>
    </row>
    <row r="554" spans="1:22" x14ac:dyDescent="0.25">
      <c r="A554" s="2">
        <v>2017</v>
      </c>
      <c r="B554" t="s">
        <v>38</v>
      </c>
      <c r="C554" t="s">
        <v>24</v>
      </c>
      <c r="D554" s="2">
        <v>102</v>
      </c>
      <c r="E554" s="2">
        <v>119090</v>
      </c>
      <c r="F554" t="s">
        <v>402</v>
      </c>
      <c r="G554">
        <v>2</v>
      </c>
      <c r="H554">
        <v>2</v>
      </c>
      <c r="I554">
        <v>0</v>
      </c>
      <c r="J554">
        <v>0</v>
      </c>
      <c r="K554">
        <v>0</v>
      </c>
      <c r="L554" s="6">
        <f t="shared" si="63"/>
        <v>1</v>
      </c>
      <c r="M554">
        <v>112</v>
      </c>
      <c r="N554">
        <v>31</v>
      </c>
      <c r="O554" s="9">
        <v>0</v>
      </c>
      <c r="P554">
        <v>0</v>
      </c>
      <c r="Q554">
        <v>42</v>
      </c>
      <c r="R554">
        <v>0</v>
      </c>
      <c r="S554">
        <v>39</v>
      </c>
      <c r="T554">
        <v>0</v>
      </c>
      <c r="U554" s="3">
        <f t="shared" si="70"/>
        <v>1</v>
      </c>
      <c r="V554" s="3">
        <f t="shared" si="71"/>
        <v>1</v>
      </c>
    </row>
    <row r="555" spans="1:22" x14ac:dyDescent="0.25">
      <c r="A555" s="2">
        <v>2017</v>
      </c>
      <c r="B555" t="s">
        <v>38</v>
      </c>
      <c r="C555" t="s">
        <v>24</v>
      </c>
      <c r="D555" s="2">
        <v>40</v>
      </c>
      <c r="E555" s="2">
        <v>6831</v>
      </c>
      <c r="F555" t="s">
        <v>28</v>
      </c>
      <c r="G555">
        <v>17</v>
      </c>
      <c r="H555">
        <v>17</v>
      </c>
      <c r="I555">
        <v>0</v>
      </c>
      <c r="J555">
        <v>0</v>
      </c>
      <c r="K555">
        <v>0</v>
      </c>
      <c r="L555" s="6">
        <f t="shared" si="63"/>
        <v>1</v>
      </c>
      <c r="M555">
        <v>278</v>
      </c>
      <c r="N555">
        <v>50</v>
      </c>
      <c r="O555" s="9">
        <v>0</v>
      </c>
      <c r="P555">
        <v>0</v>
      </c>
      <c r="Q555">
        <v>115</v>
      </c>
      <c r="R555">
        <v>1</v>
      </c>
      <c r="S555">
        <v>111</v>
      </c>
      <c r="T555">
        <v>1</v>
      </c>
      <c r="U555" s="3">
        <f t="shared" si="70"/>
        <v>0.99640287769784175</v>
      </c>
      <c r="V555" s="3">
        <f t="shared" si="71"/>
        <v>0.99661016949152548</v>
      </c>
    </row>
    <row r="556" spans="1:22" x14ac:dyDescent="0.25">
      <c r="A556" s="2">
        <v>2017</v>
      </c>
      <c r="B556" t="s">
        <v>38</v>
      </c>
      <c r="C556" t="s">
        <v>24</v>
      </c>
      <c r="D556" s="2">
        <v>111</v>
      </c>
      <c r="E556" s="2">
        <v>118696</v>
      </c>
      <c r="F556" t="s">
        <v>404</v>
      </c>
      <c r="G556">
        <v>2</v>
      </c>
      <c r="H556">
        <v>2</v>
      </c>
      <c r="I556">
        <v>0</v>
      </c>
      <c r="J556">
        <v>0</v>
      </c>
      <c r="K556">
        <v>0</v>
      </c>
      <c r="L556" s="6">
        <f t="shared" si="63"/>
        <v>1</v>
      </c>
      <c r="M556">
        <v>47</v>
      </c>
      <c r="N556">
        <v>8</v>
      </c>
      <c r="O556" s="9">
        <v>0</v>
      </c>
      <c r="P556">
        <v>0</v>
      </c>
      <c r="Q556">
        <v>22</v>
      </c>
      <c r="R556">
        <v>0</v>
      </c>
      <c r="S556">
        <v>17</v>
      </c>
      <c r="T556">
        <v>0</v>
      </c>
      <c r="U556" s="3">
        <f t="shared" si="70"/>
        <v>1</v>
      </c>
      <c r="V556" s="3">
        <f t="shared" si="71"/>
        <v>1</v>
      </c>
    </row>
    <row r="557" spans="1:22" x14ac:dyDescent="0.25">
      <c r="A557" s="2">
        <v>2017</v>
      </c>
      <c r="B557" t="s">
        <v>38</v>
      </c>
      <c r="C557" t="s">
        <v>24</v>
      </c>
      <c r="D557" s="2">
        <v>139</v>
      </c>
      <c r="E557" s="2">
        <v>122085</v>
      </c>
      <c r="F557" t="s">
        <v>405</v>
      </c>
      <c r="G557">
        <v>9</v>
      </c>
      <c r="H557">
        <v>9</v>
      </c>
      <c r="I557">
        <v>0</v>
      </c>
      <c r="J557">
        <v>0</v>
      </c>
      <c r="K557">
        <v>0</v>
      </c>
      <c r="L557" s="6">
        <f t="shared" si="63"/>
        <v>1</v>
      </c>
      <c r="M557">
        <v>228</v>
      </c>
      <c r="N557">
        <v>47</v>
      </c>
      <c r="O557" s="9">
        <v>0</v>
      </c>
      <c r="P557">
        <v>0</v>
      </c>
      <c r="Q557">
        <v>83</v>
      </c>
      <c r="R557">
        <v>0</v>
      </c>
      <c r="S557">
        <v>95</v>
      </c>
      <c r="T557">
        <v>3</v>
      </c>
      <c r="U557" s="3">
        <f t="shared" si="70"/>
        <v>1</v>
      </c>
      <c r="V557" s="3">
        <f t="shared" si="71"/>
        <v>1</v>
      </c>
    </row>
    <row r="558" spans="1:22" x14ac:dyDescent="0.25">
      <c r="A558" s="2">
        <v>2017</v>
      </c>
      <c r="B558" t="s">
        <v>38</v>
      </c>
      <c r="C558" t="s">
        <v>24</v>
      </c>
      <c r="D558" s="2">
        <v>134</v>
      </c>
      <c r="E558" s="2">
        <v>4968</v>
      </c>
      <c r="F558" t="s">
        <v>29</v>
      </c>
      <c r="G558">
        <v>5</v>
      </c>
      <c r="H558">
        <v>5</v>
      </c>
      <c r="I558">
        <v>0</v>
      </c>
      <c r="J558">
        <v>0</v>
      </c>
      <c r="K558">
        <v>0</v>
      </c>
      <c r="L558" s="6">
        <f t="shared" si="63"/>
        <v>1</v>
      </c>
      <c r="M558">
        <v>204</v>
      </c>
      <c r="N558">
        <v>32</v>
      </c>
      <c r="O558" s="9">
        <v>0</v>
      </c>
      <c r="P558">
        <v>0</v>
      </c>
      <c r="Q558">
        <v>71</v>
      </c>
      <c r="R558">
        <v>2</v>
      </c>
      <c r="S558">
        <v>99</v>
      </c>
      <c r="T558">
        <v>0</v>
      </c>
      <c r="U558" s="3">
        <f t="shared" si="70"/>
        <v>0.99019607843137258</v>
      </c>
      <c r="V558" s="3">
        <f t="shared" si="71"/>
        <v>0.99043062200956933</v>
      </c>
    </row>
    <row r="559" spans="1:22" x14ac:dyDescent="0.25">
      <c r="A559" s="2">
        <v>2017</v>
      </c>
      <c r="B559" t="s">
        <v>38</v>
      </c>
      <c r="C559" t="s">
        <v>24</v>
      </c>
      <c r="D559" s="2">
        <v>131</v>
      </c>
      <c r="E559" s="2">
        <v>121355</v>
      </c>
      <c r="F559" t="s">
        <v>504</v>
      </c>
      <c r="G559">
        <v>5</v>
      </c>
      <c r="H559">
        <v>5</v>
      </c>
      <c r="I559">
        <v>0</v>
      </c>
      <c r="J559">
        <v>0</v>
      </c>
      <c r="K559">
        <v>0</v>
      </c>
      <c r="L559" s="6">
        <f t="shared" si="63"/>
        <v>1</v>
      </c>
      <c r="M559">
        <v>98</v>
      </c>
      <c r="N559">
        <v>21</v>
      </c>
      <c r="O559" s="9">
        <v>0</v>
      </c>
      <c r="P559">
        <v>0</v>
      </c>
      <c r="Q559">
        <v>47</v>
      </c>
      <c r="R559">
        <v>0</v>
      </c>
      <c r="S559">
        <v>30</v>
      </c>
      <c r="T559">
        <v>0</v>
      </c>
      <c r="U559" s="3">
        <f t="shared" si="70"/>
        <v>1</v>
      </c>
      <c r="V559" s="3">
        <f t="shared" si="71"/>
        <v>1</v>
      </c>
    </row>
    <row r="560" spans="1:22" x14ac:dyDescent="0.25">
      <c r="A560" s="2">
        <v>2017</v>
      </c>
      <c r="B560" t="s">
        <v>38</v>
      </c>
      <c r="C560" t="s">
        <v>24</v>
      </c>
      <c r="D560" s="2">
        <v>138</v>
      </c>
      <c r="E560" s="2">
        <v>122073</v>
      </c>
      <c r="F560" t="s">
        <v>406</v>
      </c>
      <c r="G560">
        <v>8</v>
      </c>
      <c r="H560">
        <v>8</v>
      </c>
      <c r="I560">
        <v>0</v>
      </c>
      <c r="J560">
        <v>0</v>
      </c>
      <c r="K560">
        <v>0</v>
      </c>
      <c r="L560" s="6">
        <f t="shared" si="63"/>
        <v>1</v>
      </c>
      <c r="M560">
        <v>186</v>
      </c>
      <c r="N560">
        <v>43</v>
      </c>
      <c r="O560" s="9">
        <v>0</v>
      </c>
      <c r="P560">
        <v>0</v>
      </c>
      <c r="Q560">
        <v>84</v>
      </c>
      <c r="R560">
        <v>0</v>
      </c>
      <c r="S560">
        <v>58</v>
      </c>
      <c r="T560">
        <v>1</v>
      </c>
      <c r="U560" s="3">
        <f t="shared" si="70"/>
        <v>1</v>
      </c>
      <c r="V560" s="3">
        <f t="shared" si="71"/>
        <v>1</v>
      </c>
    </row>
    <row r="561" spans="1:22" x14ac:dyDescent="0.25">
      <c r="A561" s="2">
        <v>2017</v>
      </c>
      <c r="B561" t="s">
        <v>38</v>
      </c>
      <c r="C561" t="s">
        <v>24</v>
      </c>
      <c r="D561" s="2">
        <v>150</v>
      </c>
      <c r="E561" s="2">
        <v>123118</v>
      </c>
      <c r="F561" t="s">
        <v>30</v>
      </c>
      <c r="G561">
        <v>13</v>
      </c>
      <c r="H561">
        <v>13</v>
      </c>
      <c r="I561">
        <v>0</v>
      </c>
      <c r="J561">
        <v>0</v>
      </c>
      <c r="K561">
        <v>0</v>
      </c>
      <c r="L561" s="6">
        <f t="shared" si="63"/>
        <v>1</v>
      </c>
      <c r="M561">
        <v>257</v>
      </c>
      <c r="N561">
        <v>60</v>
      </c>
      <c r="O561" s="9">
        <v>0</v>
      </c>
      <c r="P561">
        <v>0</v>
      </c>
      <c r="Q561">
        <v>96</v>
      </c>
      <c r="R561">
        <v>0</v>
      </c>
      <c r="S561">
        <v>101</v>
      </c>
      <c r="T561">
        <v>0</v>
      </c>
      <c r="U561" s="3">
        <f t="shared" si="70"/>
        <v>1</v>
      </c>
      <c r="V561" s="3">
        <f t="shared" si="71"/>
        <v>1</v>
      </c>
    </row>
    <row r="562" spans="1:22" x14ac:dyDescent="0.25">
      <c r="A562" s="2">
        <v>2017</v>
      </c>
      <c r="B562" t="s">
        <v>38</v>
      </c>
      <c r="C562" t="s">
        <v>24</v>
      </c>
      <c r="D562" s="2">
        <v>151</v>
      </c>
      <c r="E562" s="2">
        <v>123113</v>
      </c>
      <c r="F562" t="s">
        <v>424</v>
      </c>
      <c r="G562">
        <v>4</v>
      </c>
      <c r="H562">
        <v>4</v>
      </c>
      <c r="I562">
        <v>0</v>
      </c>
      <c r="J562">
        <v>0</v>
      </c>
      <c r="K562">
        <v>0</v>
      </c>
      <c r="L562" s="6">
        <f t="shared" si="63"/>
        <v>1</v>
      </c>
      <c r="M562">
        <v>107</v>
      </c>
      <c r="N562">
        <v>23</v>
      </c>
      <c r="O562" s="9">
        <v>0</v>
      </c>
      <c r="P562">
        <v>0</v>
      </c>
      <c r="Q562">
        <v>35</v>
      </c>
      <c r="R562">
        <v>0</v>
      </c>
      <c r="S562">
        <v>49</v>
      </c>
      <c r="T562">
        <v>0</v>
      </c>
      <c r="U562" s="3">
        <f t="shared" si="70"/>
        <v>1</v>
      </c>
      <c r="V562" s="3">
        <f t="shared" si="71"/>
        <v>1</v>
      </c>
    </row>
    <row r="563" spans="1:22" x14ac:dyDescent="0.25">
      <c r="A563" s="2">
        <v>2017</v>
      </c>
      <c r="B563" t="s">
        <v>38</v>
      </c>
      <c r="C563" t="s">
        <v>24</v>
      </c>
      <c r="D563" s="2">
        <v>39</v>
      </c>
      <c r="E563" s="2">
        <v>6832</v>
      </c>
      <c r="F563" t="s">
        <v>407</v>
      </c>
      <c r="G563">
        <v>18</v>
      </c>
      <c r="H563">
        <v>18</v>
      </c>
      <c r="I563">
        <v>0</v>
      </c>
      <c r="J563">
        <v>0</v>
      </c>
      <c r="K563">
        <v>0</v>
      </c>
      <c r="L563" s="6">
        <f t="shared" si="63"/>
        <v>1</v>
      </c>
      <c r="M563">
        <v>263</v>
      </c>
      <c r="N563">
        <v>64</v>
      </c>
      <c r="O563" s="9">
        <v>0</v>
      </c>
      <c r="P563">
        <v>0</v>
      </c>
      <c r="Q563">
        <v>92</v>
      </c>
      <c r="R563">
        <v>0</v>
      </c>
      <c r="S563">
        <v>105</v>
      </c>
      <c r="T563">
        <v>2</v>
      </c>
      <c r="U563" s="3">
        <f t="shared" si="70"/>
        <v>1</v>
      </c>
      <c r="V563" s="3">
        <f t="shared" si="71"/>
        <v>1</v>
      </c>
    </row>
    <row r="564" spans="1:22" x14ac:dyDescent="0.25">
      <c r="A564" s="2">
        <v>2017</v>
      </c>
      <c r="B564" t="s">
        <v>38</v>
      </c>
      <c r="C564" t="s">
        <v>24</v>
      </c>
      <c r="D564" s="2">
        <v>129</v>
      </c>
      <c r="E564" s="2">
        <v>5246</v>
      </c>
      <c r="F564" t="s">
        <v>347</v>
      </c>
      <c r="G564">
        <v>0</v>
      </c>
      <c r="H564">
        <v>0</v>
      </c>
      <c r="I564">
        <v>0</v>
      </c>
      <c r="J564">
        <v>0</v>
      </c>
      <c r="K564">
        <v>0</v>
      </c>
      <c r="L564" s="6">
        <f t="shared" si="63"/>
        <v>0</v>
      </c>
      <c r="M564">
        <v>2</v>
      </c>
      <c r="N564">
        <v>1</v>
      </c>
      <c r="O564" s="9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 s="3">
        <f t="shared" si="70"/>
        <v>1</v>
      </c>
      <c r="V564" s="3">
        <f t="shared" si="71"/>
        <v>1</v>
      </c>
    </row>
    <row r="565" spans="1:22" x14ac:dyDescent="0.25">
      <c r="A565" s="2">
        <v>2017</v>
      </c>
      <c r="B565" t="s">
        <v>38</v>
      </c>
      <c r="C565" t="s">
        <v>24</v>
      </c>
      <c r="D565" s="2">
        <v>78</v>
      </c>
      <c r="E565" s="2">
        <v>8720</v>
      </c>
      <c r="F565" t="s">
        <v>408</v>
      </c>
      <c r="G565">
        <v>11</v>
      </c>
      <c r="H565">
        <v>11</v>
      </c>
      <c r="I565">
        <v>0</v>
      </c>
      <c r="J565">
        <v>0</v>
      </c>
      <c r="K565">
        <v>0</v>
      </c>
      <c r="L565" s="6">
        <f t="shared" si="63"/>
        <v>1</v>
      </c>
      <c r="M565">
        <v>251</v>
      </c>
      <c r="N565">
        <v>55</v>
      </c>
      <c r="O565" s="9">
        <v>0</v>
      </c>
      <c r="P565">
        <v>0</v>
      </c>
      <c r="Q565">
        <v>119</v>
      </c>
      <c r="R565">
        <v>0</v>
      </c>
      <c r="S565">
        <v>74</v>
      </c>
      <c r="T565">
        <v>3</v>
      </c>
      <c r="U565" s="3">
        <f t="shared" si="70"/>
        <v>1</v>
      </c>
      <c r="V565" s="3">
        <f t="shared" si="71"/>
        <v>1</v>
      </c>
    </row>
    <row r="566" spans="1:22" x14ac:dyDescent="0.25">
      <c r="A566" s="2">
        <v>2017</v>
      </c>
      <c r="B566" t="s">
        <v>38</v>
      </c>
      <c r="C566" t="s">
        <v>20</v>
      </c>
      <c r="D566" s="2">
        <v>528</v>
      </c>
      <c r="E566" s="2">
        <v>10623</v>
      </c>
      <c r="F566" t="s">
        <v>42</v>
      </c>
      <c r="G566">
        <v>0</v>
      </c>
      <c r="H566">
        <v>0</v>
      </c>
      <c r="I566">
        <v>0</v>
      </c>
      <c r="J566">
        <v>0</v>
      </c>
      <c r="K566">
        <v>0</v>
      </c>
      <c r="L566" s="6">
        <f t="shared" si="63"/>
        <v>0</v>
      </c>
      <c r="M566">
        <v>1</v>
      </c>
      <c r="N566">
        <v>0</v>
      </c>
      <c r="O566" s="9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 s="3">
        <f t="shared" si="70"/>
        <v>1</v>
      </c>
      <c r="V566" s="3">
        <f t="shared" si="71"/>
        <v>1</v>
      </c>
    </row>
    <row r="567" spans="1:22" x14ac:dyDescent="0.25">
      <c r="A567" s="2">
        <v>2017</v>
      </c>
      <c r="B567" t="s">
        <v>38</v>
      </c>
      <c r="C567" t="s">
        <v>20</v>
      </c>
      <c r="D567" s="2">
        <v>578</v>
      </c>
      <c r="E567" s="2">
        <v>122349</v>
      </c>
      <c r="F567" t="s">
        <v>43</v>
      </c>
      <c r="G567">
        <v>4</v>
      </c>
      <c r="H567">
        <v>4</v>
      </c>
      <c r="I567">
        <v>0</v>
      </c>
      <c r="J567">
        <v>0</v>
      </c>
      <c r="K567">
        <v>0</v>
      </c>
      <c r="L567" s="6">
        <f t="shared" si="63"/>
        <v>1</v>
      </c>
      <c r="M567">
        <v>87</v>
      </c>
      <c r="N567">
        <v>12</v>
      </c>
      <c r="O567" s="9">
        <v>0</v>
      </c>
      <c r="P567">
        <v>0</v>
      </c>
      <c r="Q567">
        <v>45</v>
      </c>
      <c r="R567">
        <v>0</v>
      </c>
      <c r="S567">
        <v>28</v>
      </c>
      <c r="T567">
        <v>2</v>
      </c>
      <c r="U567" s="3">
        <f t="shared" ref="U567:U590" si="72">IF(M567=0,0,((N567+O567+Q567+S567+T567)/M567))</f>
        <v>1</v>
      </c>
      <c r="V567" s="3">
        <f t="shared" ref="V567:V590" si="73">(H567+I567+J567+N567+Q567+S567+T567)/(G567+M567)</f>
        <v>1</v>
      </c>
    </row>
    <row r="568" spans="1:22" x14ac:dyDescent="0.25">
      <c r="A568" s="2">
        <v>2017</v>
      </c>
      <c r="B568" t="s">
        <v>38</v>
      </c>
      <c r="C568" t="s">
        <v>20</v>
      </c>
      <c r="D568" s="2">
        <v>772</v>
      </c>
      <c r="E568" s="2">
        <v>5384</v>
      </c>
      <c r="F568" t="s">
        <v>331</v>
      </c>
      <c r="G568">
        <v>0</v>
      </c>
      <c r="H568">
        <v>0</v>
      </c>
      <c r="I568">
        <v>0</v>
      </c>
      <c r="J568">
        <v>0</v>
      </c>
      <c r="K568">
        <v>0</v>
      </c>
      <c r="L568" s="6">
        <f t="shared" si="63"/>
        <v>0</v>
      </c>
      <c r="M568">
        <v>32</v>
      </c>
      <c r="N568">
        <v>10</v>
      </c>
      <c r="O568" s="9">
        <v>0</v>
      </c>
      <c r="P568">
        <v>0</v>
      </c>
      <c r="Q568">
        <v>12</v>
      </c>
      <c r="R568">
        <v>0</v>
      </c>
      <c r="S568">
        <v>10</v>
      </c>
      <c r="T568">
        <v>0</v>
      </c>
      <c r="U568" s="3">
        <f t="shared" si="72"/>
        <v>1</v>
      </c>
      <c r="V568" s="3">
        <f t="shared" si="73"/>
        <v>1</v>
      </c>
    </row>
    <row r="569" spans="1:22" x14ac:dyDescent="0.25">
      <c r="A569" s="2">
        <v>2017</v>
      </c>
      <c r="B569" t="s">
        <v>38</v>
      </c>
      <c r="C569" t="s">
        <v>20</v>
      </c>
      <c r="D569" s="2">
        <v>551</v>
      </c>
      <c r="E569" s="2">
        <v>222222222</v>
      </c>
      <c r="F569" t="s">
        <v>431</v>
      </c>
      <c r="G569">
        <v>0</v>
      </c>
      <c r="H569">
        <v>0</v>
      </c>
      <c r="I569">
        <v>0</v>
      </c>
      <c r="J569">
        <v>0</v>
      </c>
      <c r="K569">
        <v>0</v>
      </c>
      <c r="L569" s="6">
        <f t="shared" si="63"/>
        <v>0</v>
      </c>
      <c r="M569">
        <v>1</v>
      </c>
      <c r="N569">
        <v>0</v>
      </c>
      <c r="O569" s="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 s="3">
        <f t="shared" si="72"/>
        <v>1</v>
      </c>
      <c r="V569" s="3">
        <f t="shared" si="73"/>
        <v>1</v>
      </c>
    </row>
    <row r="570" spans="1:22" x14ac:dyDescent="0.25">
      <c r="A570" s="2">
        <v>2017</v>
      </c>
      <c r="B570" t="s">
        <v>38</v>
      </c>
      <c r="C570" t="s">
        <v>20</v>
      </c>
      <c r="D570" s="2">
        <v>555</v>
      </c>
      <c r="E570" s="2">
        <v>119114</v>
      </c>
      <c r="F570" t="s">
        <v>375</v>
      </c>
      <c r="G570">
        <v>0</v>
      </c>
      <c r="H570">
        <v>0</v>
      </c>
      <c r="I570">
        <v>0</v>
      </c>
      <c r="J570">
        <v>0</v>
      </c>
      <c r="K570">
        <v>0</v>
      </c>
      <c r="L570" s="6">
        <f t="shared" si="63"/>
        <v>0</v>
      </c>
      <c r="M570">
        <v>2</v>
      </c>
      <c r="N570">
        <v>1</v>
      </c>
      <c r="O570" s="9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 s="3">
        <f t="shared" si="72"/>
        <v>1</v>
      </c>
      <c r="V570" s="3">
        <f t="shared" si="73"/>
        <v>1</v>
      </c>
    </row>
    <row r="571" spans="1:22" x14ac:dyDescent="0.25">
      <c r="A571" s="2">
        <v>2017</v>
      </c>
      <c r="B571" t="s">
        <v>38</v>
      </c>
      <c r="C571" t="s">
        <v>20</v>
      </c>
      <c r="D571" s="2">
        <v>590</v>
      </c>
      <c r="E571" s="2">
        <v>122682</v>
      </c>
      <c r="F571" t="s">
        <v>334</v>
      </c>
      <c r="G571">
        <v>14</v>
      </c>
      <c r="H571">
        <v>14</v>
      </c>
      <c r="I571">
        <v>0</v>
      </c>
      <c r="J571">
        <v>0</v>
      </c>
      <c r="K571">
        <v>0</v>
      </c>
      <c r="L571" s="6">
        <f t="shared" si="63"/>
        <v>1</v>
      </c>
      <c r="M571">
        <v>188</v>
      </c>
      <c r="N571">
        <v>21</v>
      </c>
      <c r="O571" s="9">
        <v>0</v>
      </c>
      <c r="P571">
        <v>0</v>
      </c>
      <c r="Q571">
        <v>103</v>
      </c>
      <c r="R571">
        <v>0</v>
      </c>
      <c r="S571">
        <v>62</v>
      </c>
      <c r="T571">
        <v>2</v>
      </c>
      <c r="U571" s="3">
        <f t="shared" si="72"/>
        <v>1</v>
      </c>
      <c r="V571" s="3">
        <f t="shared" si="73"/>
        <v>1</v>
      </c>
    </row>
    <row r="572" spans="1:22" x14ac:dyDescent="0.25">
      <c r="A572" s="2">
        <v>2017</v>
      </c>
      <c r="B572" t="s">
        <v>38</v>
      </c>
      <c r="C572" t="s">
        <v>20</v>
      </c>
      <c r="D572" s="2">
        <v>586</v>
      </c>
      <c r="E572" s="2">
        <v>122754</v>
      </c>
      <c r="F572" t="s">
        <v>335</v>
      </c>
      <c r="G572">
        <v>10</v>
      </c>
      <c r="H572">
        <v>10</v>
      </c>
      <c r="I572">
        <v>0</v>
      </c>
      <c r="J572">
        <v>0</v>
      </c>
      <c r="K572">
        <v>0</v>
      </c>
      <c r="L572" s="6">
        <f t="shared" si="63"/>
        <v>1</v>
      </c>
      <c r="M572">
        <v>217</v>
      </c>
      <c r="N572">
        <v>29</v>
      </c>
      <c r="O572" s="9">
        <v>0</v>
      </c>
      <c r="P572">
        <v>0</v>
      </c>
      <c r="Q572">
        <v>120</v>
      </c>
      <c r="R572">
        <v>1</v>
      </c>
      <c r="S572">
        <v>60</v>
      </c>
      <c r="T572">
        <v>7</v>
      </c>
      <c r="U572" s="3">
        <f t="shared" si="72"/>
        <v>0.99539170506912444</v>
      </c>
      <c r="V572" s="3">
        <f t="shared" si="73"/>
        <v>0.99559471365638763</v>
      </c>
    </row>
    <row r="573" spans="1:22" x14ac:dyDescent="0.25">
      <c r="A573" s="2">
        <v>2017</v>
      </c>
      <c r="B573" t="s">
        <v>38</v>
      </c>
      <c r="C573" t="s">
        <v>20</v>
      </c>
      <c r="D573" s="2">
        <v>527</v>
      </c>
      <c r="E573" s="2">
        <v>9715</v>
      </c>
      <c r="F573" t="s">
        <v>337</v>
      </c>
      <c r="G573">
        <v>38</v>
      </c>
      <c r="H573">
        <v>38</v>
      </c>
      <c r="I573">
        <v>0</v>
      </c>
      <c r="J573">
        <v>0</v>
      </c>
      <c r="K573">
        <v>0</v>
      </c>
      <c r="L573" s="6">
        <f t="shared" si="63"/>
        <v>1</v>
      </c>
      <c r="M573">
        <v>453</v>
      </c>
      <c r="N573">
        <v>37</v>
      </c>
      <c r="O573" s="9">
        <v>0</v>
      </c>
      <c r="P573">
        <v>1</v>
      </c>
      <c r="Q573">
        <v>211</v>
      </c>
      <c r="R573">
        <v>1</v>
      </c>
      <c r="S573">
        <v>201</v>
      </c>
      <c r="T573">
        <v>2</v>
      </c>
      <c r="U573" s="3">
        <f t="shared" si="72"/>
        <v>0.99558498896247238</v>
      </c>
      <c r="V573" s="3">
        <f t="shared" si="73"/>
        <v>0.99592668024439923</v>
      </c>
    </row>
    <row r="574" spans="1:22" x14ac:dyDescent="0.25">
      <c r="A574" s="2">
        <v>2017</v>
      </c>
      <c r="B574" t="s">
        <v>38</v>
      </c>
      <c r="C574" t="s">
        <v>20</v>
      </c>
      <c r="D574" s="2">
        <v>548</v>
      </c>
      <c r="E574" s="2">
        <v>10618</v>
      </c>
      <c r="F574" t="s">
        <v>338</v>
      </c>
      <c r="G574">
        <v>6</v>
      </c>
      <c r="H574">
        <v>6</v>
      </c>
      <c r="I574">
        <v>0</v>
      </c>
      <c r="J574">
        <v>0</v>
      </c>
      <c r="K574">
        <v>0</v>
      </c>
      <c r="L574" s="6">
        <f t="shared" si="63"/>
        <v>1</v>
      </c>
      <c r="M574">
        <v>48</v>
      </c>
      <c r="N574">
        <v>1</v>
      </c>
      <c r="O574" s="9">
        <v>0</v>
      </c>
      <c r="P574">
        <v>0</v>
      </c>
      <c r="Q574">
        <v>26</v>
      </c>
      <c r="R574">
        <v>0</v>
      </c>
      <c r="S574">
        <v>18</v>
      </c>
      <c r="T574">
        <v>3</v>
      </c>
      <c r="U574" s="3">
        <f t="shared" si="72"/>
        <v>1</v>
      </c>
      <c r="V574" s="3">
        <f t="shared" si="73"/>
        <v>1</v>
      </c>
    </row>
    <row r="575" spans="1:22" x14ac:dyDescent="0.25">
      <c r="A575" s="2">
        <v>2017</v>
      </c>
      <c r="B575" t="s">
        <v>38</v>
      </c>
      <c r="C575" t="s">
        <v>20</v>
      </c>
      <c r="D575" s="2">
        <v>587</v>
      </c>
      <c r="E575" s="2">
        <v>5597</v>
      </c>
      <c r="F575" t="s">
        <v>33</v>
      </c>
      <c r="G575">
        <v>0</v>
      </c>
      <c r="H575">
        <v>0</v>
      </c>
      <c r="I575">
        <v>0</v>
      </c>
      <c r="J575">
        <v>0</v>
      </c>
      <c r="K575">
        <v>0</v>
      </c>
      <c r="L575" s="6">
        <f t="shared" si="63"/>
        <v>0</v>
      </c>
      <c r="M575">
        <v>72</v>
      </c>
      <c r="N575">
        <v>8</v>
      </c>
      <c r="O575" s="9">
        <v>0</v>
      </c>
      <c r="P575">
        <v>0</v>
      </c>
      <c r="Q575">
        <v>46</v>
      </c>
      <c r="R575">
        <v>0</v>
      </c>
      <c r="S575">
        <v>17</v>
      </c>
      <c r="T575">
        <v>1</v>
      </c>
      <c r="U575" s="3">
        <f t="shared" si="72"/>
        <v>1</v>
      </c>
      <c r="V575" s="3">
        <f t="shared" si="73"/>
        <v>1</v>
      </c>
    </row>
    <row r="576" spans="1:22" x14ac:dyDescent="0.25">
      <c r="A576" s="2">
        <v>2017</v>
      </c>
      <c r="B576" t="s">
        <v>38</v>
      </c>
      <c r="C576" t="s">
        <v>20</v>
      </c>
      <c r="D576" s="2">
        <v>404</v>
      </c>
      <c r="E576" s="2">
        <v>6777</v>
      </c>
      <c r="F576" t="s">
        <v>34</v>
      </c>
      <c r="G576">
        <v>0</v>
      </c>
      <c r="H576">
        <v>0</v>
      </c>
      <c r="I576">
        <v>0</v>
      </c>
      <c r="J576">
        <v>0</v>
      </c>
      <c r="K576">
        <v>0</v>
      </c>
      <c r="L576" s="6">
        <f t="shared" si="63"/>
        <v>0</v>
      </c>
      <c r="M576">
        <v>76</v>
      </c>
      <c r="N576">
        <v>9</v>
      </c>
      <c r="O576" s="9">
        <v>0</v>
      </c>
      <c r="P576">
        <v>0</v>
      </c>
      <c r="Q576">
        <v>41</v>
      </c>
      <c r="R576">
        <v>0</v>
      </c>
      <c r="S576">
        <v>25</v>
      </c>
      <c r="T576">
        <v>1</v>
      </c>
      <c r="U576" s="3">
        <f t="shared" si="72"/>
        <v>1</v>
      </c>
      <c r="V576" s="3">
        <f t="shared" si="73"/>
        <v>1</v>
      </c>
    </row>
    <row r="577" spans="1:22" x14ac:dyDescent="0.25">
      <c r="A577" s="2">
        <v>2017</v>
      </c>
      <c r="B577" t="s">
        <v>38</v>
      </c>
      <c r="C577" t="s">
        <v>20</v>
      </c>
      <c r="D577" s="2">
        <v>559</v>
      </c>
      <c r="E577" s="2">
        <v>8697</v>
      </c>
      <c r="F577" t="s">
        <v>368</v>
      </c>
      <c r="G577">
        <v>5</v>
      </c>
      <c r="H577">
        <v>5</v>
      </c>
      <c r="I577">
        <v>0</v>
      </c>
      <c r="J577">
        <v>0</v>
      </c>
      <c r="K577">
        <v>0</v>
      </c>
      <c r="L577" s="6">
        <f t="shared" si="63"/>
        <v>1</v>
      </c>
      <c r="M577">
        <v>188</v>
      </c>
      <c r="N577">
        <v>22</v>
      </c>
      <c r="O577" s="9">
        <v>0</v>
      </c>
      <c r="P577">
        <v>0</v>
      </c>
      <c r="Q577">
        <v>104</v>
      </c>
      <c r="R577">
        <v>0</v>
      </c>
      <c r="S577">
        <v>60</v>
      </c>
      <c r="T577">
        <v>2</v>
      </c>
      <c r="U577" s="3">
        <f t="shared" si="72"/>
        <v>1</v>
      </c>
      <c r="V577" s="3">
        <f t="shared" si="73"/>
        <v>1</v>
      </c>
    </row>
    <row r="578" spans="1:22" x14ac:dyDescent="0.25">
      <c r="A578" s="2">
        <v>2017</v>
      </c>
      <c r="B578" t="s">
        <v>38</v>
      </c>
      <c r="C578" t="s">
        <v>20</v>
      </c>
      <c r="D578" s="2">
        <v>455</v>
      </c>
      <c r="E578" s="2">
        <v>7401</v>
      </c>
      <c r="F578" t="s">
        <v>36</v>
      </c>
      <c r="G578">
        <v>15</v>
      </c>
      <c r="H578">
        <v>15</v>
      </c>
      <c r="I578">
        <v>0</v>
      </c>
      <c r="J578">
        <v>0</v>
      </c>
      <c r="K578">
        <v>0</v>
      </c>
      <c r="L578" s="6">
        <f t="shared" ref="L578:L641" si="74">IF(G578=0,0,SUM(H578:J578)/G578)</f>
        <v>1</v>
      </c>
      <c r="M578">
        <v>182</v>
      </c>
      <c r="N578">
        <v>35</v>
      </c>
      <c r="O578" s="9">
        <v>0</v>
      </c>
      <c r="P578">
        <v>0</v>
      </c>
      <c r="Q578">
        <v>79</v>
      </c>
      <c r="R578">
        <v>0</v>
      </c>
      <c r="S578">
        <v>67</v>
      </c>
      <c r="T578">
        <v>1</v>
      </c>
      <c r="U578" s="3">
        <f t="shared" si="72"/>
        <v>1</v>
      </c>
      <c r="V578" s="3">
        <f t="shared" si="73"/>
        <v>1</v>
      </c>
    </row>
    <row r="579" spans="1:22" x14ac:dyDescent="0.25">
      <c r="A579" s="2">
        <v>2017</v>
      </c>
      <c r="B579" t="s">
        <v>38</v>
      </c>
      <c r="C579" t="s">
        <v>20</v>
      </c>
      <c r="D579" s="2">
        <v>356</v>
      </c>
      <c r="E579" s="2">
        <v>1674</v>
      </c>
      <c r="F579" t="s">
        <v>340</v>
      </c>
      <c r="G579">
        <v>12</v>
      </c>
      <c r="H579">
        <v>12</v>
      </c>
      <c r="I579">
        <v>0</v>
      </c>
      <c r="J579">
        <v>0</v>
      </c>
      <c r="K579">
        <v>0</v>
      </c>
      <c r="L579" s="6">
        <f t="shared" si="74"/>
        <v>1</v>
      </c>
      <c r="M579">
        <v>183</v>
      </c>
      <c r="N579">
        <v>27</v>
      </c>
      <c r="O579" s="9">
        <v>0</v>
      </c>
      <c r="P579">
        <v>0</v>
      </c>
      <c r="Q579">
        <v>85</v>
      </c>
      <c r="R579">
        <v>0</v>
      </c>
      <c r="S579">
        <v>71</v>
      </c>
      <c r="T579">
        <v>0</v>
      </c>
      <c r="U579" s="3">
        <f t="shared" si="72"/>
        <v>1</v>
      </c>
      <c r="V579" s="3">
        <f t="shared" si="73"/>
        <v>1</v>
      </c>
    </row>
    <row r="580" spans="1:22" x14ac:dyDescent="0.25">
      <c r="A580" s="2">
        <v>2017</v>
      </c>
      <c r="B580" t="s">
        <v>38</v>
      </c>
      <c r="C580" t="s">
        <v>20</v>
      </c>
      <c r="D580" s="2">
        <v>842</v>
      </c>
      <c r="E580" s="2">
        <v>5618</v>
      </c>
      <c r="F580" t="s">
        <v>37</v>
      </c>
      <c r="G580">
        <v>7</v>
      </c>
      <c r="H580">
        <v>7</v>
      </c>
      <c r="I580">
        <v>0</v>
      </c>
      <c r="J580">
        <v>0</v>
      </c>
      <c r="K580">
        <v>0</v>
      </c>
      <c r="L580" s="6">
        <f t="shared" si="74"/>
        <v>1</v>
      </c>
      <c r="M580">
        <v>305</v>
      </c>
      <c r="N580">
        <v>30</v>
      </c>
      <c r="O580" s="9">
        <v>0</v>
      </c>
      <c r="P580">
        <v>0</v>
      </c>
      <c r="Q580">
        <v>102</v>
      </c>
      <c r="R580">
        <v>1</v>
      </c>
      <c r="S580">
        <v>164</v>
      </c>
      <c r="T580">
        <v>8</v>
      </c>
      <c r="U580" s="3">
        <f t="shared" si="72"/>
        <v>0.99672131147540988</v>
      </c>
      <c r="V580" s="3">
        <f t="shared" si="73"/>
        <v>0.99679487179487181</v>
      </c>
    </row>
    <row r="581" spans="1:22" x14ac:dyDescent="0.25">
      <c r="A581" s="2">
        <v>2017</v>
      </c>
      <c r="B581" t="s">
        <v>38</v>
      </c>
      <c r="C581" t="s">
        <v>20</v>
      </c>
      <c r="D581" s="2">
        <v>777</v>
      </c>
      <c r="E581" s="2">
        <v>5357</v>
      </c>
      <c r="F581" t="s">
        <v>350</v>
      </c>
      <c r="G581">
        <v>0</v>
      </c>
      <c r="H581">
        <v>0</v>
      </c>
      <c r="I581">
        <v>0</v>
      </c>
      <c r="J581">
        <v>0</v>
      </c>
      <c r="K581">
        <v>0</v>
      </c>
      <c r="L581" s="6">
        <f t="shared" si="74"/>
        <v>0</v>
      </c>
      <c r="M581">
        <v>2</v>
      </c>
      <c r="N581">
        <v>0</v>
      </c>
      <c r="O581" s="9">
        <v>0</v>
      </c>
      <c r="P581">
        <v>0</v>
      </c>
      <c r="Q581">
        <v>1</v>
      </c>
      <c r="R581">
        <v>0</v>
      </c>
      <c r="S581">
        <v>1</v>
      </c>
      <c r="T581">
        <v>0</v>
      </c>
      <c r="U581" s="3">
        <f t="shared" si="72"/>
        <v>1</v>
      </c>
      <c r="V581" s="3">
        <f t="shared" si="73"/>
        <v>1</v>
      </c>
    </row>
    <row r="582" spans="1:22" x14ac:dyDescent="0.25">
      <c r="A582" s="2">
        <v>2017</v>
      </c>
      <c r="B582" t="s">
        <v>38</v>
      </c>
      <c r="C582" t="s">
        <v>20</v>
      </c>
      <c r="D582" s="2">
        <v>543</v>
      </c>
      <c r="E582" s="2">
        <v>10917</v>
      </c>
      <c r="F582" t="s">
        <v>341</v>
      </c>
      <c r="G582">
        <v>6</v>
      </c>
      <c r="H582">
        <v>6</v>
      </c>
      <c r="I582">
        <v>0</v>
      </c>
      <c r="J582">
        <v>0</v>
      </c>
      <c r="K582">
        <v>0</v>
      </c>
      <c r="L582" s="6">
        <f t="shared" si="74"/>
        <v>1</v>
      </c>
      <c r="M582">
        <v>200</v>
      </c>
      <c r="N582">
        <v>25</v>
      </c>
      <c r="O582" s="9">
        <v>0</v>
      </c>
      <c r="P582">
        <v>1</v>
      </c>
      <c r="Q582">
        <v>102</v>
      </c>
      <c r="R582">
        <v>0</v>
      </c>
      <c r="S582">
        <v>69</v>
      </c>
      <c r="T582">
        <v>3</v>
      </c>
      <c r="U582" s="3">
        <f t="shared" si="72"/>
        <v>0.995</v>
      </c>
      <c r="V582" s="3">
        <f t="shared" si="73"/>
        <v>0.99514563106796117</v>
      </c>
    </row>
    <row r="583" spans="1:22" x14ac:dyDescent="0.25">
      <c r="A583" s="2">
        <v>2017</v>
      </c>
      <c r="B583" t="s">
        <v>38</v>
      </c>
      <c r="C583" t="s">
        <v>20</v>
      </c>
      <c r="D583" s="2">
        <v>565</v>
      </c>
      <c r="E583" s="2">
        <v>9507</v>
      </c>
      <c r="F583" t="s">
        <v>432</v>
      </c>
      <c r="G583">
        <v>1</v>
      </c>
      <c r="H583">
        <v>1</v>
      </c>
      <c r="I583">
        <v>0</v>
      </c>
      <c r="J583">
        <v>0</v>
      </c>
      <c r="K583">
        <v>0</v>
      </c>
      <c r="L583" s="6">
        <f t="shared" si="74"/>
        <v>1</v>
      </c>
      <c r="M583">
        <v>48</v>
      </c>
      <c r="N583">
        <v>5</v>
      </c>
      <c r="O583" s="9">
        <v>0</v>
      </c>
      <c r="P583">
        <v>0</v>
      </c>
      <c r="Q583">
        <v>28</v>
      </c>
      <c r="R583">
        <v>0</v>
      </c>
      <c r="S583">
        <v>14</v>
      </c>
      <c r="T583">
        <v>1</v>
      </c>
      <c r="U583" s="3">
        <f t="shared" si="72"/>
        <v>1</v>
      </c>
      <c r="V583" s="3">
        <f t="shared" si="73"/>
        <v>1</v>
      </c>
    </row>
    <row r="584" spans="1:22" x14ac:dyDescent="0.25">
      <c r="A584" s="2">
        <v>2017</v>
      </c>
      <c r="B584" t="s">
        <v>38</v>
      </c>
      <c r="C584" t="s">
        <v>20</v>
      </c>
      <c r="D584" s="2">
        <v>576</v>
      </c>
      <c r="E584" s="2">
        <v>122114</v>
      </c>
      <c r="F584" t="s">
        <v>342</v>
      </c>
      <c r="G584">
        <v>2</v>
      </c>
      <c r="H584">
        <v>2</v>
      </c>
      <c r="I584">
        <v>0</v>
      </c>
      <c r="J584">
        <v>0</v>
      </c>
      <c r="K584">
        <v>0</v>
      </c>
      <c r="L584" s="6">
        <f t="shared" si="74"/>
        <v>1</v>
      </c>
      <c r="M584">
        <v>98</v>
      </c>
      <c r="N584">
        <v>9</v>
      </c>
      <c r="O584" s="9">
        <v>0</v>
      </c>
      <c r="P584">
        <v>0</v>
      </c>
      <c r="Q584">
        <v>59</v>
      </c>
      <c r="R584">
        <v>0</v>
      </c>
      <c r="S584">
        <v>28</v>
      </c>
      <c r="T584">
        <v>2</v>
      </c>
      <c r="U584" s="3">
        <f t="shared" si="72"/>
        <v>1</v>
      </c>
      <c r="V584" s="3">
        <f t="shared" si="73"/>
        <v>1</v>
      </c>
    </row>
    <row r="585" spans="1:22" x14ac:dyDescent="0.25">
      <c r="A585" s="2">
        <v>2017</v>
      </c>
      <c r="B585" t="s">
        <v>38</v>
      </c>
      <c r="C585" t="s">
        <v>20</v>
      </c>
      <c r="D585" s="2">
        <v>525</v>
      </c>
      <c r="E585" s="2">
        <v>10340</v>
      </c>
      <c r="F585" t="s">
        <v>343</v>
      </c>
      <c r="G585">
        <v>35</v>
      </c>
      <c r="H585">
        <v>35</v>
      </c>
      <c r="I585">
        <v>0</v>
      </c>
      <c r="J585">
        <v>0</v>
      </c>
      <c r="K585">
        <v>0</v>
      </c>
      <c r="L585" s="6">
        <f t="shared" si="74"/>
        <v>1</v>
      </c>
      <c r="M585">
        <v>361</v>
      </c>
      <c r="N585">
        <v>45</v>
      </c>
      <c r="O585" s="9">
        <v>0</v>
      </c>
      <c r="P585">
        <v>0</v>
      </c>
      <c r="Q585">
        <v>154</v>
      </c>
      <c r="R585">
        <v>5</v>
      </c>
      <c r="S585">
        <v>151</v>
      </c>
      <c r="T585">
        <v>6</v>
      </c>
      <c r="U585" s="3">
        <f t="shared" si="72"/>
        <v>0.98614958448753465</v>
      </c>
      <c r="V585" s="3">
        <f t="shared" si="73"/>
        <v>0.98737373737373735</v>
      </c>
    </row>
    <row r="586" spans="1:22" x14ac:dyDescent="0.25">
      <c r="A586" s="2">
        <v>2017</v>
      </c>
      <c r="B586" t="s">
        <v>38</v>
      </c>
      <c r="C586" t="s">
        <v>20</v>
      </c>
      <c r="D586" s="2">
        <v>550</v>
      </c>
      <c r="E586" s="2">
        <v>119292</v>
      </c>
      <c r="F586" t="s">
        <v>344</v>
      </c>
      <c r="G586">
        <v>12</v>
      </c>
      <c r="H586">
        <v>12</v>
      </c>
      <c r="I586">
        <v>0</v>
      </c>
      <c r="J586">
        <v>0</v>
      </c>
      <c r="K586">
        <v>0</v>
      </c>
      <c r="L586" s="6">
        <f t="shared" si="74"/>
        <v>1</v>
      </c>
      <c r="M586">
        <v>134</v>
      </c>
      <c r="N586">
        <v>19</v>
      </c>
      <c r="O586" s="9">
        <v>0</v>
      </c>
      <c r="P586">
        <v>0</v>
      </c>
      <c r="Q586">
        <v>65</v>
      </c>
      <c r="R586">
        <v>0</v>
      </c>
      <c r="S586">
        <v>47</v>
      </c>
      <c r="T586">
        <v>3</v>
      </c>
      <c r="U586" s="3">
        <f t="shared" si="72"/>
        <v>1</v>
      </c>
      <c r="V586" s="3">
        <f t="shared" si="73"/>
        <v>1</v>
      </c>
    </row>
    <row r="587" spans="1:22" x14ac:dyDescent="0.25">
      <c r="A587" s="2">
        <v>2017</v>
      </c>
      <c r="B587" t="s">
        <v>38</v>
      </c>
      <c r="C587" t="s">
        <v>20</v>
      </c>
      <c r="D587" s="2">
        <v>546</v>
      </c>
      <c r="E587" s="2">
        <v>119467</v>
      </c>
      <c r="F587" t="s">
        <v>345</v>
      </c>
      <c r="G587">
        <v>2</v>
      </c>
      <c r="H587">
        <v>2</v>
      </c>
      <c r="I587">
        <v>0</v>
      </c>
      <c r="J587">
        <v>0</v>
      </c>
      <c r="K587">
        <v>0</v>
      </c>
      <c r="L587" s="6">
        <f t="shared" si="74"/>
        <v>1</v>
      </c>
      <c r="M587">
        <v>68</v>
      </c>
      <c r="N587">
        <v>14</v>
      </c>
      <c r="O587" s="9">
        <v>0</v>
      </c>
      <c r="P587">
        <v>0</v>
      </c>
      <c r="Q587">
        <v>38</v>
      </c>
      <c r="R587">
        <v>0</v>
      </c>
      <c r="S587">
        <v>15</v>
      </c>
      <c r="T587">
        <v>1</v>
      </c>
      <c r="U587" s="3">
        <f t="shared" si="72"/>
        <v>1</v>
      </c>
      <c r="V587" s="3">
        <f t="shared" si="73"/>
        <v>1</v>
      </c>
    </row>
    <row r="588" spans="1:22" x14ac:dyDescent="0.25">
      <c r="A588" s="2">
        <v>2017</v>
      </c>
      <c r="B588" t="s">
        <v>38</v>
      </c>
      <c r="C588" t="s">
        <v>20</v>
      </c>
      <c r="D588" s="2">
        <v>520</v>
      </c>
      <c r="E588" s="2">
        <v>8687</v>
      </c>
      <c r="F588" t="s">
        <v>346</v>
      </c>
      <c r="G588">
        <v>11</v>
      </c>
      <c r="H588">
        <v>11</v>
      </c>
      <c r="I588">
        <v>0</v>
      </c>
      <c r="J588">
        <v>0</v>
      </c>
      <c r="K588">
        <v>0</v>
      </c>
      <c r="L588" s="6">
        <f t="shared" si="74"/>
        <v>1</v>
      </c>
      <c r="M588">
        <v>232</v>
      </c>
      <c r="N588">
        <v>31</v>
      </c>
      <c r="O588" s="9">
        <v>0</v>
      </c>
      <c r="P588">
        <v>3</v>
      </c>
      <c r="Q588">
        <v>118</v>
      </c>
      <c r="R588">
        <v>0</v>
      </c>
      <c r="S588">
        <v>79</v>
      </c>
      <c r="T588">
        <v>1</v>
      </c>
      <c r="U588" s="3">
        <f t="shared" si="72"/>
        <v>0.98706896551724133</v>
      </c>
      <c r="V588" s="3">
        <f t="shared" si="73"/>
        <v>0.98765432098765427</v>
      </c>
    </row>
    <row r="589" spans="1:22" x14ac:dyDescent="0.25">
      <c r="A589" s="2">
        <v>2017</v>
      </c>
      <c r="B589" t="s">
        <v>38</v>
      </c>
      <c r="C589" t="s">
        <v>20</v>
      </c>
      <c r="D589" s="2">
        <v>563</v>
      </c>
      <c r="E589" s="2">
        <v>5246</v>
      </c>
      <c r="F589" t="s">
        <v>347</v>
      </c>
      <c r="G589">
        <v>0</v>
      </c>
      <c r="H589">
        <v>0</v>
      </c>
      <c r="I589">
        <v>0</v>
      </c>
      <c r="J589">
        <v>0</v>
      </c>
      <c r="K589">
        <v>0</v>
      </c>
      <c r="L589" s="6">
        <f t="shared" si="74"/>
        <v>0</v>
      </c>
      <c r="M589">
        <v>14</v>
      </c>
      <c r="N589">
        <v>2</v>
      </c>
      <c r="O589" s="9">
        <v>0</v>
      </c>
      <c r="P589">
        <v>1</v>
      </c>
      <c r="Q589">
        <v>5</v>
      </c>
      <c r="R589">
        <v>1</v>
      </c>
      <c r="S589">
        <v>4</v>
      </c>
      <c r="T589">
        <v>1</v>
      </c>
      <c r="U589" s="3">
        <f t="shared" si="72"/>
        <v>0.8571428571428571</v>
      </c>
      <c r="V589" s="3">
        <f t="shared" si="73"/>
        <v>0.8571428571428571</v>
      </c>
    </row>
    <row r="590" spans="1:22" x14ac:dyDescent="0.25">
      <c r="A590" s="2">
        <v>2017</v>
      </c>
      <c r="B590" t="s">
        <v>38</v>
      </c>
      <c r="C590" t="s">
        <v>21</v>
      </c>
      <c r="D590" s="2">
        <v>528</v>
      </c>
      <c r="E590" s="2">
        <v>10623</v>
      </c>
      <c r="F590" t="s">
        <v>42</v>
      </c>
      <c r="G590">
        <v>3</v>
      </c>
      <c r="H590">
        <v>3</v>
      </c>
      <c r="I590">
        <v>0</v>
      </c>
      <c r="J590">
        <v>0</v>
      </c>
      <c r="K590">
        <v>0</v>
      </c>
      <c r="L590" s="6">
        <f t="shared" si="74"/>
        <v>1</v>
      </c>
      <c r="M590">
        <v>159</v>
      </c>
      <c r="N590">
        <v>30</v>
      </c>
      <c r="O590" s="9">
        <v>0</v>
      </c>
      <c r="P590">
        <v>0</v>
      </c>
      <c r="Q590">
        <v>77</v>
      </c>
      <c r="R590">
        <v>0</v>
      </c>
      <c r="S590">
        <v>52</v>
      </c>
      <c r="T590">
        <v>0</v>
      </c>
      <c r="U590" s="3">
        <f t="shared" si="72"/>
        <v>1</v>
      </c>
      <c r="V590" s="3">
        <f t="shared" si="73"/>
        <v>1</v>
      </c>
    </row>
    <row r="591" spans="1:22" x14ac:dyDescent="0.25">
      <c r="A591" s="2">
        <v>2017</v>
      </c>
      <c r="B591" t="s">
        <v>38</v>
      </c>
      <c r="C591" t="s">
        <v>21</v>
      </c>
      <c r="D591" s="2">
        <v>772</v>
      </c>
      <c r="E591" s="2">
        <v>5384</v>
      </c>
      <c r="F591" t="s">
        <v>331</v>
      </c>
      <c r="G591">
        <v>3</v>
      </c>
      <c r="H591">
        <v>3</v>
      </c>
      <c r="I591">
        <v>0</v>
      </c>
      <c r="J591">
        <v>0</v>
      </c>
      <c r="K591">
        <v>0</v>
      </c>
      <c r="L591" s="6">
        <f t="shared" si="74"/>
        <v>1</v>
      </c>
      <c r="M591">
        <v>35</v>
      </c>
      <c r="N591">
        <v>8</v>
      </c>
      <c r="O591" s="9">
        <v>0</v>
      </c>
      <c r="P591">
        <v>0</v>
      </c>
      <c r="Q591">
        <v>13</v>
      </c>
      <c r="R591">
        <v>0</v>
      </c>
      <c r="S591">
        <v>14</v>
      </c>
      <c r="T591">
        <v>0</v>
      </c>
      <c r="U591" s="3">
        <f t="shared" ref="U591:U611" si="75">IF(M591=0,0,((N591+O591+Q591+S591+T591)/M591))</f>
        <v>1</v>
      </c>
      <c r="V591" s="3">
        <f t="shared" ref="V591:V611" si="76">(H591+I591+J591+N591+Q591+S591+T591)/(G591+M591)</f>
        <v>1</v>
      </c>
    </row>
    <row r="592" spans="1:22" x14ac:dyDescent="0.25">
      <c r="A592" s="2">
        <v>2017</v>
      </c>
      <c r="B592" t="s">
        <v>38</v>
      </c>
      <c r="C592" t="s">
        <v>21</v>
      </c>
      <c r="D592" s="2">
        <v>585</v>
      </c>
      <c r="E592" s="2">
        <v>122955</v>
      </c>
      <c r="F592" t="s">
        <v>332</v>
      </c>
      <c r="G592">
        <v>1</v>
      </c>
      <c r="H592">
        <v>1</v>
      </c>
      <c r="I592">
        <v>0</v>
      </c>
      <c r="J592">
        <v>0</v>
      </c>
      <c r="K592">
        <v>0</v>
      </c>
      <c r="L592" s="6">
        <f t="shared" si="74"/>
        <v>1</v>
      </c>
      <c r="M592">
        <v>24</v>
      </c>
      <c r="N592">
        <v>5</v>
      </c>
      <c r="O592" s="9">
        <v>0</v>
      </c>
      <c r="P592">
        <v>0</v>
      </c>
      <c r="Q592">
        <v>7</v>
      </c>
      <c r="R592">
        <v>0</v>
      </c>
      <c r="S592">
        <v>10</v>
      </c>
      <c r="T592">
        <v>2</v>
      </c>
      <c r="U592" s="3">
        <f t="shared" si="75"/>
        <v>1</v>
      </c>
      <c r="V592" s="3">
        <f t="shared" si="76"/>
        <v>1</v>
      </c>
    </row>
    <row r="593" spans="1:22" x14ac:dyDescent="0.25">
      <c r="A593" s="2">
        <v>2017</v>
      </c>
      <c r="B593" t="s">
        <v>38</v>
      </c>
      <c r="C593" t="s">
        <v>21</v>
      </c>
      <c r="D593" s="2">
        <v>586</v>
      </c>
      <c r="E593" s="2">
        <v>122754</v>
      </c>
      <c r="F593" t="s">
        <v>335</v>
      </c>
      <c r="G593">
        <v>0</v>
      </c>
      <c r="H593">
        <v>0</v>
      </c>
      <c r="I593">
        <v>0</v>
      </c>
      <c r="J593">
        <v>0</v>
      </c>
      <c r="K593">
        <v>0</v>
      </c>
      <c r="L593" s="6">
        <f t="shared" si="74"/>
        <v>0</v>
      </c>
      <c r="M593">
        <v>1</v>
      </c>
      <c r="N593">
        <v>0</v>
      </c>
      <c r="O593" s="9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 s="3">
        <f t="shared" si="75"/>
        <v>1</v>
      </c>
      <c r="V593" s="3">
        <f t="shared" si="76"/>
        <v>1</v>
      </c>
    </row>
    <row r="594" spans="1:22" x14ac:dyDescent="0.25">
      <c r="A594" s="2">
        <v>2017</v>
      </c>
      <c r="B594" t="s">
        <v>38</v>
      </c>
      <c r="C594" t="s">
        <v>21</v>
      </c>
      <c r="D594" s="2">
        <v>336</v>
      </c>
      <c r="E594" s="2">
        <v>9790</v>
      </c>
      <c r="F594" t="s">
        <v>433</v>
      </c>
      <c r="G594">
        <v>0</v>
      </c>
      <c r="H594">
        <v>0</v>
      </c>
      <c r="I594">
        <v>0</v>
      </c>
      <c r="J594">
        <v>0</v>
      </c>
      <c r="K594">
        <v>0</v>
      </c>
      <c r="L594" s="6">
        <f t="shared" si="74"/>
        <v>0</v>
      </c>
      <c r="M594">
        <v>18</v>
      </c>
      <c r="N594">
        <v>2</v>
      </c>
      <c r="O594" s="9">
        <v>0</v>
      </c>
      <c r="P594">
        <v>0</v>
      </c>
      <c r="Q594">
        <v>9</v>
      </c>
      <c r="R594">
        <v>0</v>
      </c>
      <c r="S594">
        <v>7</v>
      </c>
      <c r="T594">
        <v>0</v>
      </c>
      <c r="U594" s="3">
        <f t="shared" si="75"/>
        <v>1</v>
      </c>
      <c r="V594" s="3">
        <f t="shared" si="76"/>
        <v>1</v>
      </c>
    </row>
    <row r="595" spans="1:22" x14ac:dyDescent="0.25">
      <c r="A595" s="2">
        <v>2017</v>
      </c>
      <c r="B595" t="s">
        <v>38</v>
      </c>
      <c r="C595" t="s">
        <v>21</v>
      </c>
      <c r="D595" s="2">
        <v>403</v>
      </c>
      <c r="E595" s="2">
        <v>6783</v>
      </c>
      <c r="F595" t="s">
        <v>348</v>
      </c>
      <c r="G595">
        <v>1</v>
      </c>
      <c r="H595">
        <v>1</v>
      </c>
      <c r="I595">
        <v>0</v>
      </c>
      <c r="J595">
        <v>0</v>
      </c>
      <c r="K595">
        <v>0</v>
      </c>
      <c r="L595" s="6">
        <f t="shared" si="74"/>
        <v>1</v>
      </c>
      <c r="M595">
        <v>420</v>
      </c>
      <c r="N595">
        <v>73</v>
      </c>
      <c r="O595" s="9">
        <v>0</v>
      </c>
      <c r="P595">
        <v>0</v>
      </c>
      <c r="Q595">
        <v>230</v>
      </c>
      <c r="R595">
        <v>2</v>
      </c>
      <c r="S595">
        <v>112</v>
      </c>
      <c r="T595">
        <v>3</v>
      </c>
      <c r="U595" s="3">
        <f t="shared" si="75"/>
        <v>0.99523809523809526</v>
      </c>
      <c r="V595" s="3">
        <f t="shared" si="76"/>
        <v>0.99524940617577196</v>
      </c>
    </row>
    <row r="596" spans="1:22" x14ac:dyDescent="0.25">
      <c r="A596" s="2">
        <v>2017</v>
      </c>
      <c r="B596" t="s">
        <v>38</v>
      </c>
      <c r="C596" t="s">
        <v>21</v>
      </c>
      <c r="D596" s="2">
        <v>548</v>
      </c>
      <c r="E596" s="2">
        <v>10618</v>
      </c>
      <c r="F596" t="s">
        <v>338</v>
      </c>
      <c r="G596">
        <v>11</v>
      </c>
      <c r="H596">
        <v>11</v>
      </c>
      <c r="I596">
        <v>0</v>
      </c>
      <c r="J596">
        <v>0</v>
      </c>
      <c r="K596">
        <v>0</v>
      </c>
      <c r="L596" s="6">
        <f t="shared" si="74"/>
        <v>1</v>
      </c>
      <c r="M596">
        <v>153</v>
      </c>
      <c r="N596">
        <v>25</v>
      </c>
      <c r="O596" s="9">
        <v>0</v>
      </c>
      <c r="P596">
        <v>1</v>
      </c>
      <c r="Q596">
        <v>61</v>
      </c>
      <c r="R596">
        <v>1</v>
      </c>
      <c r="S596">
        <v>65</v>
      </c>
      <c r="T596">
        <v>0</v>
      </c>
      <c r="U596" s="3">
        <f t="shared" si="75"/>
        <v>0.98692810457516345</v>
      </c>
      <c r="V596" s="3">
        <f t="shared" si="76"/>
        <v>0.98780487804878048</v>
      </c>
    </row>
    <row r="597" spans="1:22" x14ac:dyDescent="0.25">
      <c r="A597" s="2">
        <v>2017</v>
      </c>
      <c r="B597" t="s">
        <v>38</v>
      </c>
      <c r="C597" t="s">
        <v>21</v>
      </c>
      <c r="D597" s="2">
        <v>587</v>
      </c>
      <c r="E597" s="2">
        <v>5597</v>
      </c>
      <c r="F597" t="s">
        <v>33</v>
      </c>
      <c r="G597">
        <v>4</v>
      </c>
      <c r="H597">
        <v>4</v>
      </c>
      <c r="I597">
        <v>0</v>
      </c>
      <c r="J597">
        <v>0</v>
      </c>
      <c r="K597">
        <v>0</v>
      </c>
      <c r="L597" s="6">
        <f t="shared" si="74"/>
        <v>1</v>
      </c>
      <c r="M597">
        <v>70</v>
      </c>
      <c r="N597">
        <v>9</v>
      </c>
      <c r="O597" s="9">
        <v>0</v>
      </c>
      <c r="P597">
        <v>0</v>
      </c>
      <c r="Q597">
        <v>29</v>
      </c>
      <c r="R597">
        <v>0</v>
      </c>
      <c r="S597">
        <v>31</v>
      </c>
      <c r="T597">
        <v>1</v>
      </c>
      <c r="U597" s="3">
        <f t="shared" si="75"/>
        <v>1</v>
      </c>
      <c r="V597" s="3">
        <f t="shared" si="76"/>
        <v>1</v>
      </c>
    </row>
    <row r="598" spans="1:22" x14ac:dyDescent="0.25">
      <c r="A598" s="2">
        <v>2017</v>
      </c>
      <c r="B598" t="s">
        <v>38</v>
      </c>
      <c r="C598" t="s">
        <v>21</v>
      </c>
      <c r="D598" s="2">
        <v>404</v>
      </c>
      <c r="E598" s="2">
        <v>6777</v>
      </c>
      <c r="F598" t="s">
        <v>34</v>
      </c>
      <c r="G598">
        <v>5</v>
      </c>
      <c r="H598">
        <v>5</v>
      </c>
      <c r="I598">
        <v>0</v>
      </c>
      <c r="J598">
        <v>0</v>
      </c>
      <c r="K598">
        <v>0</v>
      </c>
      <c r="L598" s="6">
        <f t="shared" si="74"/>
        <v>1</v>
      </c>
      <c r="M598">
        <v>128</v>
      </c>
      <c r="N598">
        <v>12</v>
      </c>
      <c r="O598" s="9">
        <v>0</v>
      </c>
      <c r="P598">
        <v>0</v>
      </c>
      <c r="Q598">
        <v>48</v>
      </c>
      <c r="R598">
        <v>0</v>
      </c>
      <c r="S598">
        <v>66</v>
      </c>
      <c r="T598">
        <v>2</v>
      </c>
      <c r="U598" s="3">
        <f t="shared" si="75"/>
        <v>1</v>
      </c>
      <c r="V598" s="3">
        <f t="shared" si="76"/>
        <v>1</v>
      </c>
    </row>
    <row r="599" spans="1:22" x14ac:dyDescent="0.25">
      <c r="A599" s="2">
        <v>2017</v>
      </c>
      <c r="B599" t="s">
        <v>38</v>
      </c>
      <c r="C599" t="s">
        <v>21</v>
      </c>
      <c r="D599" s="2">
        <v>595</v>
      </c>
      <c r="E599" s="2">
        <v>123208</v>
      </c>
      <c r="F599" t="s">
        <v>35</v>
      </c>
      <c r="G599">
        <v>3</v>
      </c>
      <c r="H599">
        <v>3</v>
      </c>
      <c r="I599">
        <v>0</v>
      </c>
      <c r="J599">
        <v>0</v>
      </c>
      <c r="K599">
        <v>0</v>
      </c>
      <c r="L599" s="6">
        <f t="shared" si="74"/>
        <v>1</v>
      </c>
      <c r="M599">
        <v>360</v>
      </c>
      <c r="N599">
        <v>61</v>
      </c>
      <c r="O599" s="9">
        <v>0</v>
      </c>
      <c r="P599">
        <v>0</v>
      </c>
      <c r="Q599">
        <v>213</v>
      </c>
      <c r="R599">
        <v>1</v>
      </c>
      <c r="S599">
        <v>84</v>
      </c>
      <c r="T599">
        <v>1</v>
      </c>
      <c r="U599" s="3">
        <f t="shared" si="75"/>
        <v>0.99722222222222223</v>
      </c>
      <c r="V599" s="3">
        <f t="shared" si="76"/>
        <v>0.99724517906336085</v>
      </c>
    </row>
    <row r="600" spans="1:22" x14ac:dyDescent="0.25">
      <c r="A600" s="2">
        <v>2017</v>
      </c>
      <c r="B600" t="s">
        <v>38</v>
      </c>
      <c r="C600" t="s">
        <v>21</v>
      </c>
      <c r="D600" s="2">
        <v>455</v>
      </c>
      <c r="E600" s="2">
        <v>7401</v>
      </c>
      <c r="F600" t="s">
        <v>36</v>
      </c>
      <c r="G600">
        <v>0</v>
      </c>
      <c r="H600">
        <v>0</v>
      </c>
      <c r="I600">
        <v>0</v>
      </c>
      <c r="J600">
        <v>0</v>
      </c>
      <c r="K600">
        <v>0</v>
      </c>
      <c r="L600" s="6">
        <f t="shared" si="74"/>
        <v>0</v>
      </c>
      <c r="M600">
        <v>6</v>
      </c>
      <c r="N600">
        <v>1</v>
      </c>
      <c r="O600" s="9">
        <v>0</v>
      </c>
      <c r="P600">
        <v>0</v>
      </c>
      <c r="Q600">
        <v>2</v>
      </c>
      <c r="R600">
        <v>0</v>
      </c>
      <c r="S600">
        <v>3</v>
      </c>
      <c r="T600">
        <v>0</v>
      </c>
      <c r="U600" s="3">
        <f t="shared" si="75"/>
        <v>1</v>
      </c>
      <c r="V600" s="3">
        <f t="shared" si="76"/>
        <v>1</v>
      </c>
    </row>
    <row r="601" spans="1:22" x14ac:dyDescent="0.25">
      <c r="A601" s="2">
        <v>2017</v>
      </c>
      <c r="B601" t="s">
        <v>38</v>
      </c>
      <c r="C601" t="s">
        <v>21</v>
      </c>
      <c r="D601" s="2">
        <v>554</v>
      </c>
      <c r="E601" s="2">
        <v>119543</v>
      </c>
      <c r="F601" t="s">
        <v>502</v>
      </c>
      <c r="G601">
        <v>2</v>
      </c>
      <c r="H601">
        <v>2</v>
      </c>
      <c r="I601">
        <v>0</v>
      </c>
      <c r="J601">
        <v>0</v>
      </c>
      <c r="K601">
        <v>0</v>
      </c>
      <c r="L601" s="6">
        <f t="shared" si="74"/>
        <v>1</v>
      </c>
      <c r="M601">
        <v>119</v>
      </c>
      <c r="N601">
        <v>22</v>
      </c>
      <c r="O601" s="9">
        <v>0</v>
      </c>
      <c r="P601">
        <v>0</v>
      </c>
      <c r="Q601">
        <v>70</v>
      </c>
      <c r="R601">
        <v>0</v>
      </c>
      <c r="S601">
        <v>27</v>
      </c>
      <c r="T601">
        <v>0</v>
      </c>
      <c r="U601" s="3">
        <f t="shared" si="75"/>
        <v>1</v>
      </c>
      <c r="V601" s="3">
        <f t="shared" si="76"/>
        <v>1</v>
      </c>
    </row>
    <row r="602" spans="1:22" x14ac:dyDescent="0.25">
      <c r="A602" s="2">
        <v>2017</v>
      </c>
      <c r="B602" t="s">
        <v>38</v>
      </c>
      <c r="C602" t="s">
        <v>21</v>
      </c>
      <c r="D602" s="2">
        <v>766</v>
      </c>
      <c r="E602" s="2">
        <v>6781</v>
      </c>
      <c r="F602" t="s">
        <v>349</v>
      </c>
      <c r="G602">
        <v>21</v>
      </c>
      <c r="H602">
        <v>21</v>
      </c>
      <c r="I602">
        <v>0</v>
      </c>
      <c r="J602">
        <v>0</v>
      </c>
      <c r="K602">
        <v>0</v>
      </c>
      <c r="L602" s="6">
        <f t="shared" si="74"/>
        <v>1</v>
      </c>
      <c r="M602">
        <v>375</v>
      </c>
      <c r="N602">
        <v>64</v>
      </c>
      <c r="O602" s="9">
        <v>0</v>
      </c>
      <c r="P602">
        <v>1</v>
      </c>
      <c r="Q602">
        <v>139</v>
      </c>
      <c r="R602">
        <v>2</v>
      </c>
      <c r="S602">
        <v>165</v>
      </c>
      <c r="T602">
        <v>4</v>
      </c>
      <c r="U602" s="3">
        <f t="shared" si="75"/>
        <v>0.99199999999999999</v>
      </c>
      <c r="V602" s="3">
        <f t="shared" si="76"/>
        <v>0.99242424242424243</v>
      </c>
    </row>
    <row r="603" spans="1:22" x14ac:dyDescent="0.25">
      <c r="A603" s="2">
        <v>2017</v>
      </c>
      <c r="B603" t="s">
        <v>38</v>
      </c>
      <c r="C603" t="s">
        <v>21</v>
      </c>
      <c r="D603" s="2">
        <v>777</v>
      </c>
      <c r="E603" s="2">
        <v>5357</v>
      </c>
      <c r="F603" t="s">
        <v>350</v>
      </c>
      <c r="G603">
        <v>26</v>
      </c>
      <c r="H603">
        <v>26</v>
      </c>
      <c r="I603">
        <v>0</v>
      </c>
      <c r="J603">
        <v>0</v>
      </c>
      <c r="K603">
        <v>0</v>
      </c>
      <c r="L603" s="6">
        <f t="shared" si="74"/>
        <v>1</v>
      </c>
      <c r="M603">
        <v>232</v>
      </c>
      <c r="N603">
        <v>39</v>
      </c>
      <c r="O603" s="9">
        <v>0</v>
      </c>
      <c r="P603">
        <v>0</v>
      </c>
      <c r="Q603">
        <v>72</v>
      </c>
      <c r="R603">
        <v>0</v>
      </c>
      <c r="S603">
        <v>119</v>
      </c>
      <c r="T603">
        <v>2</v>
      </c>
      <c r="U603" s="3">
        <f t="shared" si="75"/>
        <v>1</v>
      </c>
      <c r="V603" s="3">
        <f t="shared" si="76"/>
        <v>1</v>
      </c>
    </row>
    <row r="604" spans="1:22" x14ac:dyDescent="0.25">
      <c r="A604" s="2">
        <v>2017</v>
      </c>
      <c r="B604" t="s">
        <v>38</v>
      </c>
      <c r="C604" t="s">
        <v>21</v>
      </c>
      <c r="D604" s="2">
        <v>543</v>
      </c>
      <c r="E604" s="2">
        <v>10917</v>
      </c>
      <c r="F604" t="s">
        <v>341</v>
      </c>
      <c r="G604">
        <v>15</v>
      </c>
      <c r="H604">
        <v>15</v>
      </c>
      <c r="I604">
        <v>0</v>
      </c>
      <c r="J604">
        <v>0</v>
      </c>
      <c r="K604">
        <v>0</v>
      </c>
      <c r="L604" s="6">
        <f t="shared" si="74"/>
        <v>1</v>
      </c>
      <c r="M604">
        <v>196</v>
      </c>
      <c r="N604">
        <v>26</v>
      </c>
      <c r="O604" s="9">
        <v>0</v>
      </c>
      <c r="P604">
        <v>0</v>
      </c>
      <c r="Q604">
        <v>81</v>
      </c>
      <c r="R604">
        <v>0</v>
      </c>
      <c r="S604">
        <v>88</v>
      </c>
      <c r="T604">
        <v>1</v>
      </c>
      <c r="U604" s="3">
        <f t="shared" si="75"/>
        <v>1</v>
      </c>
      <c r="V604" s="3">
        <f t="shared" si="76"/>
        <v>1</v>
      </c>
    </row>
    <row r="605" spans="1:22" x14ac:dyDescent="0.25">
      <c r="A605" s="2">
        <v>2017</v>
      </c>
      <c r="B605" t="s">
        <v>38</v>
      </c>
      <c r="C605" t="s">
        <v>21</v>
      </c>
      <c r="D605" s="2">
        <v>576</v>
      </c>
      <c r="E605" s="2">
        <v>122114</v>
      </c>
      <c r="F605" t="s">
        <v>342</v>
      </c>
      <c r="G605">
        <v>9</v>
      </c>
      <c r="H605">
        <v>9</v>
      </c>
      <c r="I605">
        <v>0</v>
      </c>
      <c r="J605">
        <v>0</v>
      </c>
      <c r="K605">
        <v>0</v>
      </c>
      <c r="L605" s="6">
        <f t="shared" si="74"/>
        <v>1</v>
      </c>
      <c r="M605">
        <v>81</v>
      </c>
      <c r="N605">
        <v>18</v>
      </c>
      <c r="O605" s="9">
        <v>0</v>
      </c>
      <c r="P605">
        <v>0</v>
      </c>
      <c r="Q605">
        <v>22</v>
      </c>
      <c r="R605">
        <v>0</v>
      </c>
      <c r="S605">
        <v>41</v>
      </c>
      <c r="T605">
        <v>0</v>
      </c>
      <c r="U605" s="3">
        <f t="shared" si="75"/>
        <v>1</v>
      </c>
      <c r="V605" s="3">
        <f t="shared" si="76"/>
        <v>1</v>
      </c>
    </row>
    <row r="606" spans="1:22" x14ac:dyDescent="0.25">
      <c r="A606" s="2">
        <v>2017</v>
      </c>
      <c r="B606" t="s">
        <v>38</v>
      </c>
      <c r="C606" t="s">
        <v>21</v>
      </c>
      <c r="D606" s="2">
        <v>536</v>
      </c>
      <c r="E606" s="2">
        <v>10757</v>
      </c>
      <c r="F606" t="s">
        <v>351</v>
      </c>
      <c r="G606">
        <v>4</v>
      </c>
      <c r="H606">
        <v>4</v>
      </c>
      <c r="I606">
        <v>0</v>
      </c>
      <c r="J606">
        <v>0</v>
      </c>
      <c r="K606">
        <v>0</v>
      </c>
      <c r="L606" s="6">
        <f t="shared" si="74"/>
        <v>1</v>
      </c>
      <c r="M606">
        <v>250</v>
      </c>
      <c r="N606">
        <v>42</v>
      </c>
      <c r="O606" s="9">
        <v>0</v>
      </c>
      <c r="P606">
        <v>0</v>
      </c>
      <c r="Q606">
        <v>137</v>
      </c>
      <c r="R606">
        <v>0</v>
      </c>
      <c r="S606">
        <v>70</v>
      </c>
      <c r="T606">
        <v>1</v>
      </c>
      <c r="U606" s="3">
        <f t="shared" si="75"/>
        <v>1</v>
      </c>
      <c r="V606" s="3">
        <f t="shared" si="76"/>
        <v>1</v>
      </c>
    </row>
    <row r="607" spans="1:22" x14ac:dyDescent="0.25">
      <c r="A607" s="2">
        <v>2017</v>
      </c>
      <c r="B607" t="s">
        <v>38</v>
      </c>
      <c r="C607" t="s">
        <v>21</v>
      </c>
      <c r="D607" s="2">
        <v>525</v>
      </c>
      <c r="E607" s="2">
        <v>10340</v>
      </c>
      <c r="F607" t="s">
        <v>343</v>
      </c>
      <c r="G607">
        <v>0</v>
      </c>
      <c r="H607">
        <v>0</v>
      </c>
      <c r="I607">
        <v>0</v>
      </c>
      <c r="J607">
        <v>0</v>
      </c>
      <c r="K607">
        <v>0</v>
      </c>
      <c r="L607" s="6">
        <f t="shared" si="74"/>
        <v>0</v>
      </c>
      <c r="M607">
        <v>1</v>
      </c>
      <c r="N607">
        <v>0</v>
      </c>
      <c r="O607" s="9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 s="3">
        <f t="shared" si="75"/>
        <v>1</v>
      </c>
      <c r="V607" s="3">
        <f t="shared" si="76"/>
        <v>1</v>
      </c>
    </row>
    <row r="608" spans="1:22" x14ac:dyDescent="0.25">
      <c r="A608" s="2">
        <v>2017</v>
      </c>
      <c r="B608" t="s">
        <v>38</v>
      </c>
      <c r="C608" t="s">
        <v>21</v>
      </c>
      <c r="D608" s="2">
        <v>550</v>
      </c>
      <c r="E608" s="2">
        <v>119292</v>
      </c>
      <c r="F608" t="s">
        <v>344</v>
      </c>
      <c r="G608">
        <v>7</v>
      </c>
      <c r="H608">
        <v>7</v>
      </c>
      <c r="I608">
        <v>0</v>
      </c>
      <c r="J608">
        <v>0</v>
      </c>
      <c r="K608">
        <v>0</v>
      </c>
      <c r="L608" s="6">
        <f t="shared" si="74"/>
        <v>1</v>
      </c>
      <c r="M608">
        <v>89</v>
      </c>
      <c r="N608">
        <v>11</v>
      </c>
      <c r="O608" s="9">
        <v>0</v>
      </c>
      <c r="P608">
        <v>0</v>
      </c>
      <c r="Q608">
        <v>36</v>
      </c>
      <c r="R608">
        <v>0</v>
      </c>
      <c r="S608">
        <v>42</v>
      </c>
      <c r="T608">
        <v>0</v>
      </c>
      <c r="U608" s="3">
        <f t="shared" si="75"/>
        <v>1</v>
      </c>
      <c r="V608" s="3">
        <f t="shared" si="76"/>
        <v>1</v>
      </c>
    </row>
    <row r="609" spans="1:22" x14ac:dyDescent="0.25">
      <c r="A609" s="2">
        <v>2017</v>
      </c>
      <c r="B609" t="s">
        <v>38</v>
      </c>
      <c r="C609" t="s">
        <v>21</v>
      </c>
      <c r="D609" s="2">
        <v>546</v>
      </c>
      <c r="E609" s="2">
        <v>119467</v>
      </c>
      <c r="F609" t="s">
        <v>345</v>
      </c>
      <c r="G609">
        <v>0</v>
      </c>
      <c r="H609">
        <v>0</v>
      </c>
      <c r="I609">
        <v>0</v>
      </c>
      <c r="J609">
        <v>0</v>
      </c>
      <c r="K609">
        <v>0</v>
      </c>
      <c r="L609" s="6">
        <f t="shared" si="74"/>
        <v>0</v>
      </c>
      <c r="M609">
        <v>6</v>
      </c>
      <c r="N609">
        <v>2</v>
      </c>
      <c r="O609" s="9">
        <v>0</v>
      </c>
      <c r="P609">
        <v>0</v>
      </c>
      <c r="Q609">
        <v>1</v>
      </c>
      <c r="R609">
        <v>0</v>
      </c>
      <c r="S609">
        <v>3</v>
      </c>
      <c r="T609">
        <v>0</v>
      </c>
      <c r="U609" s="3">
        <f t="shared" si="75"/>
        <v>1</v>
      </c>
      <c r="V609" s="3">
        <f t="shared" si="76"/>
        <v>1</v>
      </c>
    </row>
    <row r="610" spans="1:22" x14ac:dyDescent="0.25">
      <c r="A610" s="2">
        <v>2017</v>
      </c>
      <c r="B610" t="s">
        <v>38</v>
      </c>
      <c r="C610" t="s">
        <v>21</v>
      </c>
      <c r="D610" s="2">
        <v>563</v>
      </c>
      <c r="E610" s="2">
        <v>5246</v>
      </c>
      <c r="F610" t="s">
        <v>347</v>
      </c>
      <c r="G610">
        <v>5</v>
      </c>
      <c r="H610">
        <v>5</v>
      </c>
      <c r="I610">
        <v>0</v>
      </c>
      <c r="J610">
        <v>0</v>
      </c>
      <c r="K610">
        <v>0</v>
      </c>
      <c r="L610" s="6">
        <f t="shared" si="74"/>
        <v>1</v>
      </c>
      <c r="M610">
        <v>48</v>
      </c>
      <c r="N610">
        <v>5</v>
      </c>
      <c r="O610" s="9">
        <v>0</v>
      </c>
      <c r="P610">
        <v>0</v>
      </c>
      <c r="Q610">
        <v>18</v>
      </c>
      <c r="R610">
        <v>0</v>
      </c>
      <c r="S610">
        <v>24</v>
      </c>
      <c r="T610">
        <v>1</v>
      </c>
      <c r="U610" s="3">
        <f t="shared" si="75"/>
        <v>1</v>
      </c>
      <c r="V610" s="3">
        <f t="shared" si="76"/>
        <v>1</v>
      </c>
    </row>
    <row r="611" spans="1:22" x14ac:dyDescent="0.25">
      <c r="A611" s="2">
        <v>2017</v>
      </c>
      <c r="B611" t="s">
        <v>44</v>
      </c>
      <c r="C611" t="s">
        <v>1</v>
      </c>
      <c r="D611" s="2">
        <v>53</v>
      </c>
      <c r="E611" s="2">
        <v>4713</v>
      </c>
      <c r="F611" t="s">
        <v>470</v>
      </c>
      <c r="G611">
        <v>18</v>
      </c>
      <c r="H611">
        <v>18</v>
      </c>
      <c r="I611">
        <v>0</v>
      </c>
      <c r="J611">
        <v>0</v>
      </c>
      <c r="K611">
        <v>0</v>
      </c>
      <c r="L611" s="6">
        <f t="shared" si="74"/>
        <v>1</v>
      </c>
      <c r="M611">
        <v>254</v>
      </c>
      <c r="N611">
        <v>54</v>
      </c>
      <c r="O611" s="9">
        <v>0</v>
      </c>
      <c r="P611">
        <v>0</v>
      </c>
      <c r="Q611">
        <v>100</v>
      </c>
      <c r="R611">
        <v>3</v>
      </c>
      <c r="S611">
        <v>97</v>
      </c>
      <c r="T611">
        <v>0</v>
      </c>
      <c r="U611" s="3">
        <f t="shared" si="75"/>
        <v>0.98818897637795278</v>
      </c>
      <c r="V611" s="3">
        <f t="shared" si="76"/>
        <v>0.98897058823529416</v>
      </c>
    </row>
    <row r="612" spans="1:22" x14ac:dyDescent="0.25">
      <c r="A612" s="2">
        <v>2017</v>
      </c>
      <c r="B612" t="s">
        <v>44</v>
      </c>
      <c r="C612" t="s">
        <v>1</v>
      </c>
      <c r="D612" s="2">
        <v>243</v>
      </c>
      <c r="E612" s="2">
        <v>4498</v>
      </c>
      <c r="F612" t="s">
        <v>471</v>
      </c>
      <c r="G612">
        <v>9</v>
      </c>
      <c r="H612">
        <v>9</v>
      </c>
      <c r="I612">
        <v>0</v>
      </c>
      <c r="J612">
        <v>0</v>
      </c>
      <c r="K612">
        <v>0</v>
      </c>
      <c r="L612" s="6">
        <f t="shared" si="74"/>
        <v>1</v>
      </c>
      <c r="M612">
        <v>111</v>
      </c>
      <c r="N612">
        <v>20</v>
      </c>
      <c r="O612" s="9">
        <v>0</v>
      </c>
      <c r="P612">
        <v>0</v>
      </c>
      <c r="Q612">
        <v>48</v>
      </c>
      <c r="R612">
        <v>0</v>
      </c>
      <c r="S612">
        <v>43</v>
      </c>
      <c r="T612">
        <v>0</v>
      </c>
      <c r="U612" s="3">
        <f t="shared" ref="U612:U642" si="77">IF(M612=0,0,((N612+O612+Q612+S612+T612)/M612))</f>
        <v>1</v>
      </c>
      <c r="V612" s="3">
        <f t="shared" ref="V612:V642" si="78">(H612+I612+J612+N612+Q612+S612+T612)/(G612+M612)</f>
        <v>1</v>
      </c>
    </row>
    <row r="613" spans="1:22" x14ac:dyDescent="0.25">
      <c r="A613" s="2">
        <v>2017</v>
      </c>
      <c r="B613" t="s">
        <v>44</v>
      </c>
      <c r="C613" t="s">
        <v>1</v>
      </c>
      <c r="D613" s="2">
        <v>16594</v>
      </c>
      <c r="E613" s="2">
        <v>119329</v>
      </c>
      <c r="F613" t="s">
        <v>472</v>
      </c>
      <c r="G613">
        <v>10</v>
      </c>
      <c r="H613">
        <v>10</v>
      </c>
      <c r="I613">
        <v>0</v>
      </c>
      <c r="J613">
        <v>0</v>
      </c>
      <c r="K613">
        <v>0</v>
      </c>
      <c r="L613" s="6">
        <f t="shared" si="74"/>
        <v>1</v>
      </c>
      <c r="M613">
        <v>187</v>
      </c>
      <c r="N613">
        <v>37</v>
      </c>
      <c r="O613" s="9">
        <v>0</v>
      </c>
      <c r="P613">
        <v>0</v>
      </c>
      <c r="Q613">
        <v>89</v>
      </c>
      <c r="R613">
        <v>0</v>
      </c>
      <c r="S613">
        <v>60</v>
      </c>
      <c r="T613">
        <v>1</v>
      </c>
      <c r="U613" s="3">
        <f t="shared" si="77"/>
        <v>1</v>
      </c>
      <c r="V613" s="3">
        <f t="shared" si="78"/>
        <v>1</v>
      </c>
    </row>
    <row r="614" spans="1:22" x14ac:dyDescent="0.25">
      <c r="A614" s="2">
        <v>2017</v>
      </c>
      <c r="B614" t="s">
        <v>44</v>
      </c>
      <c r="C614" t="s">
        <v>1</v>
      </c>
      <c r="D614" s="2">
        <v>335</v>
      </c>
      <c r="E614" s="2">
        <v>2726</v>
      </c>
      <c r="F614" t="s">
        <v>473</v>
      </c>
      <c r="G614">
        <v>24</v>
      </c>
      <c r="H614">
        <v>23</v>
      </c>
      <c r="I614">
        <v>0</v>
      </c>
      <c r="J614">
        <v>0</v>
      </c>
      <c r="K614">
        <v>1</v>
      </c>
      <c r="L614" s="6">
        <f t="shared" si="74"/>
        <v>0.95833333333333337</v>
      </c>
      <c r="M614">
        <v>296</v>
      </c>
      <c r="N614">
        <v>36</v>
      </c>
      <c r="O614" s="9">
        <v>0</v>
      </c>
      <c r="P614">
        <v>0</v>
      </c>
      <c r="Q614">
        <v>102</v>
      </c>
      <c r="R614">
        <v>1</v>
      </c>
      <c r="S614">
        <v>157</v>
      </c>
      <c r="T614">
        <v>0</v>
      </c>
      <c r="U614" s="3">
        <f t="shared" si="77"/>
        <v>0.9966216216216216</v>
      </c>
      <c r="V614" s="3">
        <f t="shared" si="78"/>
        <v>0.99375000000000002</v>
      </c>
    </row>
    <row r="615" spans="1:22" x14ac:dyDescent="0.25">
      <c r="A615" s="2">
        <v>2017</v>
      </c>
      <c r="B615" t="s">
        <v>44</v>
      </c>
      <c r="C615" t="s">
        <v>1</v>
      </c>
      <c r="D615" s="2">
        <v>473</v>
      </c>
      <c r="E615" s="2">
        <v>5243</v>
      </c>
      <c r="F615" t="s">
        <v>474</v>
      </c>
      <c r="G615">
        <v>21</v>
      </c>
      <c r="H615">
        <v>21</v>
      </c>
      <c r="I615">
        <v>0</v>
      </c>
      <c r="J615">
        <v>0</v>
      </c>
      <c r="K615">
        <v>0</v>
      </c>
      <c r="L615" s="6">
        <f t="shared" si="74"/>
        <v>1</v>
      </c>
      <c r="M615">
        <v>255</v>
      </c>
      <c r="N615">
        <v>36</v>
      </c>
      <c r="O615" s="9">
        <v>0</v>
      </c>
      <c r="P615">
        <v>0</v>
      </c>
      <c r="Q615">
        <v>115</v>
      </c>
      <c r="R615">
        <v>1</v>
      </c>
      <c r="S615">
        <v>102</v>
      </c>
      <c r="T615">
        <v>1</v>
      </c>
      <c r="U615" s="3">
        <f t="shared" si="77"/>
        <v>0.99607843137254903</v>
      </c>
      <c r="V615" s="3">
        <f t="shared" si="78"/>
        <v>0.99637681159420288</v>
      </c>
    </row>
    <row r="616" spans="1:22" x14ac:dyDescent="0.25">
      <c r="A616" s="2">
        <v>2017</v>
      </c>
      <c r="B616" t="s">
        <v>44</v>
      </c>
      <c r="C616" t="s">
        <v>1</v>
      </c>
      <c r="D616" s="2">
        <v>67</v>
      </c>
      <c r="E616" s="2">
        <v>2833</v>
      </c>
      <c r="F616" t="s">
        <v>475</v>
      </c>
      <c r="G616">
        <v>12</v>
      </c>
      <c r="H616">
        <v>12</v>
      </c>
      <c r="I616">
        <v>0</v>
      </c>
      <c r="J616">
        <v>0</v>
      </c>
      <c r="K616">
        <v>0</v>
      </c>
      <c r="L616" s="6">
        <f t="shared" si="74"/>
        <v>1</v>
      </c>
      <c r="M616">
        <v>142</v>
      </c>
      <c r="N616">
        <v>25</v>
      </c>
      <c r="O616" s="9">
        <v>0</v>
      </c>
      <c r="P616">
        <v>0</v>
      </c>
      <c r="Q616">
        <v>51</v>
      </c>
      <c r="R616">
        <v>0</v>
      </c>
      <c r="S616">
        <v>64</v>
      </c>
      <c r="T616">
        <v>2</v>
      </c>
      <c r="U616" s="3">
        <f t="shared" si="77"/>
        <v>1</v>
      </c>
      <c r="V616" s="3">
        <f t="shared" si="78"/>
        <v>1</v>
      </c>
    </row>
    <row r="617" spans="1:22" x14ac:dyDescent="0.25">
      <c r="A617" s="2">
        <v>2017</v>
      </c>
      <c r="B617" t="s">
        <v>44</v>
      </c>
      <c r="C617" t="s">
        <v>1</v>
      </c>
      <c r="D617" s="2">
        <v>3621</v>
      </c>
      <c r="E617" s="2">
        <v>9748</v>
      </c>
      <c r="F617" t="s">
        <v>476</v>
      </c>
      <c r="G617">
        <v>22</v>
      </c>
      <c r="H617">
        <v>22</v>
      </c>
      <c r="I617">
        <v>0</v>
      </c>
      <c r="J617">
        <v>0</v>
      </c>
      <c r="K617">
        <v>0</v>
      </c>
      <c r="L617" s="6">
        <f t="shared" si="74"/>
        <v>1</v>
      </c>
      <c r="M617">
        <v>183</v>
      </c>
      <c r="N617">
        <v>37</v>
      </c>
      <c r="O617" s="9">
        <v>0</v>
      </c>
      <c r="P617">
        <v>0</v>
      </c>
      <c r="Q617">
        <v>72</v>
      </c>
      <c r="R617">
        <v>0</v>
      </c>
      <c r="S617">
        <v>74</v>
      </c>
      <c r="T617">
        <v>0</v>
      </c>
      <c r="U617" s="3">
        <f t="shared" si="77"/>
        <v>1</v>
      </c>
      <c r="V617" s="3">
        <f t="shared" si="78"/>
        <v>1</v>
      </c>
    </row>
    <row r="618" spans="1:22" x14ac:dyDescent="0.25">
      <c r="A618" s="2">
        <v>2017</v>
      </c>
      <c r="B618" t="s">
        <v>44</v>
      </c>
      <c r="C618" t="s">
        <v>1</v>
      </c>
      <c r="D618" s="2">
        <v>567</v>
      </c>
      <c r="E618" s="2">
        <v>3218</v>
      </c>
      <c r="F618" t="s">
        <v>477</v>
      </c>
      <c r="G618">
        <v>26</v>
      </c>
      <c r="H618">
        <v>26</v>
      </c>
      <c r="I618">
        <v>0</v>
      </c>
      <c r="J618">
        <v>0</v>
      </c>
      <c r="K618">
        <v>0</v>
      </c>
      <c r="L618" s="6">
        <f t="shared" si="74"/>
        <v>1</v>
      </c>
      <c r="M618">
        <v>292</v>
      </c>
      <c r="N618">
        <v>33</v>
      </c>
      <c r="O618" s="9">
        <v>0</v>
      </c>
      <c r="P618">
        <v>0</v>
      </c>
      <c r="Q618">
        <v>106</v>
      </c>
      <c r="R618">
        <v>0</v>
      </c>
      <c r="S618">
        <v>153</v>
      </c>
      <c r="T618">
        <v>0</v>
      </c>
      <c r="U618" s="3">
        <f t="shared" si="77"/>
        <v>1</v>
      </c>
      <c r="V618" s="3">
        <f t="shared" si="78"/>
        <v>1</v>
      </c>
    </row>
    <row r="619" spans="1:22" x14ac:dyDescent="0.25">
      <c r="A619" s="2">
        <v>2017</v>
      </c>
      <c r="B619" t="s">
        <v>44</v>
      </c>
      <c r="C619" t="s">
        <v>1</v>
      </c>
      <c r="D619" s="2">
        <v>20430</v>
      </c>
      <c r="E619" s="2">
        <v>120449</v>
      </c>
      <c r="F619" t="s">
        <v>505</v>
      </c>
      <c r="G619">
        <v>3</v>
      </c>
      <c r="H619">
        <v>3</v>
      </c>
      <c r="I619">
        <v>0</v>
      </c>
      <c r="J619">
        <v>0</v>
      </c>
      <c r="K619">
        <v>0</v>
      </c>
      <c r="L619" s="6">
        <f t="shared" si="74"/>
        <v>1</v>
      </c>
      <c r="M619">
        <v>31</v>
      </c>
      <c r="N619">
        <v>2</v>
      </c>
      <c r="O619" s="9">
        <v>0</v>
      </c>
      <c r="P619">
        <v>0</v>
      </c>
      <c r="Q619">
        <v>9</v>
      </c>
      <c r="R619">
        <v>0</v>
      </c>
      <c r="S619">
        <v>20</v>
      </c>
      <c r="T619">
        <v>0</v>
      </c>
      <c r="U619" s="3">
        <f t="shared" si="77"/>
        <v>1</v>
      </c>
      <c r="V619" s="3">
        <f t="shared" si="78"/>
        <v>1</v>
      </c>
    </row>
    <row r="620" spans="1:22" x14ac:dyDescent="0.25">
      <c r="A620" s="2">
        <v>2017</v>
      </c>
      <c r="B620" t="s">
        <v>44</v>
      </c>
      <c r="C620" t="s">
        <v>1</v>
      </c>
      <c r="D620" s="2">
        <v>627</v>
      </c>
      <c r="E620" s="2">
        <v>3693</v>
      </c>
      <c r="F620" t="s">
        <v>478</v>
      </c>
      <c r="G620">
        <v>37</v>
      </c>
      <c r="H620">
        <v>37</v>
      </c>
      <c r="I620">
        <v>0</v>
      </c>
      <c r="J620">
        <v>0</v>
      </c>
      <c r="K620">
        <v>0</v>
      </c>
      <c r="L620" s="6">
        <f t="shared" si="74"/>
        <v>1</v>
      </c>
      <c r="M620">
        <v>398</v>
      </c>
      <c r="N620">
        <v>59</v>
      </c>
      <c r="O620" s="9">
        <v>0</v>
      </c>
      <c r="P620">
        <v>0</v>
      </c>
      <c r="Q620">
        <v>188</v>
      </c>
      <c r="R620">
        <v>0</v>
      </c>
      <c r="S620">
        <v>145</v>
      </c>
      <c r="T620">
        <v>6</v>
      </c>
      <c r="U620" s="3">
        <f t="shared" si="77"/>
        <v>1</v>
      </c>
      <c r="V620" s="3">
        <f t="shared" si="78"/>
        <v>1</v>
      </c>
    </row>
    <row r="621" spans="1:22" x14ac:dyDescent="0.25">
      <c r="A621" s="2">
        <v>2017</v>
      </c>
      <c r="B621" t="s">
        <v>44</v>
      </c>
      <c r="C621" t="s">
        <v>1</v>
      </c>
      <c r="D621" s="2">
        <v>130</v>
      </c>
      <c r="E621" s="2">
        <v>5419</v>
      </c>
      <c r="F621" t="s">
        <v>479</v>
      </c>
      <c r="G621">
        <v>18</v>
      </c>
      <c r="H621">
        <v>18</v>
      </c>
      <c r="I621">
        <v>0</v>
      </c>
      <c r="J621">
        <v>0</v>
      </c>
      <c r="K621">
        <v>0</v>
      </c>
      <c r="L621" s="6">
        <f t="shared" si="74"/>
        <v>1</v>
      </c>
      <c r="M621">
        <v>233</v>
      </c>
      <c r="N621">
        <v>24</v>
      </c>
      <c r="O621" s="9">
        <v>0</v>
      </c>
      <c r="P621">
        <v>1</v>
      </c>
      <c r="Q621">
        <v>109</v>
      </c>
      <c r="R621">
        <v>0</v>
      </c>
      <c r="S621">
        <v>98</v>
      </c>
      <c r="T621">
        <v>1</v>
      </c>
      <c r="U621" s="3">
        <f t="shared" si="77"/>
        <v>0.99570815450643779</v>
      </c>
      <c r="V621" s="3">
        <f t="shared" si="78"/>
        <v>0.99601593625498008</v>
      </c>
    </row>
    <row r="622" spans="1:22" x14ac:dyDescent="0.25">
      <c r="A622" s="2">
        <v>2017</v>
      </c>
      <c r="B622" t="s">
        <v>44</v>
      </c>
      <c r="C622" t="s">
        <v>1</v>
      </c>
      <c r="D622" s="2">
        <v>1397</v>
      </c>
      <c r="E622" s="2">
        <v>3661</v>
      </c>
      <c r="F622" t="s">
        <v>480</v>
      </c>
      <c r="G622">
        <v>8</v>
      </c>
      <c r="H622">
        <v>8</v>
      </c>
      <c r="I622">
        <v>0</v>
      </c>
      <c r="J622">
        <v>0</v>
      </c>
      <c r="K622">
        <v>0</v>
      </c>
      <c r="L622" s="6">
        <f t="shared" si="74"/>
        <v>1</v>
      </c>
      <c r="M622">
        <v>141</v>
      </c>
      <c r="N622">
        <v>22</v>
      </c>
      <c r="O622" s="9">
        <v>0</v>
      </c>
      <c r="P622">
        <v>0</v>
      </c>
      <c r="Q622">
        <v>65</v>
      </c>
      <c r="R622">
        <v>0</v>
      </c>
      <c r="S622">
        <v>53</v>
      </c>
      <c r="T622">
        <v>1</v>
      </c>
      <c r="U622" s="3">
        <f t="shared" si="77"/>
        <v>1</v>
      </c>
      <c r="V622" s="3">
        <f t="shared" si="78"/>
        <v>1</v>
      </c>
    </row>
    <row r="623" spans="1:22" x14ac:dyDescent="0.25">
      <c r="A623" s="2">
        <v>2017</v>
      </c>
      <c r="B623" t="s">
        <v>44</v>
      </c>
      <c r="C623" t="s">
        <v>1</v>
      </c>
      <c r="D623" s="2">
        <v>1508</v>
      </c>
      <c r="E623" s="2">
        <v>3157</v>
      </c>
      <c r="F623" t="s">
        <v>481</v>
      </c>
      <c r="G623">
        <v>0</v>
      </c>
      <c r="H623">
        <v>0</v>
      </c>
      <c r="I623">
        <v>0</v>
      </c>
      <c r="J623">
        <v>0</v>
      </c>
      <c r="K623">
        <v>0</v>
      </c>
      <c r="L623" s="6">
        <f t="shared" si="74"/>
        <v>0</v>
      </c>
      <c r="M623">
        <v>258</v>
      </c>
      <c r="N623">
        <v>67</v>
      </c>
      <c r="O623" s="9">
        <v>0</v>
      </c>
      <c r="P623">
        <v>0</v>
      </c>
      <c r="Q623">
        <v>164</v>
      </c>
      <c r="R623">
        <v>0</v>
      </c>
      <c r="S623">
        <v>26</v>
      </c>
      <c r="T623">
        <v>1</v>
      </c>
      <c r="U623" s="3">
        <f t="shared" si="77"/>
        <v>1</v>
      </c>
      <c r="V623" s="3">
        <f t="shared" si="78"/>
        <v>1</v>
      </c>
    </row>
    <row r="624" spans="1:22" x14ac:dyDescent="0.25">
      <c r="A624" s="2">
        <v>2017</v>
      </c>
      <c r="B624" t="s">
        <v>44</v>
      </c>
      <c r="C624" t="s">
        <v>1</v>
      </c>
      <c r="D624" s="2">
        <v>136</v>
      </c>
      <c r="E624" s="2">
        <v>2834</v>
      </c>
      <c r="F624" t="s">
        <v>482</v>
      </c>
      <c r="G624">
        <v>5</v>
      </c>
      <c r="H624">
        <v>5</v>
      </c>
      <c r="I624">
        <v>0</v>
      </c>
      <c r="J624">
        <v>0</v>
      </c>
      <c r="K624">
        <v>0</v>
      </c>
      <c r="L624" s="6">
        <f t="shared" si="74"/>
        <v>1</v>
      </c>
      <c r="M624">
        <v>68</v>
      </c>
      <c r="N624">
        <v>11</v>
      </c>
      <c r="O624" s="9">
        <v>0</v>
      </c>
      <c r="P624">
        <v>0</v>
      </c>
      <c r="Q624">
        <v>25</v>
      </c>
      <c r="R624">
        <v>0</v>
      </c>
      <c r="S624">
        <v>32</v>
      </c>
      <c r="T624">
        <v>0</v>
      </c>
      <c r="U624" s="3">
        <f t="shared" si="77"/>
        <v>1</v>
      </c>
      <c r="V624" s="3">
        <f t="shared" si="78"/>
        <v>1</v>
      </c>
    </row>
    <row r="625" spans="1:22" x14ac:dyDescent="0.25">
      <c r="A625" s="2">
        <v>2017</v>
      </c>
      <c r="B625" t="s">
        <v>44</v>
      </c>
      <c r="C625" t="s">
        <v>1</v>
      </c>
      <c r="D625" s="2">
        <v>138</v>
      </c>
      <c r="E625" s="2">
        <v>2741</v>
      </c>
      <c r="F625" t="s">
        <v>483</v>
      </c>
      <c r="G625">
        <v>16</v>
      </c>
      <c r="H625">
        <v>16</v>
      </c>
      <c r="I625">
        <v>0</v>
      </c>
      <c r="J625">
        <v>0</v>
      </c>
      <c r="K625">
        <v>0</v>
      </c>
      <c r="L625" s="6">
        <f t="shared" si="74"/>
        <v>1</v>
      </c>
      <c r="M625">
        <v>274</v>
      </c>
      <c r="N625">
        <v>60</v>
      </c>
      <c r="O625" s="9">
        <v>0</v>
      </c>
      <c r="P625">
        <v>0</v>
      </c>
      <c r="Q625">
        <v>125</v>
      </c>
      <c r="R625">
        <v>0</v>
      </c>
      <c r="S625">
        <v>87</v>
      </c>
      <c r="T625">
        <v>2</v>
      </c>
      <c r="U625" s="3">
        <f t="shared" si="77"/>
        <v>1</v>
      </c>
      <c r="V625" s="3">
        <f t="shared" si="78"/>
        <v>1</v>
      </c>
    </row>
    <row r="626" spans="1:22" x14ac:dyDescent="0.25">
      <c r="A626" s="2">
        <v>2017</v>
      </c>
      <c r="B626" t="s">
        <v>44</v>
      </c>
      <c r="C626" t="s">
        <v>1</v>
      </c>
      <c r="D626" s="2">
        <v>19352</v>
      </c>
      <c r="E626" s="2">
        <v>122191</v>
      </c>
      <c r="F626" t="s">
        <v>484</v>
      </c>
      <c r="G626">
        <v>7</v>
      </c>
      <c r="H626">
        <v>7</v>
      </c>
      <c r="I626">
        <v>0</v>
      </c>
      <c r="J626">
        <v>0</v>
      </c>
      <c r="K626">
        <v>0</v>
      </c>
      <c r="L626" s="6">
        <f t="shared" si="74"/>
        <v>1</v>
      </c>
      <c r="M626">
        <v>261</v>
      </c>
      <c r="N626">
        <v>38</v>
      </c>
      <c r="O626" s="9">
        <v>0</v>
      </c>
      <c r="P626">
        <v>1</v>
      </c>
      <c r="Q626">
        <v>127</v>
      </c>
      <c r="R626">
        <v>0</v>
      </c>
      <c r="S626">
        <v>95</v>
      </c>
      <c r="T626">
        <v>0</v>
      </c>
      <c r="U626" s="3">
        <f t="shared" si="77"/>
        <v>0.99616858237547889</v>
      </c>
      <c r="V626" s="3">
        <f t="shared" si="78"/>
        <v>0.99626865671641796</v>
      </c>
    </row>
    <row r="627" spans="1:22" x14ac:dyDescent="0.25">
      <c r="A627" s="2">
        <v>2017</v>
      </c>
      <c r="B627" t="s">
        <v>44</v>
      </c>
      <c r="C627" t="s">
        <v>1</v>
      </c>
      <c r="D627" s="2">
        <v>1632</v>
      </c>
      <c r="E627" s="2">
        <v>2953</v>
      </c>
      <c r="F627" t="s">
        <v>485</v>
      </c>
      <c r="G627">
        <v>14</v>
      </c>
      <c r="H627">
        <v>14</v>
      </c>
      <c r="I627">
        <v>0</v>
      </c>
      <c r="J627">
        <v>0</v>
      </c>
      <c r="K627">
        <v>0</v>
      </c>
      <c r="L627" s="6">
        <f t="shared" si="74"/>
        <v>1</v>
      </c>
      <c r="M627">
        <v>182</v>
      </c>
      <c r="N627">
        <v>31</v>
      </c>
      <c r="O627" s="9">
        <v>0</v>
      </c>
      <c r="P627">
        <v>0</v>
      </c>
      <c r="Q627">
        <v>65</v>
      </c>
      <c r="R627">
        <v>0</v>
      </c>
      <c r="S627">
        <v>86</v>
      </c>
      <c r="T627">
        <v>0</v>
      </c>
      <c r="U627" s="3">
        <f t="shared" si="77"/>
        <v>1</v>
      </c>
      <c r="V627" s="3">
        <f t="shared" si="78"/>
        <v>1</v>
      </c>
    </row>
    <row r="628" spans="1:22" x14ac:dyDescent="0.25">
      <c r="A628" s="2">
        <v>2017</v>
      </c>
      <c r="B628" t="s">
        <v>44</v>
      </c>
      <c r="C628" t="s">
        <v>1</v>
      </c>
      <c r="D628" s="2">
        <v>1661</v>
      </c>
      <c r="E628" s="2">
        <v>104</v>
      </c>
      <c r="F628" t="s">
        <v>486</v>
      </c>
      <c r="G628">
        <v>9</v>
      </c>
      <c r="H628">
        <v>9</v>
      </c>
      <c r="I628">
        <v>0</v>
      </c>
      <c r="J628">
        <v>0</v>
      </c>
      <c r="K628">
        <v>0</v>
      </c>
      <c r="L628" s="6">
        <f t="shared" si="74"/>
        <v>1</v>
      </c>
      <c r="M628">
        <v>91</v>
      </c>
      <c r="N628">
        <v>13</v>
      </c>
      <c r="O628" s="9">
        <v>0</v>
      </c>
      <c r="P628">
        <v>0</v>
      </c>
      <c r="Q628">
        <v>32</v>
      </c>
      <c r="R628">
        <v>0</v>
      </c>
      <c r="S628">
        <v>43</v>
      </c>
      <c r="T628">
        <v>3</v>
      </c>
      <c r="U628" s="3">
        <f t="shared" si="77"/>
        <v>1</v>
      </c>
      <c r="V628" s="3">
        <f t="shared" si="78"/>
        <v>1</v>
      </c>
    </row>
    <row r="629" spans="1:22" x14ac:dyDescent="0.25">
      <c r="A629" s="2">
        <v>2017</v>
      </c>
      <c r="B629" t="s">
        <v>44</v>
      </c>
      <c r="C629" t="s">
        <v>1</v>
      </c>
      <c r="D629" s="2">
        <v>1667</v>
      </c>
      <c r="E629" s="2">
        <v>4727</v>
      </c>
      <c r="F629" t="s">
        <v>487</v>
      </c>
      <c r="G629">
        <v>11</v>
      </c>
      <c r="H629">
        <v>11</v>
      </c>
      <c r="I629">
        <v>0</v>
      </c>
      <c r="J629">
        <v>0</v>
      </c>
      <c r="K629">
        <v>0</v>
      </c>
      <c r="L629" s="6">
        <f t="shared" si="74"/>
        <v>1</v>
      </c>
      <c r="M629">
        <v>197</v>
      </c>
      <c r="N629">
        <v>32</v>
      </c>
      <c r="O629" s="9">
        <v>0</v>
      </c>
      <c r="P629">
        <v>0</v>
      </c>
      <c r="Q629">
        <v>103</v>
      </c>
      <c r="R629">
        <v>0</v>
      </c>
      <c r="S629">
        <v>61</v>
      </c>
      <c r="T629">
        <v>1</v>
      </c>
      <c r="U629" s="3">
        <f t="shared" si="77"/>
        <v>1</v>
      </c>
      <c r="V629" s="3">
        <f t="shared" si="78"/>
        <v>1</v>
      </c>
    </row>
    <row r="630" spans="1:22" x14ac:dyDescent="0.25">
      <c r="A630" s="2">
        <v>2017</v>
      </c>
      <c r="B630" t="s">
        <v>44</v>
      </c>
      <c r="C630" t="s">
        <v>1</v>
      </c>
      <c r="D630" s="2">
        <v>20010</v>
      </c>
      <c r="E630" s="2">
        <v>119432</v>
      </c>
      <c r="F630" t="s">
        <v>488</v>
      </c>
      <c r="G630">
        <v>17</v>
      </c>
      <c r="H630">
        <v>17</v>
      </c>
      <c r="I630">
        <v>0</v>
      </c>
      <c r="J630">
        <v>0</v>
      </c>
      <c r="K630">
        <v>0</v>
      </c>
      <c r="L630" s="6">
        <f t="shared" si="74"/>
        <v>1</v>
      </c>
      <c r="M630">
        <v>248</v>
      </c>
      <c r="N630">
        <v>46</v>
      </c>
      <c r="O630" s="9">
        <v>0</v>
      </c>
      <c r="P630">
        <v>1</v>
      </c>
      <c r="Q630">
        <v>89</v>
      </c>
      <c r="R630">
        <v>0</v>
      </c>
      <c r="S630">
        <v>111</v>
      </c>
      <c r="T630">
        <v>1</v>
      </c>
      <c r="U630" s="3">
        <f t="shared" si="77"/>
        <v>0.99596774193548387</v>
      </c>
      <c r="V630" s="3">
        <f t="shared" si="78"/>
        <v>0.99622641509433962</v>
      </c>
    </row>
    <row r="631" spans="1:22" x14ac:dyDescent="0.25">
      <c r="A631" s="2">
        <v>2017</v>
      </c>
      <c r="B631" t="s">
        <v>44</v>
      </c>
      <c r="C631" t="s">
        <v>1</v>
      </c>
      <c r="D631" s="2">
        <v>639</v>
      </c>
      <c r="E631" s="2">
        <v>4723</v>
      </c>
      <c r="F631" t="s">
        <v>489</v>
      </c>
      <c r="G631">
        <v>19</v>
      </c>
      <c r="H631">
        <v>19</v>
      </c>
      <c r="I631">
        <v>0</v>
      </c>
      <c r="J631">
        <v>0</v>
      </c>
      <c r="K631">
        <v>0</v>
      </c>
      <c r="L631" s="6">
        <f t="shared" si="74"/>
        <v>1</v>
      </c>
      <c r="M631">
        <v>247</v>
      </c>
      <c r="N631">
        <v>41</v>
      </c>
      <c r="O631" s="9">
        <v>0</v>
      </c>
      <c r="P631">
        <v>1</v>
      </c>
      <c r="Q631">
        <v>106</v>
      </c>
      <c r="R631">
        <v>0</v>
      </c>
      <c r="S631">
        <v>98</v>
      </c>
      <c r="T631">
        <v>1</v>
      </c>
      <c r="U631" s="3">
        <f t="shared" si="77"/>
        <v>0.99595141700404854</v>
      </c>
      <c r="V631" s="3">
        <f t="shared" si="78"/>
        <v>0.99624060150375937</v>
      </c>
    </row>
    <row r="632" spans="1:22" x14ac:dyDescent="0.25">
      <c r="A632" s="2">
        <v>2017</v>
      </c>
      <c r="B632" t="s">
        <v>44</v>
      </c>
      <c r="C632" t="s">
        <v>1</v>
      </c>
      <c r="D632" s="2">
        <v>1909</v>
      </c>
      <c r="E632" s="2">
        <v>5437</v>
      </c>
      <c r="F632" t="s">
        <v>490</v>
      </c>
      <c r="G632">
        <v>13</v>
      </c>
      <c r="H632">
        <v>12</v>
      </c>
      <c r="I632">
        <v>1</v>
      </c>
      <c r="J632">
        <v>0</v>
      </c>
      <c r="K632">
        <v>0</v>
      </c>
      <c r="L632" s="6">
        <f t="shared" si="74"/>
        <v>1</v>
      </c>
      <c r="M632">
        <v>218</v>
      </c>
      <c r="N632">
        <v>29</v>
      </c>
      <c r="O632" s="9">
        <v>0</v>
      </c>
      <c r="P632">
        <v>1</v>
      </c>
      <c r="Q632">
        <v>102</v>
      </c>
      <c r="R632">
        <v>3</v>
      </c>
      <c r="S632">
        <v>79</v>
      </c>
      <c r="T632">
        <v>4</v>
      </c>
      <c r="U632" s="3">
        <f t="shared" si="77"/>
        <v>0.98165137614678899</v>
      </c>
      <c r="V632" s="3">
        <f t="shared" si="78"/>
        <v>0.98268398268398272</v>
      </c>
    </row>
    <row r="633" spans="1:22" x14ac:dyDescent="0.25">
      <c r="A633" s="2">
        <v>2017</v>
      </c>
      <c r="B633" t="s">
        <v>44</v>
      </c>
      <c r="C633" t="s">
        <v>1</v>
      </c>
      <c r="D633" s="2">
        <v>3622</v>
      </c>
      <c r="E633" s="2">
        <v>5670</v>
      </c>
      <c r="F633" t="s">
        <v>491</v>
      </c>
      <c r="G633">
        <v>35</v>
      </c>
      <c r="H633">
        <v>35</v>
      </c>
      <c r="I633">
        <v>0</v>
      </c>
      <c r="J633">
        <v>0</v>
      </c>
      <c r="K633">
        <v>0</v>
      </c>
      <c r="L633" s="6">
        <f t="shared" si="74"/>
        <v>1</v>
      </c>
      <c r="M633">
        <v>347</v>
      </c>
      <c r="N633">
        <v>55</v>
      </c>
      <c r="O633" s="9">
        <v>0</v>
      </c>
      <c r="P633">
        <v>0</v>
      </c>
      <c r="Q633">
        <v>135</v>
      </c>
      <c r="R633">
        <v>0</v>
      </c>
      <c r="S633">
        <v>156</v>
      </c>
      <c r="T633">
        <v>1</v>
      </c>
      <c r="U633" s="3">
        <f t="shared" si="77"/>
        <v>1</v>
      </c>
      <c r="V633" s="3">
        <f t="shared" si="78"/>
        <v>1</v>
      </c>
    </row>
    <row r="634" spans="1:22" x14ac:dyDescent="0.25">
      <c r="A634" s="2">
        <v>2017</v>
      </c>
      <c r="B634" t="s">
        <v>44</v>
      </c>
      <c r="C634" t="s">
        <v>1</v>
      </c>
      <c r="D634" s="2">
        <v>15555</v>
      </c>
      <c r="E634" s="2">
        <v>9514</v>
      </c>
      <c r="F634" t="s">
        <v>492</v>
      </c>
      <c r="G634">
        <v>12</v>
      </c>
      <c r="H634">
        <v>12</v>
      </c>
      <c r="I634">
        <v>0</v>
      </c>
      <c r="J634">
        <v>0</v>
      </c>
      <c r="K634">
        <v>0</v>
      </c>
      <c r="L634" s="6">
        <f t="shared" si="74"/>
        <v>1</v>
      </c>
      <c r="M634">
        <v>241</v>
      </c>
      <c r="N634">
        <v>33</v>
      </c>
      <c r="O634" s="9">
        <v>0</v>
      </c>
      <c r="P634">
        <v>0</v>
      </c>
      <c r="Q634">
        <v>107</v>
      </c>
      <c r="R634">
        <v>1</v>
      </c>
      <c r="S634">
        <v>100</v>
      </c>
      <c r="T634">
        <v>0</v>
      </c>
      <c r="U634" s="3">
        <f t="shared" si="77"/>
        <v>0.99585062240663902</v>
      </c>
      <c r="V634" s="3">
        <f t="shared" si="78"/>
        <v>0.99604743083003955</v>
      </c>
    </row>
    <row r="635" spans="1:22" x14ac:dyDescent="0.25">
      <c r="A635" s="2">
        <v>2017</v>
      </c>
      <c r="B635" t="s">
        <v>44</v>
      </c>
      <c r="C635" t="s">
        <v>1</v>
      </c>
      <c r="D635" s="2">
        <v>820</v>
      </c>
      <c r="E635" s="2">
        <v>5431</v>
      </c>
      <c r="F635" t="s">
        <v>493</v>
      </c>
      <c r="G635">
        <v>12</v>
      </c>
      <c r="H635">
        <v>12</v>
      </c>
      <c r="I635">
        <v>0</v>
      </c>
      <c r="J635">
        <v>0</v>
      </c>
      <c r="K635">
        <v>0</v>
      </c>
      <c r="L635" s="6">
        <f t="shared" si="74"/>
        <v>1</v>
      </c>
      <c r="M635">
        <v>249</v>
      </c>
      <c r="N635">
        <v>41</v>
      </c>
      <c r="O635" s="9">
        <v>0</v>
      </c>
      <c r="P635">
        <v>0</v>
      </c>
      <c r="Q635">
        <v>105</v>
      </c>
      <c r="R635">
        <v>0</v>
      </c>
      <c r="S635">
        <v>103</v>
      </c>
      <c r="T635">
        <v>0</v>
      </c>
      <c r="U635" s="3">
        <f t="shared" si="77"/>
        <v>1</v>
      </c>
      <c r="V635" s="3">
        <f t="shared" si="78"/>
        <v>1</v>
      </c>
    </row>
    <row r="636" spans="1:22" x14ac:dyDescent="0.25">
      <c r="A636" s="2">
        <v>2017</v>
      </c>
      <c r="B636" t="s">
        <v>44</v>
      </c>
      <c r="C636" t="s">
        <v>1</v>
      </c>
      <c r="D636" s="2">
        <v>3595</v>
      </c>
      <c r="E636" s="2">
        <v>9918</v>
      </c>
      <c r="F636" t="s">
        <v>495</v>
      </c>
      <c r="G636">
        <v>12</v>
      </c>
      <c r="H636">
        <v>12</v>
      </c>
      <c r="I636">
        <v>0</v>
      </c>
      <c r="J636">
        <v>0</v>
      </c>
      <c r="K636">
        <v>0</v>
      </c>
      <c r="L636" s="6">
        <f t="shared" si="74"/>
        <v>1</v>
      </c>
      <c r="M636">
        <v>187</v>
      </c>
      <c r="N636">
        <v>29</v>
      </c>
      <c r="O636" s="9">
        <v>0</v>
      </c>
      <c r="P636">
        <v>0</v>
      </c>
      <c r="Q636">
        <v>98</v>
      </c>
      <c r="R636">
        <v>0</v>
      </c>
      <c r="S636">
        <v>60</v>
      </c>
      <c r="T636">
        <v>0</v>
      </c>
      <c r="U636" s="3">
        <f t="shared" si="77"/>
        <v>1</v>
      </c>
      <c r="V636" s="3">
        <f t="shared" si="78"/>
        <v>1</v>
      </c>
    </row>
    <row r="637" spans="1:22" x14ac:dyDescent="0.25">
      <c r="A637" s="2">
        <v>2017</v>
      </c>
      <c r="B637" t="s">
        <v>44</v>
      </c>
      <c r="C637" t="s">
        <v>1</v>
      </c>
      <c r="D637" s="2">
        <v>1016</v>
      </c>
      <c r="E637" s="2">
        <v>2749</v>
      </c>
      <c r="F637" t="s">
        <v>496</v>
      </c>
      <c r="G637">
        <v>15</v>
      </c>
      <c r="H637">
        <v>15</v>
      </c>
      <c r="I637">
        <v>0</v>
      </c>
      <c r="J637">
        <v>0</v>
      </c>
      <c r="K637">
        <v>0</v>
      </c>
      <c r="L637" s="6">
        <f t="shared" si="74"/>
        <v>1</v>
      </c>
      <c r="M637">
        <v>204</v>
      </c>
      <c r="N637">
        <v>32</v>
      </c>
      <c r="O637" s="9">
        <v>0</v>
      </c>
      <c r="P637">
        <v>0</v>
      </c>
      <c r="Q637">
        <v>76</v>
      </c>
      <c r="R637">
        <v>0</v>
      </c>
      <c r="S637">
        <v>96</v>
      </c>
      <c r="T637">
        <v>0</v>
      </c>
      <c r="U637" s="3">
        <f t="shared" si="77"/>
        <v>1</v>
      </c>
      <c r="V637" s="3">
        <f t="shared" si="78"/>
        <v>1</v>
      </c>
    </row>
    <row r="638" spans="1:22" x14ac:dyDescent="0.25">
      <c r="A638" s="2">
        <v>2017</v>
      </c>
      <c r="B638" t="s">
        <v>44</v>
      </c>
      <c r="C638" t="s">
        <v>1</v>
      </c>
      <c r="D638" s="2">
        <v>1050</v>
      </c>
      <c r="E638" s="2">
        <v>5302</v>
      </c>
      <c r="F638" t="s">
        <v>497</v>
      </c>
      <c r="G638">
        <v>0</v>
      </c>
      <c r="H638">
        <v>0</v>
      </c>
      <c r="I638">
        <v>0</v>
      </c>
      <c r="J638">
        <v>0</v>
      </c>
      <c r="K638">
        <v>0</v>
      </c>
      <c r="L638" s="6">
        <f t="shared" si="74"/>
        <v>0</v>
      </c>
      <c r="M638">
        <v>38</v>
      </c>
      <c r="N638">
        <v>8</v>
      </c>
      <c r="O638" s="9">
        <v>0</v>
      </c>
      <c r="P638">
        <v>0</v>
      </c>
      <c r="Q638">
        <v>27</v>
      </c>
      <c r="R638">
        <v>0</v>
      </c>
      <c r="S638">
        <v>3</v>
      </c>
      <c r="T638">
        <v>0</v>
      </c>
      <c r="U638" s="3">
        <f t="shared" si="77"/>
        <v>1</v>
      </c>
      <c r="V638" s="3">
        <f t="shared" si="78"/>
        <v>1</v>
      </c>
    </row>
    <row r="639" spans="1:22" x14ac:dyDescent="0.25">
      <c r="A639" s="2">
        <v>2017</v>
      </c>
      <c r="B639" t="s">
        <v>44</v>
      </c>
      <c r="C639" t="s">
        <v>1</v>
      </c>
      <c r="D639" s="2">
        <v>1108</v>
      </c>
      <c r="E639" s="2">
        <v>4332</v>
      </c>
      <c r="F639" t="s">
        <v>498</v>
      </c>
      <c r="G639">
        <v>21</v>
      </c>
      <c r="H639">
        <v>21</v>
      </c>
      <c r="I639">
        <v>0</v>
      </c>
      <c r="J639">
        <v>0</v>
      </c>
      <c r="K639">
        <v>0</v>
      </c>
      <c r="L639" s="6">
        <f t="shared" si="74"/>
        <v>1</v>
      </c>
      <c r="M639">
        <v>279</v>
      </c>
      <c r="N639">
        <v>48</v>
      </c>
      <c r="O639" s="9">
        <v>0</v>
      </c>
      <c r="P639">
        <v>3</v>
      </c>
      <c r="Q639">
        <v>96</v>
      </c>
      <c r="R639">
        <v>0</v>
      </c>
      <c r="S639">
        <v>130</v>
      </c>
      <c r="T639">
        <v>2</v>
      </c>
      <c r="U639" s="3">
        <f t="shared" si="77"/>
        <v>0.989247311827957</v>
      </c>
      <c r="V639" s="3">
        <f t="shared" si="78"/>
        <v>0.99</v>
      </c>
    </row>
    <row r="640" spans="1:22" x14ac:dyDescent="0.25">
      <c r="A640" s="2">
        <v>2017</v>
      </c>
      <c r="B640" t="s">
        <v>44</v>
      </c>
      <c r="C640" t="s">
        <v>1</v>
      </c>
      <c r="D640" s="2">
        <v>3623</v>
      </c>
      <c r="E640" s="2">
        <v>6046</v>
      </c>
      <c r="F640" t="s">
        <v>499</v>
      </c>
      <c r="G640">
        <v>14</v>
      </c>
      <c r="H640">
        <v>14</v>
      </c>
      <c r="I640">
        <v>0</v>
      </c>
      <c r="J640">
        <v>0</v>
      </c>
      <c r="K640">
        <v>0</v>
      </c>
      <c r="L640" s="6">
        <f t="shared" si="74"/>
        <v>1</v>
      </c>
      <c r="M640">
        <v>243</v>
      </c>
      <c r="N640">
        <v>43</v>
      </c>
      <c r="O640" s="9">
        <v>0</v>
      </c>
      <c r="P640">
        <v>1</v>
      </c>
      <c r="Q640">
        <v>127</v>
      </c>
      <c r="R640">
        <v>0</v>
      </c>
      <c r="S640">
        <v>72</v>
      </c>
      <c r="T640">
        <v>0</v>
      </c>
      <c r="U640" s="3">
        <f t="shared" si="77"/>
        <v>0.99588477366255146</v>
      </c>
      <c r="V640" s="3">
        <f t="shared" si="78"/>
        <v>0.99610894941634243</v>
      </c>
    </row>
    <row r="641" spans="1:22" x14ac:dyDescent="0.25">
      <c r="A641" s="2">
        <v>2017</v>
      </c>
      <c r="B641" t="s">
        <v>44</v>
      </c>
      <c r="C641" t="s">
        <v>1</v>
      </c>
      <c r="D641" s="2">
        <v>15880</v>
      </c>
      <c r="E641" s="2">
        <v>9708</v>
      </c>
      <c r="F641" t="s">
        <v>501</v>
      </c>
      <c r="G641">
        <v>16</v>
      </c>
      <c r="H641">
        <v>16</v>
      </c>
      <c r="I641">
        <v>0</v>
      </c>
      <c r="J641">
        <v>0</v>
      </c>
      <c r="K641">
        <v>0</v>
      </c>
      <c r="L641" s="6">
        <f t="shared" si="74"/>
        <v>1</v>
      </c>
      <c r="M641">
        <v>270</v>
      </c>
      <c r="N641">
        <v>37</v>
      </c>
      <c r="O641" s="9">
        <v>0</v>
      </c>
      <c r="P641">
        <v>0</v>
      </c>
      <c r="Q641">
        <v>131</v>
      </c>
      <c r="R641">
        <v>1</v>
      </c>
      <c r="S641">
        <v>100</v>
      </c>
      <c r="T641">
        <v>1</v>
      </c>
      <c r="U641" s="3">
        <f t="shared" si="77"/>
        <v>0.99629629629629635</v>
      </c>
      <c r="V641" s="3">
        <f t="shared" si="78"/>
        <v>0.99650349650349646</v>
      </c>
    </row>
    <row r="642" spans="1:22" x14ac:dyDescent="0.25">
      <c r="A642" s="2">
        <v>2017</v>
      </c>
      <c r="B642" t="s">
        <v>44</v>
      </c>
      <c r="C642" t="s">
        <v>22</v>
      </c>
      <c r="D642" s="2">
        <v>153</v>
      </c>
      <c r="E642" s="2">
        <v>222222222</v>
      </c>
      <c r="F642" t="s">
        <v>39</v>
      </c>
      <c r="G642">
        <v>1</v>
      </c>
      <c r="H642">
        <v>1</v>
      </c>
      <c r="I642">
        <v>0</v>
      </c>
      <c r="J642">
        <v>0</v>
      </c>
      <c r="K642">
        <v>0</v>
      </c>
      <c r="L642" s="6">
        <f t="shared" ref="L642:L705" si="79">IF(G642=0,0,SUM(H642:J642)/G642)</f>
        <v>1</v>
      </c>
      <c r="M642">
        <v>37</v>
      </c>
      <c r="N642">
        <v>9</v>
      </c>
      <c r="O642" s="9">
        <v>0</v>
      </c>
      <c r="P642">
        <v>0</v>
      </c>
      <c r="Q642">
        <v>22</v>
      </c>
      <c r="R642">
        <v>0</v>
      </c>
      <c r="S642">
        <v>6</v>
      </c>
      <c r="T642">
        <v>0</v>
      </c>
      <c r="U642" s="3">
        <f t="shared" si="77"/>
        <v>1</v>
      </c>
      <c r="V642" s="3">
        <f t="shared" si="78"/>
        <v>1</v>
      </c>
    </row>
    <row r="643" spans="1:22" x14ac:dyDescent="0.25">
      <c r="A643" s="2">
        <v>2017</v>
      </c>
      <c r="B643" t="s">
        <v>44</v>
      </c>
      <c r="C643" t="s">
        <v>22</v>
      </c>
      <c r="D643" s="2">
        <v>137</v>
      </c>
      <c r="E643" s="2">
        <v>5010</v>
      </c>
      <c r="F643" t="s">
        <v>27</v>
      </c>
      <c r="G643">
        <v>15</v>
      </c>
      <c r="H643">
        <v>15</v>
      </c>
      <c r="I643">
        <v>0</v>
      </c>
      <c r="J643">
        <v>0</v>
      </c>
      <c r="K643">
        <v>0</v>
      </c>
      <c r="L643" s="6">
        <f t="shared" si="79"/>
        <v>1</v>
      </c>
      <c r="M643">
        <v>256</v>
      </c>
      <c r="N643">
        <v>76</v>
      </c>
      <c r="O643" s="9">
        <v>0</v>
      </c>
      <c r="P643">
        <v>0</v>
      </c>
      <c r="Q643">
        <v>100</v>
      </c>
      <c r="R643">
        <v>0</v>
      </c>
      <c r="S643">
        <v>78</v>
      </c>
      <c r="T643">
        <v>2</v>
      </c>
      <c r="U643" s="3">
        <f t="shared" ref="U643:U675" si="80">IF(M643=0,0,((N643+O643+Q643+S643+T643)/M643))</f>
        <v>1</v>
      </c>
      <c r="V643" s="3">
        <f t="shared" ref="V643:V675" si="81">(H643+I643+J643+N643+Q643+S643+T643)/(G643+M643)</f>
        <v>1</v>
      </c>
    </row>
    <row r="644" spans="1:22" x14ac:dyDescent="0.25">
      <c r="A644" s="2">
        <v>2017</v>
      </c>
      <c r="B644" t="s">
        <v>44</v>
      </c>
      <c r="C644" t="s">
        <v>22</v>
      </c>
      <c r="D644" s="2">
        <v>29</v>
      </c>
      <c r="E644" s="2">
        <v>4489</v>
      </c>
      <c r="F644" t="s">
        <v>353</v>
      </c>
      <c r="G644">
        <v>22</v>
      </c>
      <c r="H644">
        <v>21</v>
      </c>
      <c r="I644">
        <v>0</v>
      </c>
      <c r="J644">
        <v>0</v>
      </c>
      <c r="K644">
        <v>1</v>
      </c>
      <c r="L644" s="6">
        <f t="shared" si="79"/>
        <v>0.95454545454545459</v>
      </c>
      <c r="M644">
        <v>360</v>
      </c>
      <c r="N644">
        <v>84</v>
      </c>
      <c r="O644" s="9">
        <v>0</v>
      </c>
      <c r="P644">
        <v>0</v>
      </c>
      <c r="Q644">
        <v>164</v>
      </c>
      <c r="R644">
        <v>0</v>
      </c>
      <c r="S644">
        <v>112</v>
      </c>
      <c r="T644">
        <v>0</v>
      </c>
      <c r="U644" s="3">
        <f t="shared" si="80"/>
        <v>1</v>
      </c>
      <c r="V644" s="3">
        <f t="shared" si="81"/>
        <v>0.99738219895287961</v>
      </c>
    </row>
    <row r="645" spans="1:22" x14ac:dyDescent="0.25">
      <c r="A645" s="2">
        <v>2017</v>
      </c>
      <c r="B645" t="s">
        <v>44</v>
      </c>
      <c r="C645" t="s">
        <v>22</v>
      </c>
      <c r="D645" s="2">
        <v>38</v>
      </c>
      <c r="E645" s="2">
        <v>7115</v>
      </c>
      <c r="F645" t="s">
        <v>354</v>
      </c>
      <c r="G645">
        <v>41</v>
      </c>
      <c r="H645">
        <v>41</v>
      </c>
      <c r="I645">
        <v>0</v>
      </c>
      <c r="J645">
        <v>0</v>
      </c>
      <c r="K645">
        <v>0</v>
      </c>
      <c r="L645" s="6">
        <f t="shared" si="79"/>
        <v>1</v>
      </c>
      <c r="M645">
        <v>399</v>
      </c>
      <c r="N645">
        <v>107</v>
      </c>
      <c r="O645" s="9">
        <v>0</v>
      </c>
      <c r="P645">
        <v>0</v>
      </c>
      <c r="Q645">
        <v>129</v>
      </c>
      <c r="R645">
        <v>0</v>
      </c>
      <c r="S645">
        <v>162</v>
      </c>
      <c r="T645">
        <v>1</v>
      </c>
      <c r="U645" s="3">
        <f t="shared" si="80"/>
        <v>1</v>
      </c>
      <c r="V645" s="3">
        <f t="shared" si="81"/>
        <v>1</v>
      </c>
    </row>
    <row r="646" spans="1:22" x14ac:dyDescent="0.25">
      <c r="A646" s="2">
        <v>2017</v>
      </c>
      <c r="B646" t="s">
        <v>44</v>
      </c>
      <c r="C646" t="s">
        <v>22</v>
      </c>
      <c r="D646" s="2">
        <v>58</v>
      </c>
      <c r="E646" s="2">
        <v>7621</v>
      </c>
      <c r="F646" t="s">
        <v>355</v>
      </c>
      <c r="G646">
        <v>47</v>
      </c>
      <c r="H646">
        <v>45</v>
      </c>
      <c r="I646">
        <v>0</v>
      </c>
      <c r="J646">
        <v>0</v>
      </c>
      <c r="K646">
        <v>2</v>
      </c>
      <c r="L646" s="6">
        <f t="shared" si="79"/>
        <v>0.95744680851063835</v>
      </c>
      <c r="M646">
        <v>447</v>
      </c>
      <c r="N646">
        <v>86</v>
      </c>
      <c r="O646" s="9">
        <v>0</v>
      </c>
      <c r="P646">
        <v>6</v>
      </c>
      <c r="Q646">
        <v>214</v>
      </c>
      <c r="R646">
        <v>5</v>
      </c>
      <c r="S646">
        <v>131</v>
      </c>
      <c r="T646">
        <v>5</v>
      </c>
      <c r="U646" s="3">
        <f t="shared" si="80"/>
        <v>0.97539149888143173</v>
      </c>
      <c r="V646" s="3">
        <f t="shared" si="81"/>
        <v>0.97368421052631582</v>
      </c>
    </row>
    <row r="647" spans="1:22" x14ac:dyDescent="0.25">
      <c r="A647" s="2">
        <v>2017</v>
      </c>
      <c r="B647" t="s">
        <v>44</v>
      </c>
      <c r="C647" t="s">
        <v>22</v>
      </c>
      <c r="D647" s="2">
        <v>14</v>
      </c>
      <c r="E647" s="2">
        <v>5614</v>
      </c>
      <c r="F647" t="s">
        <v>423</v>
      </c>
      <c r="G647">
        <v>0</v>
      </c>
      <c r="H647">
        <v>0</v>
      </c>
      <c r="I647">
        <v>0</v>
      </c>
      <c r="J647">
        <v>0</v>
      </c>
      <c r="K647">
        <v>0</v>
      </c>
      <c r="L647" s="6">
        <f t="shared" si="79"/>
        <v>0</v>
      </c>
      <c r="M647">
        <v>1</v>
      </c>
      <c r="N647">
        <v>0</v>
      </c>
      <c r="O647" s="9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 s="3">
        <f t="shared" si="80"/>
        <v>1</v>
      </c>
      <c r="V647" s="3">
        <f t="shared" si="81"/>
        <v>1</v>
      </c>
    </row>
    <row r="648" spans="1:22" x14ac:dyDescent="0.25">
      <c r="A648" s="2">
        <v>2017</v>
      </c>
      <c r="B648" t="s">
        <v>44</v>
      </c>
      <c r="C648" t="s">
        <v>22</v>
      </c>
      <c r="D648" s="2">
        <v>23</v>
      </c>
      <c r="E648" s="2">
        <v>5832</v>
      </c>
      <c r="F648" t="s">
        <v>358</v>
      </c>
      <c r="G648">
        <v>0</v>
      </c>
      <c r="H648">
        <v>0</v>
      </c>
      <c r="I648">
        <v>0</v>
      </c>
      <c r="J648">
        <v>0</v>
      </c>
      <c r="K648">
        <v>0</v>
      </c>
      <c r="L648" s="6">
        <f t="shared" si="79"/>
        <v>0</v>
      </c>
      <c r="M648">
        <v>60</v>
      </c>
      <c r="N648">
        <v>14</v>
      </c>
      <c r="O648" s="9">
        <v>0</v>
      </c>
      <c r="P648">
        <v>0</v>
      </c>
      <c r="Q648">
        <v>30</v>
      </c>
      <c r="R648">
        <v>3</v>
      </c>
      <c r="S648">
        <v>13</v>
      </c>
      <c r="T648">
        <v>0</v>
      </c>
      <c r="U648" s="3">
        <f t="shared" si="80"/>
        <v>0.95</v>
      </c>
      <c r="V648" s="3">
        <f t="shared" si="81"/>
        <v>0.95</v>
      </c>
    </row>
    <row r="649" spans="1:22" x14ac:dyDescent="0.25">
      <c r="A649" s="2">
        <v>2017</v>
      </c>
      <c r="B649" t="s">
        <v>44</v>
      </c>
      <c r="C649" t="s">
        <v>22</v>
      </c>
      <c r="D649" s="2">
        <v>77</v>
      </c>
      <c r="E649" s="2">
        <v>9967</v>
      </c>
      <c r="F649" t="s">
        <v>359</v>
      </c>
      <c r="G649">
        <v>49</v>
      </c>
      <c r="H649">
        <v>49</v>
      </c>
      <c r="I649">
        <v>0</v>
      </c>
      <c r="J649">
        <v>0</v>
      </c>
      <c r="K649">
        <v>0</v>
      </c>
      <c r="L649" s="6">
        <f t="shared" si="79"/>
        <v>1</v>
      </c>
      <c r="M649">
        <v>464</v>
      </c>
      <c r="N649">
        <v>86</v>
      </c>
      <c r="O649" s="9">
        <v>0</v>
      </c>
      <c r="P649">
        <v>0</v>
      </c>
      <c r="Q649">
        <v>191</v>
      </c>
      <c r="R649">
        <v>11</v>
      </c>
      <c r="S649">
        <v>174</v>
      </c>
      <c r="T649">
        <v>2</v>
      </c>
      <c r="U649" s="3">
        <f t="shared" si="80"/>
        <v>0.97629310344827591</v>
      </c>
      <c r="V649" s="3">
        <f t="shared" si="81"/>
        <v>0.97855750487329429</v>
      </c>
    </row>
    <row r="650" spans="1:22" x14ac:dyDescent="0.25">
      <c r="A650" s="2">
        <v>2017</v>
      </c>
      <c r="B650" t="s">
        <v>44</v>
      </c>
      <c r="C650" t="s">
        <v>22</v>
      </c>
      <c r="D650" s="2">
        <v>47</v>
      </c>
      <c r="E650" s="2">
        <v>7465</v>
      </c>
      <c r="F650" t="s">
        <v>412</v>
      </c>
      <c r="G650">
        <v>0</v>
      </c>
      <c r="H650">
        <v>0</v>
      </c>
      <c r="I650">
        <v>0</v>
      </c>
      <c r="J650">
        <v>0</v>
      </c>
      <c r="K650">
        <v>0</v>
      </c>
      <c r="L650" s="6">
        <f t="shared" si="79"/>
        <v>0</v>
      </c>
      <c r="M650">
        <v>1</v>
      </c>
      <c r="N650">
        <v>0</v>
      </c>
      <c r="O650" s="9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 s="3">
        <f t="shared" si="80"/>
        <v>1</v>
      </c>
      <c r="V650" s="3">
        <f t="shared" si="81"/>
        <v>1</v>
      </c>
    </row>
    <row r="651" spans="1:22" x14ac:dyDescent="0.25">
      <c r="A651" s="2">
        <v>2017</v>
      </c>
      <c r="B651" t="s">
        <v>44</v>
      </c>
      <c r="C651" t="s">
        <v>22</v>
      </c>
      <c r="D651" s="2">
        <v>28</v>
      </c>
      <c r="E651" s="2">
        <v>4356</v>
      </c>
      <c r="F651" t="s">
        <v>360</v>
      </c>
      <c r="G651">
        <v>60</v>
      </c>
      <c r="H651">
        <v>58</v>
      </c>
      <c r="I651">
        <v>0</v>
      </c>
      <c r="J651">
        <v>0</v>
      </c>
      <c r="K651">
        <v>2</v>
      </c>
      <c r="L651" s="6">
        <f t="shared" si="79"/>
        <v>0.96666666666666667</v>
      </c>
      <c r="M651">
        <v>569</v>
      </c>
      <c r="N651">
        <v>111</v>
      </c>
      <c r="O651" s="9">
        <v>0</v>
      </c>
      <c r="P651">
        <v>5</v>
      </c>
      <c r="Q651">
        <v>253</v>
      </c>
      <c r="R651">
        <v>0</v>
      </c>
      <c r="S651">
        <v>197</v>
      </c>
      <c r="T651">
        <v>3</v>
      </c>
      <c r="U651" s="3">
        <f t="shared" si="80"/>
        <v>0.99121265377855883</v>
      </c>
      <c r="V651" s="3">
        <f t="shared" si="81"/>
        <v>0.98887122416534179</v>
      </c>
    </row>
    <row r="652" spans="1:22" x14ac:dyDescent="0.25">
      <c r="A652" s="2">
        <v>2017</v>
      </c>
      <c r="B652" t="s">
        <v>44</v>
      </c>
      <c r="C652" t="s">
        <v>22</v>
      </c>
      <c r="D652" s="2">
        <v>49</v>
      </c>
      <c r="E652" s="2">
        <v>222222222</v>
      </c>
      <c r="F652" t="s">
        <v>327</v>
      </c>
      <c r="G652">
        <v>0</v>
      </c>
      <c r="H652">
        <v>0</v>
      </c>
      <c r="I652">
        <v>0</v>
      </c>
      <c r="J652">
        <v>0</v>
      </c>
      <c r="K652">
        <v>0</v>
      </c>
      <c r="L652" s="6">
        <f t="shared" si="79"/>
        <v>0</v>
      </c>
      <c r="M652">
        <v>3</v>
      </c>
      <c r="N652">
        <v>2</v>
      </c>
      <c r="O652" s="9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 s="3">
        <f t="shared" si="80"/>
        <v>1</v>
      </c>
      <c r="V652" s="3">
        <f t="shared" si="81"/>
        <v>1</v>
      </c>
    </row>
    <row r="653" spans="1:22" x14ac:dyDescent="0.25">
      <c r="A653" s="2">
        <v>2017</v>
      </c>
      <c r="B653" t="s">
        <v>44</v>
      </c>
      <c r="C653" t="s">
        <v>22</v>
      </c>
      <c r="D653" s="2">
        <v>63</v>
      </c>
      <c r="E653" s="2">
        <v>7817</v>
      </c>
      <c r="F653" t="s">
        <v>361</v>
      </c>
      <c r="G653">
        <v>20</v>
      </c>
      <c r="H653">
        <v>19</v>
      </c>
      <c r="I653">
        <v>0</v>
      </c>
      <c r="J653">
        <v>0</v>
      </c>
      <c r="K653">
        <v>1</v>
      </c>
      <c r="L653" s="6">
        <f t="shared" si="79"/>
        <v>0.95</v>
      </c>
      <c r="M653">
        <v>446</v>
      </c>
      <c r="N653">
        <v>90</v>
      </c>
      <c r="O653" s="9">
        <v>0</v>
      </c>
      <c r="P653">
        <v>0</v>
      </c>
      <c r="Q653">
        <v>234</v>
      </c>
      <c r="R653">
        <v>0</v>
      </c>
      <c r="S653">
        <v>121</v>
      </c>
      <c r="T653">
        <v>1</v>
      </c>
      <c r="U653" s="3">
        <f t="shared" si="80"/>
        <v>1</v>
      </c>
      <c r="V653" s="3">
        <f t="shared" si="81"/>
        <v>0.99785407725321884</v>
      </c>
    </row>
    <row r="654" spans="1:22" x14ac:dyDescent="0.25">
      <c r="A654" s="2">
        <v>2017</v>
      </c>
      <c r="B654" t="s">
        <v>44</v>
      </c>
      <c r="C654" t="s">
        <v>22</v>
      </c>
      <c r="D654" s="2">
        <v>19</v>
      </c>
      <c r="E654" s="2">
        <v>5831</v>
      </c>
      <c r="F654" t="s">
        <v>362</v>
      </c>
      <c r="G654">
        <v>23</v>
      </c>
      <c r="H654">
        <v>23</v>
      </c>
      <c r="I654">
        <v>0</v>
      </c>
      <c r="J654">
        <v>0</v>
      </c>
      <c r="K654">
        <v>0</v>
      </c>
      <c r="L654" s="6">
        <f t="shared" si="79"/>
        <v>1</v>
      </c>
      <c r="M654">
        <v>378</v>
      </c>
      <c r="N654">
        <v>103</v>
      </c>
      <c r="O654" s="9">
        <v>0</v>
      </c>
      <c r="P654">
        <v>0</v>
      </c>
      <c r="Q654">
        <v>139</v>
      </c>
      <c r="R654">
        <v>6</v>
      </c>
      <c r="S654">
        <v>127</v>
      </c>
      <c r="T654">
        <v>3</v>
      </c>
      <c r="U654" s="3">
        <f t="shared" si="80"/>
        <v>0.98412698412698407</v>
      </c>
      <c r="V654" s="3">
        <f t="shared" si="81"/>
        <v>0.98503740648379057</v>
      </c>
    </row>
    <row r="655" spans="1:22" x14ac:dyDescent="0.25">
      <c r="A655" s="2">
        <v>2017</v>
      </c>
      <c r="B655" t="s">
        <v>44</v>
      </c>
      <c r="C655" t="s">
        <v>22</v>
      </c>
      <c r="D655" s="2">
        <v>147</v>
      </c>
      <c r="E655" s="2">
        <v>2834</v>
      </c>
      <c r="F655" t="s">
        <v>482</v>
      </c>
      <c r="G655">
        <v>3</v>
      </c>
      <c r="H655">
        <v>3</v>
      </c>
      <c r="I655">
        <v>0</v>
      </c>
      <c r="J655">
        <v>0</v>
      </c>
      <c r="K655">
        <v>0</v>
      </c>
      <c r="L655" s="6">
        <f t="shared" si="79"/>
        <v>1</v>
      </c>
      <c r="M655">
        <v>157</v>
      </c>
      <c r="N655">
        <v>47</v>
      </c>
      <c r="O655" s="9">
        <v>0</v>
      </c>
      <c r="P655">
        <v>0</v>
      </c>
      <c r="Q655">
        <v>71</v>
      </c>
      <c r="R655">
        <v>0</v>
      </c>
      <c r="S655">
        <v>38</v>
      </c>
      <c r="T655">
        <v>1</v>
      </c>
      <c r="U655" s="3">
        <f t="shared" si="80"/>
        <v>1</v>
      </c>
      <c r="V655" s="3">
        <f t="shared" si="81"/>
        <v>1</v>
      </c>
    </row>
    <row r="656" spans="1:22" x14ac:dyDescent="0.25">
      <c r="A656" s="2">
        <v>2017</v>
      </c>
      <c r="B656" t="s">
        <v>44</v>
      </c>
      <c r="C656" t="s">
        <v>22</v>
      </c>
      <c r="D656" s="2">
        <v>68</v>
      </c>
      <c r="E656" s="2">
        <v>7923</v>
      </c>
      <c r="F656" t="s">
        <v>363</v>
      </c>
      <c r="G656">
        <v>25</v>
      </c>
      <c r="H656">
        <v>25</v>
      </c>
      <c r="I656">
        <v>0</v>
      </c>
      <c r="J656">
        <v>0</v>
      </c>
      <c r="K656">
        <v>0</v>
      </c>
      <c r="L656" s="6">
        <f t="shared" si="79"/>
        <v>1</v>
      </c>
      <c r="M656">
        <v>374</v>
      </c>
      <c r="N656">
        <v>80</v>
      </c>
      <c r="O656" s="9">
        <v>0</v>
      </c>
      <c r="P656">
        <v>4</v>
      </c>
      <c r="Q656">
        <v>177</v>
      </c>
      <c r="R656">
        <v>1</v>
      </c>
      <c r="S656">
        <v>110</v>
      </c>
      <c r="T656">
        <v>2</v>
      </c>
      <c r="U656" s="3">
        <f t="shared" si="80"/>
        <v>0.9866310160427807</v>
      </c>
      <c r="V656" s="3">
        <f t="shared" si="81"/>
        <v>0.98746867167919794</v>
      </c>
    </row>
    <row r="657" spans="1:22" x14ac:dyDescent="0.25">
      <c r="A657" s="2">
        <v>2017</v>
      </c>
      <c r="B657" t="s">
        <v>44</v>
      </c>
      <c r="C657" t="s">
        <v>22</v>
      </c>
      <c r="D657" s="2">
        <v>144</v>
      </c>
      <c r="E657" s="2">
        <v>4536</v>
      </c>
      <c r="F657" t="s">
        <v>364</v>
      </c>
      <c r="G657">
        <v>5</v>
      </c>
      <c r="H657">
        <v>5</v>
      </c>
      <c r="I657">
        <v>0</v>
      </c>
      <c r="J657">
        <v>0</v>
      </c>
      <c r="K657">
        <v>0</v>
      </c>
      <c r="L657" s="6">
        <f t="shared" si="79"/>
        <v>1</v>
      </c>
      <c r="M657">
        <v>197</v>
      </c>
      <c r="N657">
        <v>54</v>
      </c>
      <c r="O657" s="9">
        <v>0</v>
      </c>
      <c r="P657">
        <v>0</v>
      </c>
      <c r="Q657">
        <v>115</v>
      </c>
      <c r="R657">
        <v>0</v>
      </c>
      <c r="S657">
        <v>26</v>
      </c>
      <c r="T657">
        <v>2</v>
      </c>
      <c r="U657" s="3">
        <f t="shared" si="80"/>
        <v>1</v>
      </c>
      <c r="V657" s="3">
        <f t="shared" si="81"/>
        <v>1</v>
      </c>
    </row>
    <row r="658" spans="1:22" x14ac:dyDescent="0.25">
      <c r="A658" s="2">
        <v>2017</v>
      </c>
      <c r="B658" t="s">
        <v>44</v>
      </c>
      <c r="C658" t="s">
        <v>22</v>
      </c>
      <c r="D658" s="2">
        <v>70</v>
      </c>
      <c r="E658" s="2">
        <v>8358</v>
      </c>
      <c r="F658" t="s">
        <v>365</v>
      </c>
      <c r="G658">
        <v>0</v>
      </c>
      <c r="H658">
        <v>0</v>
      </c>
      <c r="I658">
        <v>0</v>
      </c>
      <c r="J658">
        <v>0</v>
      </c>
      <c r="K658">
        <v>0</v>
      </c>
      <c r="L658" s="6">
        <f t="shared" si="79"/>
        <v>0</v>
      </c>
      <c r="M658">
        <v>1</v>
      </c>
      <c r="N658">
        <v>0</v>
      </c>
      <c r="O658" s="9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 s="3">
        <f t="shared" si="80"/>
        <v>1</v>
      </c>
      <c r="V658" s="3">
        <f t="shared" si="81"/>
        <v>1</v>
      </c>
    </row>
    <row r="659" spans="1:22" x14ac:dyDescent="0.25">
      <c r="A659" s="2">
        <v>2017</v>
      </c>
      <c r="B659" t="s">
        <v>44</v>
      </c>
      <c r="C659" t="s">
        <v>22</v>
      </c>
      <c r="D659" s="2">
        <v>145</v>
      </c>
      <c r="E659" s="2">
        <v>5597</v>
      </c>
      <c r="F659" t="s">
        <v>33</v>
      </c>
      <c r="G659">
        <v>0</v>
      </c>
      <c r="H659">
        <v>0</v>
      </c>
      <c r="I659">
        <v>0</v>
      </c>
      <c r="J659">
        <v>0</v>
      </c>
      <c r="K659">
        <v>0</v>
      </c>
      <c r="L659" s="6">
        <f t="shared" si="79"/>
        <v>0</v>
      </c>
      <c r="M659">
        <v>1</v>
      </c>
      <c r="N659">
        <v>0</v>
      </c>
      <c r="O659" s="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 s="3">
        <f t="shared" si="80"/>
        <v>1</v>
      </c>
      <c r="V659" s="3">
        <f t="shared" si="81"/>
        <v>1</v>
      </c>
    </row>
    <row r="660" spans="1:22" x14ac:dyDescent="0.25">
      <c r="A660" s="2">
        <v>2017</v>
      </c>
      <c r="B660" t="s">
        <v>44</v>
      </c>
      <c r="C660" t="s">
        <v>22</v>
      </c>
      <c r="D660" s="2">
        <v>1</v>
      </c>
      <c r="E660" s="2">
        <v>6777</v>
      </c>
      <c r="F660" t="s">
        <v>34</v>
      </c>
      <c r="G660">
        <v>0</v>
      </c>
      <c r="H660">
        <v>0</v>
      </c>
      <c r="I660">
        <v>0</v>
      </c>
      <c r="J660">
        <v>0</v>
      </c>
      <c r="K660">
        <v>0</v>
      </c>
      <c r="L660" s="6">
        <f t="shared" si="79"/>
        <v>0</v>
      </c>
      <c r="M660">
        <v>1</v>
      </c>
      <c r="N660">
        <v>0</v>
      </c>
      <c r="O660" s="9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 s="3">
        <f t="shared" si="80"/>
        <v>1</v>
      </c>
      <c r="V660" s="3">
        <f t="shared" si="81"/>
        <v>1</v>
      </c>
    </row>
    <row r="661" spans="1:22" x14ac:dyDescent="0.25">
      <c r="A661" s="2">
        <v>2017</v>
      </c>
      <c r="B661" t="s">
        <v>44</v>
      </c>
      <c r="C661" t="s">
        <v>22</v>
      </c>
      <c r="D661" s="2">
        <v>65</v>
      </c>
      <c r="E661" s="2">
        <v>7806</v>
      </c>
      <c r="F661" t="s">
        <v>328</v>
      </c>
      <c r="G661">
        <v>36</v>
      </c>
      <c r="H661">
        <v>36</v>
      </c>
      <c r="I661">
        <v>0</v>
      </c>
      <c r="J661">
        <v>0</v>
      </c>
      <c r="K661">
        <v>0</v>
      </c>
      <c r="L661" s="6">
        <f t="shared" si="79"/>
        <v>1</v>
      </c>
      <c r="M661">
        <v>434</v>
      </c>
      <c r="N661">
        <v>102</v>
      </c>
      <c r="O661" s="9">
        <v>0</v>
      </c>
      <c r="P661">
        <v>0</v>
      </c>
      <c r="Q661">
        <v>176</v>
      </c>
      <c r="R661">
        <v>0</v>
      </c>
      <c r="S661">
        <v>152</v>
      </c>
      <c r="T661">
        <v>4</v>
      </c>
      <c r="U661" s="3">
        <f t="shared" si="80"/>
        <v>1</v>
      </c>
      <c r="V661" s="3">
        <f t="shared" si="81"/>
        <v>1</v>
      </c>
    </row>
    <row r="662" spans="1:22" x14ac:dyDescent="0.25">
      <c r="A662" s="2">
        <v>2017</v>
      </c>
      <c r="B662" t="s">
        <v>44</v>
      </c>
      <c r="C662" t="s">
        <v>22</v>
      </c>
      <c r="D662" s="2">
        <v>27</v>
      </c>
      <c r="E662" s="2">
        <v>4492</v>
      </c>
      <c r="F662" t="s">
        <v>367</v>
      </c>
      <c r="G662">
        <v>29</v>
      </c>
      <c r="H662">
        <v>29</v>
      </c>
      <c r="I662">
        <v>0</v>
      </c>
      <c r="J662">
        <v>0</v>
      </c>
      <c r="K662">
        <v>0</v>
      </c>
      <c r="L662" s="6">
        <f t="shared" si="79"/>
        <v>1</v>
      </c>
      <c r="M662">
        <v>422</v>
      </c>
      <c r="N662">
        <v>78</v>
      </c>
      <c r="O662" s="9">
        <v>0</v>
      </c>
      <c r="P662">
        <v>6</v>
      </c>
      <c r="Q662">
        <v>199</v>
      </c>
      <c r="R662">
        <v>1</v>
      </c>
      <c r="S662">
        <v>136</v>
      </c>
      <c r="T662">
        <v>2</v>
      </c>
      <c r="U662" s="3">
        <f t="shared" si="80"/>
        <v>0.98341232227488151</v>
      </c>
      <c r="V662" s="3">
        <f t="shared" si="81"/>
        <v>0.98447893569844791</v>
      </c>
    </row>
    <row r="663" spans="1:22" x14ac:dyDescent="0.25">
      <c r="A663" s="2">
        <v>2017</v>
      </c>
      <c r="B663" t="s">
        <v>44</v>
      </c>
      <c r="C663" t="s">
        <v>22</v>
      </c>
      <c r="D663" s="2">
        <v>143</v>
      </c>
      <c r="E663" s="2">
        <v>122604</v>
      </c>
      <c r="F663" t="s">
        <v>413</v>
      </c>
      <c r="G663">
        <v>0</v>
      </c>
      <c r="H663">
        <v>0</v>
      </c>
      <c r="I663">
        <v>0</v>
      </c>
      <c r="J663">
        <v>0</v>
      </c>
      <c r="K663">
        <v>0</v>
      </c>
      <c r="L663" s="6">
        <f t="shared" si="79"/>
        <v>0</v>
      </c>
      <c r="M663">
        <v>2</v>
      </c>
      <c r="N663">
        <v>1</v>
      </c>
      <c r="O663" s="9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 s="3">
        <f t="shared" si="80"/>
        <v>1</v>
      </c>
      <c r="V663" s="3">
        <f t="shared" si="81"/>
        <v>1</v>
      </c>
    </row>
    <row r="664" spans="1:22" x14ac:dyDescent="0.25">
      <c r="A664" s="2">
        <v>2017</v>
      </c>
      <c r="B664" t="s">
        <v>44</v>
      </c>
      <c r="C664" t="s">
        <v>22</v>
      </c>
      <c r="D664" s="2">
        <v>152</v>
      </c>
      <c r="E664" s="2">
        <v>222222222</v>
      </c>
      <c r="F664" t="s">
        <v>429</v>
      </c>
      <c r="G664">
        <v>1</v>
      </c>
      <c r="H664">
        <v>1</v>
      </c>
      <c r="I664">
        <v>0</v>
      </c>
      <c r="J664">
        <v>0</v>
      </c>
      <c r="K664">
        <v>0</v>
      </c>
      <c r="L664" s="6">
        <f t="shared" si="79"/>
        <v>1</v>
      </c>
      <c r="M664">
        <v>93</v>
      </c>
      <c r="N664">
        <v>27</v>
      </c>
      <c r="O664" s="9">
        <v>0</v>
      </c>
      <c r="P664">
        <v>0</v>
      </c>
      <c r="Q664">
        <v>35</v>
      </c>
      <c r="R664">
        <v>0</v>
      </c>
      <c r="S664">
        <v>29</v>
      </c>
      <c r="T664">
        <v>2</v>
      </c>
      <c r="U664" s="3">
        <f t="shared" si="80"/>
        <v>1</v>
      </c>
      <c r="V664" s="3">
        <f t="shared" si="81"/>
        <v>1</v>
      </c>
    </row>
    <row r="665" spans="1:22" x14ac:dyDescent="0.25">
      <c r="A665" s="2">
        <v>2017</v>
      </c>
      <c r="B665" t="s">
        <v>44</v>
      </c>
      <c r="C665" t="s">
        <v>22</v>
      </c>
      <c r="D665" s="2">
        <v>53</v>
      </c>
      <c r="E665" s="2">
        <v>4717</v>
      </c>
      <c r="F665" t="s">
        <v>494</v>
      </c>
      <c r="G665">
        <v>1</v>
      </c>
      <c r="H665">
        <v>1</v>
      </c>
      <c r="I665">
        <v>0</v>
      </c>
      <c r="J665">
        <v>0</v>
      </c>
      <c r="K665">
        <v>0</v>
      </c>
      <c r="L665" s="6">
        <f t="shared" si="79"/>
        <v>1</v>
      </c>
      <c r="M665">
        <v>3</v>
      </c>
      <c r="N665">
        <v>0</v>
      </c>
      <c r="O665" s="9">
        <v>0</v>
      </c>
      <c r="P665">
        <v>0</v>
      </c>
      <c r="Q665">
        <v>1</v>
      </c>
      <c r="R665">
        <v>0</v>
      </c>
      <c r="S665">
        <v>2</v>
      </c>
      <c r="T665">
        <v>0</v>
      </c>
      <c r="U665" s="3">
        <f t="shared" si="80"/>
        <v>1</v>
      </c>
      <c r="V665" s="3">
        <f t="shared" si="81"/>
        <v>1</v>
      </c>
    </row>
    <row r="666" spans="1:22" x14ac:dyDescent="0.25">
      <c r="A666" s="2">
        <v>2017</v>
      </c>
      <c r="B666" t="s">
        <v>44</v>
      </c>
      <c r="C666" t="s">
        <v>22</v>
      </c>
      <c r="D666" s="2">
        <v>45</v>
      </c>
      <c r="E666" s="2">
        <v>7400</v>
      </c>
      <c r="F666" t="s">
        <v>416</v>
      </c>
      <c r="G666">
        <v>0</v>
      </c>
      <c r="H666">
        <v>0</v>
      </c>
      <c r="I666">
        <v>0</v>
      </c>
      <c r="J666">
        <v>0</v>
      </c>
      <c r="K666">
        <v>0</v>
      </c>
      <c r="L666" s="6">
        <f t="shared" si="79"/>
        <v>0</v>
      </c>
      <c r="M666">
        <v>2</v>
      </c>
      <c r="N666">
        <v>2</v>
      </c>
      <c r="O666" s="9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s="3">
        <f t="shared" si="80"/>
        <v>1</v>
      </c>
      <c r="V666" s="3">
        <f t="shared" si="81"/>
        <v>1</v>
      </c>
    </row>
    <row r="667" spans="1:22" x14ac:dyDescent="0.25">
      <c r="A667" s="2">
        <v>2017</v>
      </c>
      <c r="B667" t="s">
        <v>44</v>
      </c>
      <c r="C667" t="s">
        <v>22</v>
      </c>
      <c r="D667" s="2">
        <v>25</v>
      </c>
      <c r="E667" s="2">
        <v>4357</v>
      </c>
      <c r="F667" t="s">
        <v>369</v>
      </c>
      <c r="G667">
        <v>44</v>
      </c>
      <c r="H667">
        <v>44</v>
      </c>
      <c r="I667">
        <v>0</v>
      </c>
      <c r="J667">
        <v>0</v>
      </c>
      <c r="K667">
        <v>0</v>
      </c>
      <c r="L667" s="6">
        <f t="shared" si="79"/>
        <v>1</v>
      </c>
      <c r="M667">
        <v>458</v>
      </c>
      <c r="N667">
        <v>104</v>
      </c>
      <c r="O667" s="9">
        <v>0</v>
      </c>
      <c r="P667">
        <v>0</v>
      </c>
      <c r="Q667">
        <v>185</v>
      </c>
      <c r="R667">
        <v>8</v>
      </c>
      <c r="S667">
        <v>159</v>
      </c>
      <c r="T667">
        <v>2</v>
      </c>
      <c r="U667" s="3">
        <f t="shared" si="80"/>
        <v>0.98253275109170302</v>
      </c>
      <c r="V667" s="3">
        <f t="shared" si="81"/>
        <v>0.98406374501992033</v>
      </c>
    </row>
    <row r="668" spans="1:22" x14ac:dyDescent="0.25">
      <c r="A668" s="2">
        <v>2017</v>
      </c>
      <c r="B668" t="s">
        <v>44</v>
      </c>
      <c r="C668" t="s">
        <v>22</v>
      </c>
      <c r="D668" s="2">
        <v>43</v>
      </c>
      <c r="E668" s="2">
        <v>7308</v>
      </c>
      <c r="F668" t="s">
        <v>418</v>
      </c>
      <c r="G668">
        <v>0</v>
      </c>
      <c r="H668">
        <v>0</v>
      </c>
      <c r="I668">
        <v>0</v>
      </c>
      <c r="J668">
        <v>0</v>
      </c>
      <c r="K668">
        <v>0</v>
      </c>
      <c r="L668" s="6">
        <f t="shared" si="79"/>
        <v>0</v>
      </c>
      <c r="M668">
        <v>1</v>
      </c>
      <c r="N668">
        <v>0</v>
      </c>
      <c r="O668" s="9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 s="3">
        <f t="shared" si="80"/>
        <v>1</v>
      </c>
      <c r="V668" s="3">
        <f t="shared" si="81"/>
        <v>1</v>
      </c>
    </row>
    <row r="669" spans="1:22" x14ac:dyDescent="0.25">
      <c r="A669" s="2">
        <v>2017</v>
      </c>
      <c r="B669" t="s">
        <v>44</v>
      </c>
      <c r="C669" t="s">
        <v>22</v>
      </c>
      <c r="D669" s="2">
        <v>184</v>
      </c>
      <c r="E669" s="2">
        <v>120870</v>
      </c>
      <c r="F669" t="s">
        <v>371</v>
      </c>
      <c r="G669">
        <v>6</v>
      </c>
      <c r="H669">
        <v>6</v>
      </c>
      <c r="I669">
        <v>0</v>
      </c>
      <c r="J669">
        <v>0</v>
      </c>
      <c r="K669">
        <v>0</v>
      </c>
      <c r="L669" s="6">
        <f t="shared" si="79"/>
        <v>1</v>
      </c>
      <c r="M669">
        <v>273</v>
      </c>
      <c r="N669">
        <v>56</v>
      </c>
      <c r="O669" s="9">
        <v>0</v>
      </c>
      <c r="P669">
        <v>1</v>
      </c>
      <c r="Q669">
        <v>117</v>
      </c>
      <c r="R669">
        <v>1</v>
      </c>
      <c r="S669">
        <v>97</v>
      </c>
      <c r="T669">
        <v>1</v>
      </c>
      <c r="U669" s="3">
        <f t="shared" si="80"/>
        <v>0.9926739926739927</v>
      </c>
      <c r="V669" s="3">
        <f t="shared" si="81"/>
        <v>0.99283154121863804</v>
      </c>
    </row>
    <row r="670" spans="1:22" x14ac:dyDescent="0.25">
      <c r="A670" s="2">
        <v>2017</v>
      </c>
      <c r="B670" t="s">
        <v>44</v>
      </c>
      <c r="C670" t="s">
        <v>22</v>
      </c>
      <c r="D670" s="2">
        <v>154</v>
      </c>
      <c r="E670" s="2">
        <v>119292</v>
      </c>
      <c r="F670" t="s">
        <v>344</v>
      </c>
      <c r="G670">
        <v>0</v>
      </c>
      <c r="H670">
        <v>0</v>
      </c>
      <c r="I670">
        <v>0</v>
      </c>
      <c r="J670">
        <v>0</v>
      </c>
      <c r="K670">
        <v>0</v>
      </c>
      <c r="L670" s="6">
        <f t="shared" si="79"/>
        <v>0</v>
      </c>
      <c r="M670">
        <v>1</v>
      </c>
      <c r="N670">
        <v>0</v>
      </c>
      <c r="O670" s="9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 s="3">
        <f t="shared" si="80"/>
        <v>1</v>
      </c>
      <c r="V670" s="3">
        <f t="shared" si="81"/>
        <v>1</v>
      </c>
    </row>
    <row r="671" spans="1:22" x14ac:dyDescent="0.25">
      <c r="A671" s="2">
        <v>2017</v>
      </c>
      <c r="B671" t="s">
        <v>44</v>
      </c>
      <c r="C671" t="s">
        <v>22</v>
      </c>
      <c r="D671" s="2">
        <v>149</v>
      </c>
      <c r="E671" s="2">
        <v>119467</v>
      </c>
      <c r="F671" t="s">
        <v>345</v>
      </c>
      <c r="G671">
        <v>0</v>
      </c>
      <c r="H671">
        <v>0</v>
      </c>
      <c r="I671">
        <v>0</v>
      </c>
      <c r="J671">
        <v>0</v>
      </c>
      <c r="K671">
        <v>0</v>
      </c>
      <c r="L671" s="6">
        <f t="shared" si="79"/>
        <v>0</v>
      </c>
      <c r="M671">
        <v>1</v>
      </c>
      <c r="N671">
        <v>0</v>
      </c>
      <c r="O671" s="9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 s="3">
        <f t="shared" si="80"/>
        <v>1</v>
      </c>
      <c r="V671" s="3">
        <f t="shared" si="81"/>
        <v>1</v>
      </c>
    </row>
    <row r="672" spans="1:22" x14ac:dyDescent="0.25">
      <c r="A672" s="2">
        <v>2017</v>
      </c>
      <c r="B672" t="s">
        <v>44</v>
      </c>
      <c r="C672" t="s">
        <v>22</v>
      </c>
      <c r="D672" s="2">
        <v>129</v>
      </c>
      <c r="E672" s="2">
        <v>5246</v>
      </c>
      <c r="F672" t="s">
        <v>347</v>
      </c>
      <c r="G672">
        <v>3</v>
      </c>
      <c r="H672">
        <v>3</v>
      </c>
      <c r="I672">
        <v>0</v>
      </c>
      <c r="J672">
        <v>0</v>
      </c>
      <c r="K672">
        <v>0</v>
      </c>
      <c r="L672" s="6">
        <f t="shared" si="79"/>
        <v>1</v>
      </c>
      <c r="M672">
        <v>55</v>
      </c>
      <c r="N672">
        <v>16</v>
      </c>
      <c r="O672" s="9">
        <v>0</v>
      </c>
      <c r="P672">
        <v>0</v>
      </c>
      <c r="Q672">
        <v>21</v>
      </c>
      <c r="R672">
        <v>0</v>
      </c>
      <c r="S672">
        <v>18</v>
      </c>
      <c r="T672">
        <v>0</v>
      </c>
      <c r="U672" s="3">
        <f t="shared" si="80"/>
        <v>1</v>
      </c>
      <c r="V672" s="3">
        <f t="shared" si="81"/>
        <v>1</v>
      </c>
    </row>
    <row r="673" spans="1:22" x14ac:dyDescent="0.25">
      <c r="A673" s="2">
        <v>2017</v>
      </c>
      <c r="B673" t="s">
        <v>44</v>
      </c>
      <c r="C673" t="s">
        <v>22</v>
      </c>
      <c r="D673" s="2">
        <v>78</v>
      </c>
      <c r="E673" s="2">
        <v>8720</v>
      </c>
      <c r="F673" t="s">
        <v>408</v>
      </c>
      <c r="G673">
        <v>0</v>
      </c>
      <c r="H673">
        <v>0</v>
      </c>
      <c r="I673">
        <v>0</v>
      </c>
      <c r="J673">
        <v>0</v>
      </c>
      <c r="K673">
        <v>0</v>
      </c>
      <c r="L673" s="6">
        <f t="shared" si="79"/>
        <v>0</v>
      </c>
      <c r="M673">
        <v>2</v>
      </c>
      <c r="N673">
        <v>1</v>
      </c>
      <c r="O673" s="9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 s="3">
        <f t="shared" si="80"/>
        <v>1</v>
      </c>
      <c r="V673" s="3">
        <f t="shared" si="81"/>
        <v>1</v>
      </c>
    </row>
    <row r="674" spans="1:22" x14ac:dyDescent="0.25">
      <c r="A674" s="2">
        <v>2017</v>
      </c>
      <c r="B674" t="s">
        <v>44</v>
      </c>
      <c r="C674" t="s">
        <v>22</v>
      </c>
      <c r="D674" s="2">
        <v>142</v>
      </c>
      <c r="E674" s="2">
        <v>122502</v>
      </c>
      <c r="F674" t="s">
        <v>372</v>
      </c>
      <c r="G674">
        <v>22</v>
      </c>
      <c r="H674">
        <v>22</v>
      </c>
      <c r="I674">
        <v>0</v>
      </c>
      <c r="J674">
        <v>0</v>
      </c>
      <c r="K674">
        <v>0</v>
      </c>
      <c r="L674" s="6">
        <f t="shared" si="79"/>
        <v>1</v>
      </c>
      <c r="M674">
        <v>352</v>
      </c>
      <c r="N674">
        <v>69</v>
      </c>
      <c r="O674" s="9">
        <v>0</v>
      </c>
      <c r="P674">
        <v>0</v>
      </c>
      <c r="Q674">
        <v>162</v>
      </c>
      <c r="R674">
        <v>0</v>
      </c>
      <c r="S674">
        <v>115</v>
      </c>
      <c r="T674">
        <v>6</v>
      </c>
      <c r="U674" s="3">
        <f t="shared" si="80"/>
        <v>1</v>
      </c>
      <c r="V674" s="3">
        <f t="shared" si="81"/>
        <v>1</v>
      </c>
    </row>
    <row r="675" spans="1:22" x14ac:dyDescent="0.25">
      <c r="A675" s="2">
        <v>2017</v>
      </c>
      <c r="B675" t="s">
        <v>44</v>
      </c>
      <c r="C675" t="s">
        <v>23</v>
      </c>
      <c r="D675" s="2">
        <v>489</v>
      </c>
      <c r="E675" s="2">
        <v>7740</v>
      </c>
      <c r="F675" t="s">
        <v>40</v>
      </c>
      <c r="G675">
        <v>23</v>
      </c>
      <c r="H675">
        <v>23</v>
      </c>
      <c r="I675">
        <v>0</v>
      </c>
      <c r="J675">
        <v>0</v>
      </c>
      <c r="K675">
        <v>0</v>
      </c>
      <c r="L675" s="6">
        <f t="shared" si="79"/>
        <v>1</v>
      </c>
      <c r="M675">
        <v>283</v>
      </c>
      <c r="N675">
        <v>66</v>
      </c>
      <c r="O675" s="9">
        <v>0</v>
      </c>
      <c r="P675">
        <v>0</v>
      </c>
      <c r="Q675">
        <v>104</v>
      </c>
      <c r="R675">
        <v>0</v>
      </c>
      <c r="S675">
        <v>113</v>
      </c>
      <c r="T675">
        <v>0</v>
      </c>
      <c r="U675" s="3">
        <f t="shared" si="80"/>
        <v>1</v>
      </c>
      <c r="V675" s="3">
        <f t="shared" si="81"/>
        <v>1</v>
      </c>
    </row>
    <row r="676" spans="1:22" x14ac:dyDescent="0.25">
      <c r="A676" s="2">
        <v>2017</v>
      </c>
      <c r="B676" t="s">
        <v>44</v>
      </c>
      <c r="C676" t="s">
        <v>23</v>
      </c>
      <c r="D676" s="2">
        <v>492</v>
      </c>
      <c r="E676" s="2">
        <v>7744</v>
      </c>
      <c r="F676" t="s">
        <v>374</v>
      </c>
      <c r="G676">
        <v>18</v>
      </c>
      <c r="H676">
        <v>18</v>
      </c>
      <c r="I676">
        <v>0</v>
      </c>
      <c r="J676">
        <v>0</v>
      </c>
      <c r="K676">
        <v>0</v>
      </c>
      <c r="L676" s="6">
        <f t="shared" si="79"/>
        <v>1</v>
      </c>
      <c r="M676">
        <v>311</v>
      </c>
      <c r="N676">
        <v>51</v>
      </c>
      <c r="O676" s="9">
        <v>0</v>
      </c>
      <c r="P676">
        <v>0</v>
      </c>
      <c r="Q676">
        <v>137</v>
      </c>
      <c r="R676">
        <v>8</v>
      </c>
      <c r="S676">
        <v>114</v>
      </c>
      <c r="T676">
        <v>1</v>
      </c>
      <c r="U676" s="3">
        <f t="shared" ref="U676:U687" si="82">IF(M676=0,0,((N676+O676+Q676+S676+T676)/M676))</f>
        <v>0.97427652733118975</v>
      </c>
      <c r="V676" s="3">
        <f t="shared" ref="V676:V687" si="83">(H676+I676+J676+N676+Q676+S676+T676)/(G676+M676)</f>
        <v>0.9756838905775076</v>
      </c>
    </row>
    <row r="677" spans="1:22" x14ac:dyDescent="0.25">
      <c r="A677" s="2">
        <v>2017</v>
      </c>
      <c r="B677" t="s">
        <v>44</v>
      </c>
      <c r="C677" t="s">
        <v>23</v>
      </c>
      <c r="D677" s="2">
        <v>555</v>
      </c>
      <c r="E677" s="2">
        <v>119114</v>
      </c>
      <c r="F677" t="s">
        <v>375</v>
      </c>
      <c r="G677">
        <v>9</v>
      </c>
      <c r="H677">
        <v>9</v>
      </c>
      <c r="I677">
        <v>0</v>
      </c>
      <c r="J677">
        <v>0</v>
      </c>
      <c r="K677">
        <v>0</v>
      </c>
      <c r="L677" s="6">
        <f t="shared" si="79"/>
        <v>1</v>
      </c>
      <c r="M677">
        <v>265</v>
      </c>
      <c r="N677">
        <v>50</v>
      </c>
      <c r="O677" s="9">
        <v>0</v>
      </c>
      <c r="P677">
        <v>1</v>
      </c>
      <c r="Q677">
        <v>117</v>
      </c>
      <c r="R677">
        <v>0</v>
      </c>
      <c r="S677">
        <v>94</v>
      </c>
      <c r="T677">
        <v>3</v>
      </c>
      <c r="U677" s="3">
        <f t="shared" si="82"/>
        <v>0.99622641509433962</v>
      </c>
      <c r="V677" s="3">
        <f t="shared" si="83"/>
        <v>0.9963503649635036</v>
      </c>
    </row>
    <row r="678" spans="1:22" x14ac:dyDescent="0.25">
      <c r="A678" s="2">
        <v>2017</v>
      </c>
      <c r="B678" t="s">
        <v>44</v>
      </c>
      <c r="C678" t="s">
        <v>23</v>
      </c>
      <c r="D678" s="2">
        <v>493</v>
      </c>
      <c r="E678" s="2">
        <v>7742</v>
      </c>
      <c r="F678" t="s">
        <v>376</v>
      </c>
      <c r="G678">
        <v>7</v>
      </c>
      <c r="H678">
        <v>7</v>
      </c>
      <c r="I678">
        <v>0</v>
      </c>
      <c r="J678">
        <v>0</v>
      </c>
      <c r="K678">
        <v>0</v>
      </c>
      <c r="L678" s="6">
        <f t="shared" si="79"/>
        <v>1</v>
      </c>
      <c r="M678">
        <v>157</v>
      </c>
      <c r="N678">
        <v>15</v>
      </c>
      <c r="O678" s="9">
        <v>0</v>
      </c>
      <c r="P678">
        <v>0</v>
      </c>
      <c r="Q678">
        <v>54</v>
      </c>
      <c r="R678">
        <v>0</v>
      </c>
      <c r="S678">
        <v>88</v>
      </c>
      <c r="T678">
        <v>0</v>
      </c>
      <c r="U678" s="3">
        <f t="shared" si="82"/>
        <v>1</v>
      </c>
      <c r="V678" s="3">
        <f t="shared" si="83"/>
        <v>1</v>
      </c>
    </row>
    <row r="679" spans="1:22" x14ac:dyDescent="0.25">
      <c r="A679" s="2">
        <v>2017</v>
      </c>
      <c r="B679" t="s">
        <v>44</v>
      </c>
      <c r="C679" t="s">
        <v>23</v>
      </c>
      <c r="D679" s="2">
        <v>593</v>
      </c>
      <c r="E679" s="2">
        <v>122796</v>
      </c>
      <c r="F679" t="s">
        <v>379</v>
      </c>
      <c r="G679">
        <v>18</v>
      </c>
      <c r="H679">
        <v>18</v>
      </c>
      <c r="I679">
        <v>0</v>
      </c>
      <c r="J679">
        <v>0</v>
      </c>
      <c r="K679">
        <v>0</v>
      </c>
      <c r="L679" s="6">
        <f t="shared" si="79"/>
        <v>1</v>
      </c>
      <c r="M679">
        <v>279</v>
      </c>
      <c r="N679">
        <v>49</v>
      </c>
      <c r="O679" s="9">
        <v>0</v>
      </c>
      <c r="P679">
        <v>0</v>
      </c>
      <c r="Q679">
        <v>128</v>
      </c>
      <c r="R679">
        <v>0</v>
      </c>
      <c r="S679">
        <v>102</v>
      </c>
      <c r="T679">
        <v>0</v>
      </c>
      <c r="U679" s="3">
        <f t="shared" si="82"/>
        <v>1</v>
      </c>
      <c r="V679" s="3">
        <f t="shared" si="83"/>
        <v>1</v>
      </c>
    </row>
    <row r="680" spans="1:22" x14ac:dyDescent="0.25">
      <c r="A680" s="2">
        <v>2017</v>
      </c>
      <c r="B680" t="s">
        <v>44</v>
      </c>
      <c r="C680" t="s">
        <v>23</v>
      </c>
      <c r="D680" s="2">
        <v>592</v>
      </c>
      <c r="E680" s="2">
        <v>122956</v>
      </c>
      <c r="F680" t="s">
        <v>381</v>
      </c>
      <c r="G680">
        <v>4</v>
      </c>
      <c r="H680">
        <v>4</v>
      </c>
      <c r="I680">
        <v>0</v>
      </c>
      <c r="J680">
        <v>0</v>
      </c>
      <c r="K680">
        <v>0</v>
      </c>
      <c r="L680" s="6">
        <f t="shared" si="79"/>
        <v>1</v>
      </c>
      <c r="M680">
        <v>182</v>
      </c>
      <c r="N680">
        <v>36</v>
      </c>
      <c r="O680" s="9">
        <v>0</v>
      </c>
      <c r="P680">
        <v>0</v>
      </c>
      <c r="Q680">
        <v>70</v>
      </c>
      <c r="R680">
        <v>0</v>
      </c>
      <c r="S680">
        <v>75</v>
      </c>
      <c r="T680">
        <v>1</v>
      </c>
      <c r="U680" s="3">
        <f t="shared" si="82"/>
        <v>1</v>
      </c>
      <c r="V680" s="3">
        <f t="shared" si="83"/>
        <v>1</v>
      </c>
    </row>
    <row r="681" spans="1:22" x14ac:dyDescent="0.25">
      <c r="A681" s="2">
        <v>2017</v>
      </c>
      <c r="B681" t="s">
        <v>44</v>
      </c>
      <c r="C681" t="s">
        <v>23</v>
      </c>
      <c r="D681" s="2">
        <v>494</v>
      </c>
      <c r="E681" s="2">
        <v>7743</v>
      </c>
      <c r="F681" t="s">
        <v>383</v>
      </c>
      <c r="G681">
        <v>23</v>
      </c>
      <c r="H681">
        <v>23</v>
      </c>
      <c r="I681">
        <v>0</v>
      </c>
      <c r="J681">
        <v>0</v>
      </c>
      <c r="K681">
        <v>0</v>
      </c>
      <c r="L681" s="6">
        <f t="shared" si="79"/>
        <v>1</v>
      </c>
      <c r="M681">
        <v>354</v>
      </c>
      <c r="N681">
        <v>59</v>
      </c>
      <c r="O681" s="9">
        <v>0</v>
      </c>
      <c r="P681">
        <v>2</v>
      </c>
      <c r="Q681">
        <v>124</v>
      </c>
      <c r="R681">
        <v>6</v>
      </c>
      <c r="S681">
        <v>162</v>
      </c>
      <c r="T681">
        <v>1</v>
      </c>
      <c r="U681" s="3">
        <f t="shared" si="82"/>
        <v>0.97740112994350281</v>
      </c>
      <c r="V681" s="3">
        <f t="shared" si="83"/>
        <v>0.97877984084880632</v>
      </c>
    </row>
    <row r="682" spans="1:22" x14ac:dyDescent="0.25">
      <c r="A682" s="2">
        <v>2017</v>
      </c>
      <c r="B682" t="s">
        <v>44</v>
      </c>
      <c r="C682" t="s">
        <v>23</v>
      </c>
      <c r="D682" s="2">
        <v>534</v>
      </c>
      <c r="E682" s="2">
        <v>10480</v>
      </c>
      <c r="F682" t="s">
        <v>384</v>
      </c>
      <c r="G682">
        <v>0</v>
      </c>
      <c r="H682">
        <v>0</v>
      </c>
      <c r="I682">
        <v>0</v>
      </c>
      <c r="J682">
        <v>0</v>
      </c>
      <c r="K682">
        <v>0</v>
      </c>
      <c r="L682" s="6">
        <f t="shared" si="79"/>
        <v>0</v>
      </c>
      <c r="M682">
        <v>3</v>
      </c>
      <c r="N682">
        <v>1</v>
      </c>
      <c r="O682" s="9">
        <v>0</v>
      </c>
      <c r="P682">
        <v>0</v>
      </c>
      <c r="Q682">
        <v>2</v>
      </c>
      <c r="R682">
        <v>0</v>
      </c>
      <c r="S682">
        <v>0</v>
      </c>
      <c r="T682">
        <v>0</v>
      </c>
      <c r="U682" s="3">
        <f t="shared" si="82"/>
        <v>1</v>
      </c>
      <c r="V682" s="3">
        <f t="shared" si="83"/>
        <v>1</v>
      </c>
    </row>
    <row r="683" spans="1:22" x14ac:dyDescent="0.25">
      <c r="A683" s="2">
        <v>2017</v>
      </c>
      <c r="B683" t="s">
        <v>44</v>
      </c>
      <c r="C683" t="s">
        <v>23</v>
      </c>
      <c r="D683" s="2">
        <v>533</v>
      </c>
      <c r="E683" s="2">
        <v>5803</v>
      </c>
      <c r="F683" t="s">
        <v>385</v>
      </c>
      <c r="G683">
        <v>0</v>
      </c>
      <c r="H683">
        <v>0</v>
      </c>
      <c r="I683">
        <v>0</v>
      </c>
      <c r="J683">
        <v>0</v>
      </c>
      <c r="K683">
        <v>0</v>
      </c>
      <c r="L683" s="6">
        <f t="shared" si="79"/>
        <v>0</v>
      </c>
      <c r="M683">
        <v>4</v>
      </c>
      <c r="N683">
        <v>2</v>
      </c>
      <c r="O683" s="9">
        <v>0</v>
      </c>
      <c r="P683">
        <v>0</v>
      </c>
      <c r="Q683">
        <v>1</v>
      </c>
      <c r="R683">
        <v>0</v>
      </c>
      <c r="S683">
        <v>1</v>
      </c>
      <c r="T683">
        <v>0</v>
      </c>
      <c r="U683" s="3">
        <f t="shared" si="82"/>
        <v>1</v>
      </c>
      <c r="V683" s="3">
        <f t="shared" si="83"/>
        <v>1</v>
      </c>
    </row>
    <row r="684" spans="1:22" x14ac:dyDescent="0.25">
      <c r="A684" s="2">
        <v>2017</v>
      </c>
      <c r="B684" t="s">
        <v>44</v>
      </c>
      <c r="C684" t="s">
        <v>23</v>
      </c>
      <c r="D684" s="2">
        <v>496</v>
      </c>
      <c r="E684" s="2">
        <v>7741</v>
      </c>
      <c r="F684" t="s">
        <v>387</v>
      </c>
      <c r="G684">
        <v>23</v>
      </c>
      <c r="H684">
        <v>23</v>
      </c>
      <c r="I684">
        <v>0</v>
      </c>
      <c r="J684">
        <v>0</v>
      </c>
      <c r="K684">
        <v>0</v>
      </c>
      <c r="L684" s="6">
        <f t="shared" si="79"/>
        <v>1</v>
      </c>
      <c r="M684">
        <v>341</v>
      </c>
      <c r="N684">
        <v>65</v>
      </c>
      <c r="O684" s="9">
        <v>0</v>
      </c>
      <c r="P684">
        <v>0</v>
      </c>
      <c r="Q684">
        <v>119</v>
      </c>
      <c r="R684">
        <v>0</v>
      </c>
      <c r="S684">
        <v>157</v>
      </c>
      <c r="T684">
        <v>0</v>
      </c>
      <c r="U684" s="3">
        <f t="shared" si="82"/>
        <v>1</v>
      </c>
      <c r="V684" s="3">
        <f t="shared" si="83"/>
        <v>1</v>
      </c>
    </row>
    <row r="685" spans="1:22" x14ac:dyDescent="0.25">
      <c r="A685" s="2">
        <v>2017</v>
      </c>
      <c r="B685" t="s">
        <v>44</v>
      </c>
      <c r="C685" t="s">
        <v>23</v>
      </c>
      <c r="D685" s="2">
        <v>444</v>
      </c>
      <c r="E685" s="2">
        <v>7314</v>
      </c>
      <c r="F685" t="s">
        <v>388</v>
      </c>
      <c r="G685">
        <v>14</v>
      </c>
      <c r="H685">
        <v>14</v>
      </c>
      <c r="I685">
        <v>0</v>
      </c>
      <c r="J685">
        <v>0</v>
      </c>
      <c r="K685">
        <v>0</v>
      </c>
      <c r="L685" s="6">
        <f t="shared" si="79"/>
        <v>1</v>
      </c>
      <c r="M685">
        <v>220</v>
      </c>
      <c r="N685">
        <v>33</v>
      </c>
      <c r="O685" s="9">
        <v>0</v>
      </c>
      <c r="P685">
        <v>0</v>
      </c>
      <c r="Q685">
        <v>82</v>
      </c>
      <c r="R685">
        <v>0</v>
      </c>
      <c r="S685">
        <v>105</v>
      </c>
      <c r="T685">
        <v>0</v>
      </c>
      <c r="U685" s="3">
        <f t="shared" si="82"/>
        <v>1</v>
      </c>
      <c r="V685" s="3">
        <f t="shared" si="83"/>
        <v>1</v>
      </c>
    </row>
    <row r="686" spans="1:22" x14ac:dyDescent="0.25">
      <c r="A686" s="2">
        <v>2017</v>
      </c>
      <c r="B686" t="s">
        <v>44</v>
      </c>
      <c r="C686" t="s">
        <v>23</v>
      </c>
      <c r="D686" s="2">
        <v>505</v>
      </c>
      <c r="E686" s="2">
        <v>8344</v>
      </c>
      <c r="F686" t="s">
        <v>389</v>
      </c>
      <c r="G686">
        <v>17</v>
      </c>
      <c r="H686">
        <v>17</v>
      </c>
      <c r="I686">
        <v>0</v>
      </c>
      <c r="J686">
        <v>0</v>
      </c>
      <c r="K686">
        <v>0</v>
      </c>
      <c r="L686" s="6">
        <f t="shared" si="79"/>
        <v>1</v>
      </c>
      <c r="M686">
        <v>313</v>
      </c>
      <c r="N686">
        <v>60</v>
      </c>
      <c r="O686" s="9">
        <v>0</v>
      </c>
      <c r="P686">
        <v>1</v>
      </c>
      <c r="Q686">
        <v>128</v>
      </c>
      <c r="R686">
        <v>0</v>
      </c>
      <c r="S686">
        <v>124</v>
      </c>
      <c r="T686">
        <v>0</v>
      </c>
      <c r="U686" s="3">
        <f t="shared" si="82"/>
        <v>0.99680511182108622</v>
      </c>
      <c r="V686" s="3">
        <f t="shared" si="83"/>
        <v>0.99696969696969695</v>
      </c>
    </row>
    <row r="687" spans="1:22" x14ac:dyDescent="0.25">
      <c r="A687" s="2">
        <v>2017</v>
      </c>
      <c r="B687" t="s">
        <v>44</v>
      </c>
      <c r="C687" t="s">
        <v>24</v>
      </c>
      <c r="D687" s="2">
        <v>136</v>
      </c>
      <c r="E687" s="2">
        <v>121923</v>
      </c>
      <c r="F687" t="s">
        <v>41</v>
      </c>
      <c r="G687">
        <v>19</v>
      </c>
      <c r="H687">
        <v>19</v>
      </c>
      <c r="I687">
        <v>0</v>
      </c>
      <c r="J687">
        <v>0</v>
      </c>
      <c r="K687">
        <v>0</v>
      </c>
      <c r="L687" s="6">
        <f t="shared" si="79"/>
        <v>1</v>
      </c>
      <c r="M687">
        <v>161</v>
      </c>
      <c r="N687">
        <v>26</v>
      </c>
      <c r="O687" s="9">
        <v>0</v>
      </c>
      <c r="P687">
        <v>0</v>
      </c>
      <c r="Q687">
        <v>71</v>
      </c>
      <c r="R687">
        <v>0</v>
      </c>
      <c r="S687">
        <v>63</v>
      </c>
      <c r="T687">
        <v>1</v>
      </c>
      <c r="U687" s="3">
        <f t="shared" si="82"/>
        <v>1</v>
      </c>
      <c r="V687" s="3">
        <f t="shared" si="83"/>
        <v>1</v>
      </c>
    </row>
    <row r="688" spans="1:22" x14ac:dyDescent="0.25">
      <c r="A688" s="2">
        <v>2017</v>
      </c>
      <c r="B688" t="s">
        <v>44</v>
      </c>
      <c r="C688" t="s">
        <v>24</v>
      </c>
      <c r="D688" s="2">
        <v>13</v>
      </c>
      <c r="E688" s="2">
        <v>5621</v>
      </c>
      <c r="F688" t="s">
        <v>390</v>
      </c>
      <c r="G688">
        <v>15</v>
      </c>
      <c r="H688">
        <v>15</v>
      </c>
      <c r="I688">
        <v>0</v>
      </c>
      <c r="J688">
        <v>0</v>
      </c>
      <c r="K688">
        <v>0</v>
      </c>
      <c r="L688" s="6">
        <f t="shared" si="79"/>
        <v>1</v>
      </c>
      <c r="M688">
        <v>250</v>
      </c>
      <c r="N688">
        <v>41</v>
      </c>
      <c r="O688" s="9">
        <v>0</v>
      </c>
      <c r="P688">
        <v>3</v>
      </c>
      <c r="Q688">
        <v>114</v>
      </c>
      <c r="R688">
        <v>1</v>
      </c>
      <c r="S688">
        <v>90</v>
      </c>
      <c r="T688">
        <v>1</v>
      </c>
      <c r="U688" s="3">
        <f t="shared" ref="U688:U718" si="84">IF(M688=0,0,((N688+O688+Q688+S688+T688)/M688))</f>
        <v>0.98399999999999999</v>
      </c>
      <c r="V688" s="3">
        <f t="shared" ref="V688:V718" si="85">(H688+I688+J688+N688+Q688+S688+T688)/(G688+M688)</f>
        <v>0.98490566037735849</v>
      </c>
    </row>
    <row r="689" spans="1:22" x14ac:dyDescent="0.25">
      <c r="A689" s="2">
        <v>2017</v>
      </c>
      <c r="B689" t="s">
        <v>44</v>
      </c>
      <c r="C689" t="s">
        <v>24</v>
      </c>
      <c r="D689" s="2">
        <v>115</v>
      </c>
      <c r="E689" s="2">
        <v>119430</v>
      </c>
      <c r="F689" t="s">
        <v>391</v>
      </c>
      <c r="G689">
        <v>14</v>
      </c>
      <c r="H689">
        <v>14</v>
      </c>
      <c r="I689">
        <v>0</v>
      </c>
      <c r="J689">
        <v>0</v>
      </c>
      <c r="K689">
        <v>0</v>
      </c>
      <c r="L689" s="6">
        <f t="shared" si="79"/>
        <v>1</v>
      </c>
      <c r="M689">
        <v>167</v>
      </c>
      <c r="N689">
        <v>39</v>
      </c>
      <c r="O689" s="9">
        <v>0</v>
      </c>
      <c r="P689">
        <v>0</v>
      </c>
      <c r="Q689">
        <v>60</v>
      </c>
      <c r="R689">
        <v>0</v>
      </c>
      <c r="S689">
        <v>65</v>
      </c>
      <c r="T689">
        <v>3</v>
      </c>
      <c r="U689" s="3">
        <f t="shared" si="84"/>
        <v>1</v>
      </c>
      <c r="V689" s="3">
        <f t="shared" si="85"/>
        <v>1</v>
      </c>
    </row>
    <row r="690" spans="1:22" x14ac:dyDescent="0.25">
      <c r="A690" s="2">
        <v>2017</v>
      </c>
      <c r="B690" t="s">
        <v>44</v>
      </c>
      <c r="C690" t="s">
        <v>24</v>
      </c>
      <c r="D690" s="2">
        <v>16</v>
      </c>
      <c r="E690" s="2">
        <v>5774</v>
      </c>
      <c r="F690" t="s">
        <v>392</v>
      </c>
      <c r="G690">
        <v>6</v>
      </c>
      <c r="H690">
        <v>6</v>
      </c>
      <c r="I690">
        <v>0</v>
      </c>
      <c r="J690">
        <v>0</v>
      </c>
      <c r="K690">
        <v>0</v>
      </c>
      <c r="L690" s="6">
        <f t="shared" si="79"/>
        <v>1</v>
      </c>
      <c r="M690">
        <v>198</v>
      </c>
      <c r="N690">
        <v>36</v>
      </c>
      <c r="O690" s="9">
        <v>0</v>
      </c>
      <c r="P690">
        <v>0</v>
      </c>
      <c r="Q690">
        <v>75</v>
      </c>
      <c r="R690">
        <v>8</v>
      </c>
      <c r="S690">
        <v>79</v>
      </c>
      <c r="T690">
        <v>0</v>
      </c>
      <c r="U690" s="3">
        <f t="shared" si="84"/>
        <v>0.95959595959595956</v>
      </c>
      <c r="V690" s="3">
        <f t="shared" si="85"/>
        <v>0.96078431372549022</v>
      </c>
    </row>
    <row r="691" spans="1:22" x14ac:dyDescent="0.25">
      <c r="A691" s="2">
        <v>2017</v>
      </c>
      <c r="B691" t="s">
        <v>44</v>
      </c>
      <c r="C691" t="s">
        <v>24</v>
      </c>
      <c r="D691" s="2">
        <v>107</v>
      </c>
      <c r="E691" s="2">
        <v>119171</v>
      </c>
      <c r="F691" t="s">
        <v>393</v>
      </c>
      <c r="G691">
        <v>9</v>
      </c>
      <c r="H691">
        <v>9</v>
      </c>
      <c r="I691">
        <v>0</v>
      </c>
      <c r="J691">
        <v>0</v>
      </c>
      <c r="K691">
        <v>0</v>
      </c>
      <c r="L691" s="6">
        <f t="shared" si="79"/>
        <v>1</v>
      </c>
      <c r="M691">
        <v>142</v>
      </c>
      <c r="N691">
        <v>30</v>
      </c>
      <c r="O691" s="9">
        <v>0</v>
      </c>
      <c r="P691">
        <v>0</v>
      </c>
      <c r="Q691">
        <v>62</v>
      </c>
      <c r="R691">
        <v>0</v>
      </c>
      <c r="S691">
        <v>49</v>
      </c>
      <c r="T691">
        <v>1</v>
      </c>
      <c r="U691" s="3">
        <f t="shared" si="84"/>
        <v>1</v>
      </c>
      <c r="V691" s="3">
        <f t="shared" si="85"/>
        <v>1</v>
      </c>
    </row>
    <row r="692" spans="1:22" x14ac:dyDescent="0.25">
      <c r="A692" s="2">
        <v>2017</v>
      </c>
      <c r="B692" t="s">
        <v>44</v>
      </c>
      <c r="C692" t="s">
        <v>24</v>
      </c>
      <c r="D692" s="2">
        <v>58</v>
      </c>
      <c r="E692" s="2">
        <v>7621</v>
      </c>
      <c r="F692" t="s">
        <v>355</v>
      </c>
      <c r="G692">
        <v>1</v>
      </c>
      <c r="H692">
        <v>1</v>
      </c>
      <c r="I692">
        <v>0</v>
      </c>
      <c r="J692">
        <v>0</v>
      </c>
      <c r="K692">
        <v>0</v>
      </c>
      <c r="L692" s="6">
        <f t="shared" si="79"/>
        <v>1</v>
      </c>
      <c r="M692">
        <v>3</v>
      </c>
      <c r="N692">
        <v>1</v>
      </c>
      <c r="O692" s="9">
        <v>0</v>
      </c>
      <c r="P692">
        <v>0</v>
      </c>
      <c r="Q692">
        <v>1</v>
      </c>
      <c r="R692">
        <v>0</v>
      </c>
      <c r="S692">
        <v>1</v>
      </c>
      <c r="T692">
        <v>0</v>
      </c>
      <c r="U692" s="3">
        <f t="shared" si="84"/>
        <v>1</v>
      </c>
      <c r="V692" s="3">
        <f t="shared" si="85"/>
        <v>1</v>
      </c>
    </row>
    <row r="693" spans="1:22" x14ac:dyDescent="0.25">
      <c r="A693" s="2">
        <v>2017</v>
      </c>
      <c r="B693" t="s">
        <v>44</v>
      </c>
      <c r="C693" t="s">
        <v>24</v>
      </c>
      <c r="D693" s="2">
        <v>109</v>
      </c>
      <c r="E693" s="2">
        <v>119114</v>
      </c>
      <c r="F693" t="s">
        <v>375</v>
      </c>
      <c r="G693">
        <v>0</v>
      </c>
      <c r="H693">
        <v>0</v>
      </c>
      <c r="I693">
        <v>0</v>
      </c>
      <c r="J693">
        <v>0</v>
      </c>
      <c r="K693">
        <v>0</v>
      </c>
      <c r="L693" s="6">
        <f t="shared" si="79"/>
        <v>0</v>
      </c>
      <c r="M693">
        <v>1</v>
      </c>
      <c r="N693">
        <v>0</v>
      </c>
      <c r="O693" s="9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 s="3">
        <f t="shared" si="84"/>
        <v>1</v>
      </c>
      <c r="V693" s="3">
        <f t="shared" si="85"/>
        <v>1</v>
      </c>
    </row>
    <row r="694" spans="1:22" x14ac:dyDescent="0.25">
      <c r="A694" s="2">
        <v>2017</v>
      </c>
      <c r="B694" t="s">
        <v>44</v>
      </c>
      <c r="C694" t="s">
        <v>24</v>
      </c>
      <c r="D694" s="2">
        <v>104</v>
      </c>
      <c r="E694" s="2">
        <v>118880</v>
      </c>
      <c r="F694" t="s">
        <v>394</v>
      </c>
      <c r="G694">
        <v>14</v>
      </c>
      <c r="H694">
        <v>14</v>
      </c>
      <c r="I694">
        <v>0</v>
      </c>
      <c r="J694">
        <v>0</v>
      </c>
      <c r="K694">
        <v>0</v>
      </c>
      <c r="L694" s="6">
        <f t="shared" si="79"/>
        <v>1</v>
      </c>
      <c r="M694">
        <v>229</v>
      </c>
      <c r="N694">
        <v>51</v>
      </c>
      <c r="O694" s="9">
        <v>0</v>
      </c>
      <c r="P694">
        <v>0</v>
      </c>
      <c r="Q694">
        <v>102</v>
      </c>
      <c r="R694">
        <v>0</v>
      </c>
      <c r="S694">
        <v>74</v>
      </c>
      <c r="T694">
        <v>2</v>
      </c>
      <c r="U694" s="3">
        <f t="shared" si="84"/>
        <v>1</v>
      </c>
      <c r="V694" s="3">
        <f t="shared" si="85"/>
        <v>1</v>
      </c>
    </row>
    <row r="695" spans="1:22" x14ac:dyDescent="0.25">
      <c r="A695" s="2">
        <v>2017</v>
      </c>
      <c r="B695" t="s">
        <v>44</v>
      </c>
      <c r="C695" t="s">
        <v>24</v>
      </c>
      <c r="D695" s="2">
        <v>132</v>
      </c>
      <c r="E695" s="2">
        <v>121352</v>
      </c>
      <c r="F695" t="s">
        <v>395</v>
      </c>
      <c r="G695">
        <v>9</v>
      </c>
      <c r="H695">
        <v>9</v>
      </c>
      <c r="I695">
        <v>0</v>
      </c>
      <c r="J695">
        <v>0</v>
      </c>
      <c r="K695">
        <v>0</v>
      </c>
      <c r="L695" s="6">
        <f t="shared" si="79"/>
        <v>1</v>
      </c>
      <c r="M695">
        <v>241</v>
      </c>
      <c r="N695">
        <v>52</v>
      </c>
      <c r="O695" s="9">
        <v>0</v>
      </c>
      <c r="P695">
        <v>4</v>
      </c>
      <c r="Q695">
        <v>95</v>
      </c>
      <c r="R695">
        <v>3</v>
      </c>
      <c r="S695">
        <v>86</v>
      </c>
      <c r="T695">
        <v>1</v>
      </c>
      <c r="U695" s="3">
        <f t="shared" si="84"/>
        <v>0.97095435684647302</v>
      </c>
      <c r="V695" s="3">
        <f t="shared" si="85"/>
        <v>0.97199999999999998</v>
      </c>
    </row>
    <row r="696" spans="1:22" x14ac:dyDescent="0.25">
      <c r="A696" s="2">
        <v>2017</v>
      </c>
      <c r="B696" t="s">
        <v>44</v>
      </c>
      <c r="C696" t="s">
        <v>24</v>
      </c>
      <c r="D696" s="2">
        <v>84</v>
      </c>
      <c r="E696" s="2">
        <v>9529</v>
      </c>
      <c r="F696" t="s">
        <v>396</v>
      </c>
      <c r="G696">
        <v>13</v>
      </c>
      <c r="H696">
        <v>13</v>
      </c>
      <c r="I696">
        <v>0</v>
      </c>
      <c r="J696">
        <v>0</v>
      </c>
      <c r="K696">
        <v>0</v>
      </c>
      <c r="L696" s="6">
        <f t="shared" si="79"/>
        <v>1</v>
      </c>
      <c r="M696">
        <v>215</v>
      </c>
      <c r="N696">
        <v>48</v>
      </c>
      <c r="O696" s="9">
        <v>0</v>
      </c>
      <c r="P696">
        <v>0</v>
      </c>
      <c r="Q696">
        <v>105</v>
      </c>
      <c r="R696">
        <v>0</v>
      </c>
      <c r="S696">
        <v>62</v>
      </c>
      <c r="T696">
        <v>0</v>
      </c>
      <c r="U696" s="3">
        <f t="shared" si="84"/>
        <v>1</v>
      </c>
      <c r="V696" s="3">
        <f t="shared" si="85"/>
        <v>1</v>
      </c>
    </row>
    <row r="697" spans="1:22" x14ac:dyDescent="0.25">
      <c r="A697" s="2">
        <v>2017</v>
      </c>
      <c r="B697" t="s">
        <v>44</v>
      </c>
      <c r="C697" t="s">
        <v>24</v>
      </c>
      <c r="D697" s="2">
        <v>113</v>
      </c>
      <c r="E697" s="2">
        <v>119349</v>
      </c>
      <c r="F697" t="s">
        <v>397</v>
      </c>
      <c r="G697">
        <v>13</v>
      </c>
      <c r="H697">
        <v>13</v>
      </c>
      <c r="I697">
        <v>0</v>
      </c>
      <c r="J697">
        <v>0</v>
      </c>
      <c r="K697">
        <v>0</v>
      </c>
      <c r="L697" s="6">
        <f t="shared" si="79"/>
        <v>1</v>
      </c>
      <c r="M697">
        <v>169</v>
      </c>
      <c r="N697">
        <v>28</v>
      </c>
      <c r="O697" s="9">
        <v>0</v>
      </c>
      <c r="P697">
        <v>0</v>
      </c>
      <c r="Q697">
        <v>67</v>
      </c>
      <c r="R697">
        <v>0</v>
      </c>
      <c r="S697">
        <v>73</v>
      </c>
      <c r="T697">
        <v>1</v>
      </c>
      <c r="U697" s="3">
        <f t="shared" si="84"/>
        <v>1</v>
      </c>
      <c r="V697" s="3">
        <f t="shared" si="85"/>
        <v>1</v>
      </c>
    </row>
    <row r="698" spans="1:22" x14ac:dyDescent="0.25">
      <c r="A698" s="2">
        <v>2017</v>
      </c>
      <c r="B698" t="s">
        <v>44</v>
      </c>
      <c r="C698" t="s">
        <v>24</v>
      </c>
      <c r="D698" s="2">
        <v>106</v>
      </c>
      <c r="E698" s="2">
        <v>119170</v>
      </c>
      <c r="F698" t="s">
        <v>434</v>
      </c>
      <c r="G698">
        <v>0</v>
      </c>
      <c r="H698">
        <v>0</v>
      </c>
      <c r="I698">
        <v>0</v>
      </c>
      <c r="J698">
        <v>0</v>
      </c>
      <c r="K698">
        <v>0</v>
      </c>
      <c r="L698" s="6">
        <f t="shared" si="79"/>
        <v>0</v>
      </c>
      <c r="M698">
        <v>1</v>
      </c>
      <c r="N698">
        <v>0</v>
      </c>
      <c r="O698" s="9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 s="3">
        <f t="shared" si="84"/>
        <v>1</v>
      </c>
      <c r="V698" s="3">
        <f t="shared" si="85"/>
        <v>1</v>
      </c>
    </row>
    <row r="699" spans="1:22" x14ac:dyDescent="0.25">
      <c r="A699" s="2">
        <v>2017</v>
      </c>
      <c r="B699" t="s">
        <v>44</v>
      </c>
      <c r="C699" t="s">
        <v>24</v>
      </c>
      <c r="D699" s="2">
        <v>135</v>
      </c>
      <c r="E699" s="2">
        <v>121924</v>
      </c>
      <c r="F699" t="s">
        <v>398</v>
      </c>
      <c r="G699">
        <v>11</v>
      </c>
      <c r="H699">
        <v>11</v>
      </c>
      <c r="I699">
        <v>0</v>
      </c>
      <c r="J699">
        <v>0</v>
      </c>
      <c r="K699">
        <v>0</v>
      </c>
      <c r="L699" s="6">
        <f t="shared" si="79"/>
        <v>1</v>
      </c>
      <c r="M699">
        <v>189</v>
      </c>
      <c r="N699">
        <v>33</v>
      </c>
      <c r="O699" s="9">
        <v>0</v>
      </c>
      <c r="P699">
        <v>0</v>
      </c>
      <c r="Q699">
        <v>74</v>
      </c>
      <c r="R699">
        <v>0</v>
      </c>
      <c r="S699">
        <v>80</v>
      </c>
      <c r="T699">
        <v>2</v>
      </c>
      <c r="U699" s="3">
        <f t="shared" si="84"/>
        <v>1</v>
      </c>
      <c r="V699" s="3">
        <f t="shared" si="85"/>
        <v>1</v>
      </c>
    </row>
    <row r="700" spans="1:22" x14ac:dyDescent="0.25">
      <c r="A700" s="2">
        <v>2017</v>
      </c>
      <c r="B700" t="s">
        <v>44</v>
      </c>
      <c r="C700" t="s">
        <v>24</v>
      </c>
      <c r="D700" s="2">
        <v>28</v>
      </c>
      <c r="E700" s="2">
        <v>4356</v>
      </c>
      <c r="F700" t="s">
        <v>360</v>
      </c>
      <c r="G700">
        <v>0</v>
      </c>
      <c r="H700">
        <v>0</v>
      </c>
      <c r="I700">
        <v>0</v>
      </c>
      <c r="J700">
        <v>0</v>
      </c>
      <c r="K700">
        <v>0</v>
      </c>
      <c r="L700" s="6">
        <f t="shared" si="79"/>
        <v>0</v>
      </c>
      <c r="M700">
        <v>1</v>
      </c>
      <c r="N700">
        <v>0</v>
      </c>
      <c r="O700" s="9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 s="3">
        <f t="shared" si="84"/>
        <v>1</v>
      </c>
      <c r="V700" s="3">
        <f t="shared" si="85"/>
        <v>1</v>
      </c>
    </row>
    <row r="701" spans="1:22" x14ac:dyDescent="0.25">
      <c r="A701" s="2">
        <v>2017</v>
      </c>
      <c r="B701" t="s">
        <v>44</v>
      </c>
      <c r="C701" t="s">
        <v>24</v>
      </c>
      <c r="D701" s="2">
        <v>110</v>
      </c>
      <c r="E701" s="2">
        <v>118697</v>
      </c>
      <c r="F701" t="s">
        <v>399</v>
      </c>
      <c r="G701">
        <v>8</v>
      </c>
      <c r="H701">
        <v>8</v>
      </c>
      <c r="I701">
        <v>0</v>
      </c>
      <c r="J701">
        <v>0</v>
      </c>
      <c r="K701">
        <v>0</v>
      </c>
      <c r="L701" s="6">
        <f t="shared" si="79"/>
        <v>1</v>
      </c>
      <c r="M701">
        <v>77</v>
      </c>
      <c r="N701">
        <v>16</v>
      </c>
      <c r="O701" s="9">
        <v>0</v>
      </c>
      <c r="P701">
        <v>0</v>
      </c>
      <c r="Q701">
        <v>34</v>
      </c>
      <c r="R701">
        <v>0</v>
      </c>
      <c r="S701">
        <v>27</v>
      </c>
      <c r="T701">
        <v>0</v>
      </c>
      <c r="U701" s="3">
        <f t="shared" si="84"/>
        <v>1</v>
      </c>
      <c r="V701" s="3">
        <f t="shared" si="85"/>
        <v>1</v>
      </c>
    </row>
    <row r="702" spans="1:22" x14ac:dyDescent="0.25">
      <c r="A702" s="2">
        <v>2017</v>
      </c>
      <c r="B702" t="s">
        <v>44</v>
      </c>
      <c r="C702" t="s">
        <v>24</v>
      </c>
      <c r="D702" s="2">
        <v>85</v>
      </c>
      <c r="E702" s="2">
        <v>10528</v>
      </c>
      <c r="F702" t="s">
        <v>400</v>
      </c>
      <c r="G702">
        <v>10</v>
      </c>
      <c r="H702">
        <v>10</v>
      </c>
      <c r="I702">
        <v>0</v>
      </c>
      <c r="J702">
        <v>0</v>
      </c>
      <c r="K702">
        <v>0</v>
      </c>
      <c r="L702" s="6">
        <f t="shared" si="79"/>
        <v>1</v>
      </c>
      <c r="M702">
        <v>155</v>
      </c>
      <c r="N702">
        <v>22</v>
      </c>
      <c r="O702" s="9">
        <v>0</v>
      </c>
      <c r="P702">
        <v>1</v>
      </c>
      <c r="Q702">
        <v>60</v>
      </c>
      <c r="R702">
        <v>2</v>
      </c>
      <c r="S702">
        <v>69</v>
      </c>
      <c r="T702">
        <v>1</v>
      </c>
      <c r="U702" s="3">
        <f t="shared" si="84"/>
        <v>0.98064516129032253</v>
      </c>
      <c r="V702" s="3">
        <f t="shared" si="85"/>
        <v>0.98181818181818181</v>
      </c>
    </row>
    <row r="703" spans="1:22" x14ac:dyDescent="0.25">
      <c r="A703" s="2">
        <v>2017</v>
      </c>
      <c r="B703" t="s">
        <v>44</v>
      </c>
      <c r="C703" t="s">
        <v>24</v>
      </c>
      <c r="D703" s="2">
        <v>93</v>
      </c>
      <c r="E703" s="2">
        <v>118657</v>
      </c>
      <c r="F703" t="s">
        <v>401</v>
      </c>
      <c r="G703">
        <v>10</v>
      </c>
      <c r="H703">
        <v>10</v>
      </c>
      <c r="I703">
        <v>0</v>
      </c>
      <c r="J703">
        <v>0</v>
      </c>
      <c r="K703">
        <v>0</v>
      </c>
      <c r="L703" s="6">
        <f t="shared" si="79"/>
        <v>1</v>
      </c>
      <c r="M703">
        <v>176</v>
      </c>
      <c r="N703">
        <v>43</v>
      </c>
      <c r="O703" s="9">
        <v>0</v>
      </c>
      <c r="P703">
        <v>0</v>
      </c>
      <c r="Q703">
        <v>77</v>
      </c>
      <c r="R703">
        <v>0</v>
      </c>
      <c r="S703">
        <v>55</v>
      </c>
      <c r="T703">
        <v>1</v>
      </c>
      <c r="U703" s="3">
        <f t="shared" si="84"/>
        <v>1</v>
      </c>
      <c r="V703" s="3">
        <f t="shared" si="85"/>
        <v>1</v>
      </c>
    </row>
    <row r="704" spans="1:22" x14ac:dyDescent="0.25">
      <c r="A704" s="2">
        <v>2017</v>
      </c>
      <c r="B704" t="s">
        <v>44</v>
      </c>
      <c r="C704" t="s">
        <v>24</v>
      </c>
      <c r="D704" s="2">
        <v>36</v>
      </c>
      <c r="E704" s="2">
        <v>118472</v>
      </c>
      <c r="F704" t="s">
        <v>503</v>
      </c>
      <c r="G704">
        <v>15</v>
      </c>
      <c r="H704">
        <v>15</v>
      </c>
      <c r="I704">
        <v>0</v>
      </c>
      <c r="J704">
        <v>0</v>
      </c>
      <c r="K704">
        <v>0</v>
      </c>
      <c r="L704" s="6">
        <f t="shared" si="79"/>
        <v>1</v>
      </c>
      <c r="M704">
        <v>280</v>
      </c>
      <c r="N704">
        <v>51</v>
      </c>
      <c r="O704" s="9">
        <v>0</v>
      </c>
      <c r="P704">
        <v>4</v>
      </c>
      <c r="Q704">
        <v>130</v>
      </c>
      <c r="R704">
        <v>2</v>
      </c>
      <c r="S704">
        <v>93</v>
      </c>
      <c r="T704">
        <v>0</v>
      </c>
      <c r="U704" s="3">
        <f t="shared" si="84"/>
        <v>0.97857142857142854</v>
      </c>
      <c r="V704" s="3">
        <f t="shared" si="85"/>
        <v>0.97966101694915253</v>
      </c>
    </row>
    <row r="705" spans="1:22" x14ac:dyDescent="0.25">
      <c r="A705" s="2">
        <v>2017</v>
      </c>
      <c r="B705" t="s">
        <v>44</v>
      </c>
      <c r="C705" t="s">
        <v>24</v>
      </c>
      <c r="D705" s="2">
        <v>1</v>
      </c>
      <c r="E705" s="2">
        <v>6777</v>
      </c>
      <c r="F705" t="s">
        <v>34</v>
      </c>
      <c r="G705">
        <v>0</v>
      </c>
      <c r="H705">
        <v>0</v>
      </c>
      <c r="I705">
        <v>0</v>
      </c>
      <c r="J705">
        <v>0</v>
      </c>
      <c r="K705">
        <v>0</v>
      </c>
      <c r="L705" s="6">
        <f t="shared" si="79"/>
        <v>0</v>
      </c>
      <c r="M705">
        <v>2</v>
      </c>
      <c r="N705">
        <v>1</v>
      </c>
      <c r="O705" s="9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 s="3">
        <f t="shared" si="84"/>
        <v>1</v>
      </c>
      <c r="V705" s="3">
        <f t="shared" si="85"/>
        <v>1</v>
      </c>
    </row>
    <row r="706" spans="1:22" x14ac:dyDescent="0.25">
      <c r="A706" s="2">
        <v>2017</v>
      </c>
      <c r="B706" t="s">
        <v>44</v>
      </c>
      <c r="C706" t="s">
        <v>24</v>
      </c>
      <c r="D706" s="2">
        <v>102</v>
      </c>
      <c r="E706" s="2">
        <v>119090</v>
      </c>
      <c r="F706" t="s">
        <v>402</v>
      </c>
      <c r="G706">
        <v>5</v>
      </c>
      <c r="H706">
        <v>5</v>
      </c>
      <c r="I706">
        <v>0</v>
      </c>
      <c r="J706">
        <v>0</v>
      </c>
      <c r="K706">
        <v>0</v>
      </c>
      <c r="L706" s="6">
        <f t="shared" ref="L706:L736" si="86">IF(G706=0,0,SUM(H706:J706)/G706)</f>
        <v>1</v>
      </c>
      <c r="M706">
        <v>180</v>
      </c>
      <c r="N706">
        <v>51</v>
      </c>
      <c r="O706" s="9">
        <v>0</v>
      </c>
      <c r="P706">
        <v>0</v>
      </c>
      <c r="Q706">
        <v>69</v>
      </c>
      <c r="R706">
        <v>0</v>
      </c>
      <c r="S706">
        <v>60</v>
      </c>
      <c r="T706">
        <v>0</v>
      </c>
      <c r="U706" s="3">
        <f t="shared" si="84"/>
        <v>1</v>
      </c>
      <c r="V706" s="3">
        <f t="shared" si="85"/>
        <v>1</v>
      </c>
    </row>
    <row r="707" spans="1:22" x14ac:dyDescent="0.25">
      <c r="A707" s="2">
        <v>2017</v>
      </c>
      <c r="B707" t="s">
        <v>44</v>
      </c>
      <c r="C707" t="s">
        <v>24</v>
      </c>
      <c r="D707" s="2">
        <v>40</v>
      </c>
      <c r="E707" s="2">
        <v>6831</v>
      </c>
      <c r="F707" t="s">
        <v>28</v>
      </c>
      <c r="G707">
        <v>19</v>
      </c>
      <c r="H707">
        <v>19</v>
      </c>
      <c r="I707">
        <v>0</v>
      </c>
      <c r="J707">
        <v>0</v>
      </c>
      <c r="K707">
        <v>0</v>
      </c>
      <c r="L707" s="6">
        <f t="shared" si="86"/>
        <v>1</v>
      </c>
      <c r="M707">
        <v>354</v>
      </c>
      <c r="N707">
        <v>68</v>
      </c>
      <c r="O707" s="9">
        <v>0</v>
      </c>
      <c r="P707">
        <v>0</v>
      </c>
      <c r="Q707">
        <v>165</v>
      </c>
      <c r="R707">
        <v>1</v>
      </c>
      <c r="S707">
        <v>119</v>
      </c>
      <c r="T707">
        <v>1</v>
      </c>
      <c r="U707" s="3">
        <f t="shared" si="84"/>
        <v>0.99717514124293782</v>
      </c>
      <c r="V707" s="3">
        <f t="shared" si="85"/>
        <v>0.99731903485254692</v>
      </c>
    </row>
    <row r="708" spans="1:22" x14ac:dyDescent="0.25">
      <c r="A708" s="2">
        <v>2017</v>
      </c>
      <c r="B708" t="s">
        <v>44</v>
      </c>
      <c r="C708" t="s">
        <v>24</v>
      </c>
      <c r="D708" s="2">
        <v>111</v>
      </c>
      <c r="E708" s="2">
        <v>118696</v>
      </c>
      <c r="F708" t="s">
        <v>404</v>
      </c>
      <c r="G708">
        <v>0</v>
      </c>
      <c r="H708">
        <v>0</v>
      </c>
      <c r="I708">
        <v>0</v>
      </c>
      <c r="J708">
        <v>0</v>
      </c>
      <c r="K708">
        <v>0</v>
      </c>
      <c r="L708" s="6">
        <f t="shared" si="86"/>
        <v>0</v>
      </c>
      <c r="M708">
        <v>1</v>
      </c>
      <c r="N708">
        <v>0</v>
      </c>
      <c r="O708" s="9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 s="3">
        <f t="shared" si="84"/>
        <v>1</v>
      </c>
      <c r="V708" s="3">
        <f t="shared" si="85"/>
        <v>1</v>
      </c>
    </row>
    <row r="709" spans="1:22" x14ac:dyDescent="0.25">
      <c r="A709" s="2">
        <v>2017</v>
      </c>
      <c r="B709" t="s">
        <v>44</v>
      </c>
      <c r="C709" t="s">
        <v>24</v>
      </c>
      <c r="D709" s="2">
        <v>139</v>
      </c>
      <c r="E709" s="2">
        <v>122085</v>
      </c>
      <c r="F709" t="s">
        <v>405</v>
      </c>
      <c r="G709">
        <v>8</v>
      </c>
      <c r="H709">
        <v>8</v>
      </c>
      <c r="I709">
        <v>0</v>
      </c>
      <c r="J709">
        <v>0</v>
      </c>
      <c r="K709">
        <v>0</v>
      </c>
      <c r="L709" s="6">
        <f t="shared" si="86"/>
        <v>1</v>
      </c>
      <c r="M709">
        <v>229</v>
      </c>
      <c r="N709">
        <v>46</v>
      </c>
      <c r="O709" s="9">
        <v>0</v>
      </c>
      <c r="P709">
        <v>1</v>
      </c>
      <c r="Q709">
        <v>97</v>
      </c>
      <c r="R709">
        <v>0</v>
      </c>
      <c r="S709">
        <v>85</v>
      </c>
      <c r="T709">
        <v>0</v>
      </c>
      <c r="U709" s="3">
        <f t="shared" si="84"/>
        <v>0.99563318777292575</v>
      </c>
      <c r="V709" s="3">
        <f t="shared" si="85"/>
        <v>0.99578059071729963</v>
      </c>
    </row>
    <row r="710" spans="1:22" x14ac:dyDescent="0.25">
      <c r="A710" s="2">
        <v>2017</v>
      </c>
      <c r="B710" t="s">
        <v>44</v>
      </c>
      <c r="C710" t="s">
        <v>24</v>
      </c>
      <c r="D710" s="2">
        <v>134</v>
      </c>
      <c r="E710" s="2">
        <v>4968</v>
      </c>
      <c r="F710" t="s">
        <v>29</v>
      </c>
      <c r="G710">
        <v>16</v>
      </c>
      <c r="H710">
        <v>16</v>
      </c>
      <c r="I710">
        <v>0</v>
      </c>
      <c r="J710">
        <v>0</v>
      </c>
      <c r="K710">
        <v>0</v>
      </c>
      <c r="L710" s="6">
        <f t="shared" si="86"/>
        <v>1</v>
      </c>
      <c r="M710">
        <v>275</v>
      </c>
      <c r="N710">
        <v>55</v>
      </c>
      <c r="O710" s="9">
        <v>0</v>
      </c>
      <c r="P710">
        <v>2</v>
      </c>
      <c r="Q710">
        <v>122</v>
      </c>
      <c r="R710">
        <v>6</v>
      </c>
      <c r="S710">
        <v>90</v>
      </c>
      <c r="T710">
        <v>0</v>
      </c>
      <c r="U710" s="3">
        <f t="shared" si="84"/>
        <v>0.97090909090909094</v>
      </c>
      <c r="V710" s="3">
        <f t="shared" si="85"/>
        <v>0.97250859106529208</v>
      </c>
    </row>
    <row r="711" spans="1:22" x14ac:dyDescent="0.25">
      <c r="A711" s="2">
        <v>2017</v>
      </c>
      <c r="B711" t="s">
        <v>44</v>
      </c>
      <c r="C711" t="s">
        <v>24</v>
      </c>
      <c r="D711" s="2">
        <v>131</v>
      </c>
      <c r="E711" s="2">
        <v>121355</v>
      </c>
      <c r="F711" t="s">
        <v>504</v>
      </c>
      <c r="G711">
        <v>1</v>
      </c>
      <c r="H711">
        <v>1</v>
      </c>
      <c r="I711">
        <v>0</v>
      </c>
      <c r="J711">
        <v>0</v>
      </c>
      <c r="K711">
        <v>0</v>
      </c>
      <c r="L711" s="6">
        <f t="shared" si="86"/>
        <v>1</v>
      </c>
      <c r="M711">
        <v>102</v>
      </c>
      <c r="N711">
        <v>26</v>
      </c>
      <c r="O711" s="9">
        <v>0</v>
      </c>
      <c r="P711">
        <v>0</v>
      </c>
      <c r="Q711">
        <v>45</v>
      </c>
      <c r="R711">
        <v>0</v>
      </c>
      <c r="S711">
        <v>30</v>
      </c>
      <c r="T711">
        <v>1</v>
      </c>
      <c r="U711" s="3">
        <f t="shared" si="84"/>
        <v>1</v>
      </c>
      <c r="V711" s="3">
        <f t="shared" si="85"/>
        <v>1</v>
      </c>
    </row>
    <row r="712" spans="1:22" x14ac:dyDescent="0.25">
      <c r="A712" s="2">
        <v>2017</v>
      </c>
      <c r="B712" t="s">
        <v>44</v>
      </c>
      <c r="C712" t="s">
        <v>24</v>
      </c>
      <c r="D712" s="2">
        <v>138</v>
      </c>
      <c r="E712" s="2">
        <v>122073</v>
      </c>
      <c r="F712" t="s">
        <v>406</v>
      </c>
      <c r="G712">
        <v>13</v>
      </c>
      <c r="H712">
        <v>13</v>
      </c>
      <c r="I712">
        <v>0</v>
      </c>
      <c r="J712">
        <v>0</v>
      </c>
      <c r="K712">
        <v>0</v>
      </c>
      <c r="L712" s="6">
        <f t="shared" si="86"/>
        <v>1</v>
      </c>
      <c r="M712">
        <v>273</v>
      </c>
      <c r="N712">
        <v>47</v>
      </c>
      <c r="O712" s="9">
        <v>0</v>
      </c>
      <c r="P712">
        <v>1</v>
      </c>
      <c r="Q712">
        <v>123</v>
      </c>
      <c r="R712">
        <v>0</v>
      </c>
      <c r="S712">
        <v>100</v>
      </c>
      <c r="T712">
        <v>2</v>
      </c>
      <c r="U712" s="3">
        <f t="shared" si="84"/>
        <v>0.99633699633699635</v>
      </c>
      <c r="V712" s="3">
        <f t="shared" si="85"/>
        <v>0.99650349650349646</v>
      </c>
    </row>
    <row r="713" spans="1:22" x14ac:dyDescent="0.25">
      <c r="A713" s="2">
        <v>2017</v>
      </c>
      <c r="B713" t="s">
        <v>44</v>
      </c>
      <c r="C713" t="s">
        <v>24</v>
      </c>
      <c r="D713" s="2">
        <v>150</v>
      </c>
      <c r="E713" s="2">
        <v>123118</v>
      </c>
      <c r="F713" t="s">
        <v>30</v>
      </c>
      <c r="G713">
        <v>7</v>
      </c>
      <c r="H713">
        <v>7</v>
      </c>
      <c r="I713">
        <v>0</v>
      </c>
      <c r="J713">
        <v>0</v>
      </c>
      <c r="K713">
        <v>0</v>
      </c>
      <c r="L713" s="6">
        <f t="shared" si="86"/>
        <v>1</v>
      </c>
      <c r="M713">
        <v>204</v>
      </c>
      <c r="N713">
        <v>41</v>
      </c>
      <c r="O713" s="9">
        <v>0</v>
      </c>
      <c r="P713">
        <v>0</v>
      </c>
      <c r="Q713">
        <v>98</v>
      </c>
      <c r="R713">
        <v>0</v>
      </c>
      <c r="S713">
        <v>65</v>
      </c>
      <c r="T713">
        <v>0</v>
      </c>
      <c r="U713" s="3">
        <f t="shared" si="84"/>
        <v>1</v>
      </c>
      <c r="V713" s="3">
        <f t="shared" si="85"/>
        <v>1</v>
      </c>
    </row>
    <row r="714" spans="1:22" x14ac:dyDescent="0.25">
      <c r="A714" s="2">
        <v>2017</v>
      </c>
      <c r="B714" t="s">
        <v>44</v>
      </c>
      <c r="C714" t="s">
        <v>24</v>
      </c>
      <c r="D714" s="2">
        <v>151</v>
      </c>
      <c r="E714" s="2">
        <v>123113</v>
      </c>
      <c r="F714" t="s">
        <v>424</v>
      </c>
      <c r="G714">
        <v>10</v>
      </c>
      <c r="H714">
        <v>10</v>
      </c>
      <c r="I714">
        <v>0</v>
      </c>
      <c r="J714">
        <v>0</v>
      </c>
      <c r="K714">
        <v>0</v>
      </c>
      <c r="L714" s="6">
        <f t="shared" si="86"/>
        <v>1</v>
      </c>
      <c r="M714">
        <v>114</v>
      </c>
      <c r="N714">
        <v>18</v>
      </c>
      <c r="O714" s="9">
        <v>0</v>
      </c>
      <c r="P714">
        <v>0</v>
      </c>
      <c r="Q714">
        <v>54</v>
      </c>
      <c r="R714">
        <v>0</v>
      </c>
      <c r="S714">
        <v>42</v>
      </c>
      <c r="T714">
        <v>0</v>
      </c>
      <c r="U714" s="3">
        <f t="shared" si="84"/>
        <v>1</v>
      </c>
      <c r="V714" s="3">
        <f t="shared" si="85"/>
        <v>1</v>
      </c>
    </row>
    <row r="715" spans="1:22" x14ac:dyDescent="0.25">
      <c r="A715" s="2">
        <v>2017</v>
      </c>
      <c r="B715" t="s">
        <v>44</v>
      </c>
      <c r="C715" t="s">
        <v>24</v>
      </c>
      <c r="D715" s="2">
        <v>39</v>
      </c>
      <c r="E715" s="2">
        <v>6832</v>
      </c>
      <c r="F715" t="s">
        <v>407</v>
      </c>
      <c r="G715">
        <v>14</v>
      </c>
      <c r="H715">
        <v>14</v>
      </c>
      <c r="I715">
        <v>0</v>
      </c>
      <c r="J715">
        <v>0</v>
      </c>
      <c r="K715">
        <v>0</v>
      </c>
      <c r="L715" s="6">
        <f t="shared" si="86"/>
        <v>1</v>
      </c>
      <c r="M715">
        <v>261</v>
      </c>
      <c r="N715">
        <v>67</v>
      </c>
      <c r="O715" s="9">
        <v>0</v>
      </c>
      <c r="P715">
        <v>1</v>
      </c>
      <c r="Q715">
        <v>104</v>
      </c>
      <c r="R715">
        <v>0</v>
      </c>
      <c r="S715">
        <v>88</v>
      </c>
      <c r="T715">
        <v>1</v>
      </c>
      <c r="U715" s="3">
        <f t="shared" si="84"/>
        <v>0.99616858237547889</v>
      </c>
      <c r="V715" s="3">
        <f t="shared" si="85"/>
        <v>0.99636363636363634</v>
      </c>
    </row>
    <row r="716" spans="1:22" x14ac:dyDescent="0.25">
      <c r="A716" s="2">
        <v>2017</v>
      </c>
      <c r="B716" t="s">
        <v>44</v>
      </c>
      <c r="C716" t="s">
        <v>24</v>
      </c>
      <c r="D716" s="2">
        <v>129</v>
      </c>
      <c r="E716" s="2">
        <v>5246</v>
      </c>
      <c r="F716" t="s">
        <v>347</v>
      </c>
      <c r="G716">
        <v>0</v>
      </c>
      <c r="H716">
        <v>0</v>
      </c>
      <c r="I716">
        <v>0</v>
      </c>
      <c r="J716">
        <v>0</v>
      </c>
      <c r="K716">
        <v>0</v>
      </c>
      <c r="L716" s="6">
        <f t="shared" si="86"/>
        <v>0</v>
      </c>
      <c r="M716">
        <v>2</v>
      </c>
      <c r="N716">
        <v>0</v>
      </c>
      <c r="O716" s="9">
        <v>0</v>
      </c>
      <c r="P716">
        <v>0</v>
      </c>
      <c r="Q716">
        <v>1</v>
      </c>
      <c r="R716">
        <v>0</v>
      </c>
      <c r="S716">
        <v>1</v>
      </c>
      <c r="T716">
        <v>0</v>
      </c>
      <c r="U716" s="3">
        <f t="shared" si="84"/>
        <v>1</v>
      </c>
      <c r="V716" s="3">
        <f t="shared" si="85"/>
        <v>1</v>
      </c>
    </row>
    <row r="717" spans="1:22" x14ac:dyDescent="0.25">
      <c r="A717" s="2">
        <v>2017</v>
      </c>
      <c r="B717" t="s">
        <v>44</v>
      </c>
      <c r="C717" t="s">
        <v>24</v>
      </c>
      <c r="D717" s="2">
        <v>78</v>
      </c>
      <c r="E717" s="2">
        <v>8720</v>
      </c>
      <c r="F717" t="s">
        <v>408</v>
      </c>
      <c r="G717">
        <v>9</v>
      </c>
      <c r="H717">
        <v>9</v>
      </c>
      <c r="I717">
        <v>0</v>
      </c>
      <c r="J717">
        <v>0</v>
      </c>
      <c r="K717">
        <v>0</v>
      </c>
      <c r="L717" s="6">
        <f t="shared" si="86"/>
        <v>1</v>
      </c>
      <c r="M717">
        <v>162</v>
      </c>
      <c r="N717">
        <v>27</v>
      </c>
      <c r="O717" s="9">
        <v>0</v>
      </c>
      <c r="P717">
        <v>0</v>
      </c>
      <c r="Q717">
        <v>63</v>
      </c>
      <c r="R717">
        <v>0</v>
      </c>
      <c r="S717">
        <v>71</v>
      </c>
      <c r="T717">
        <v>1</v>
      </c>
      <c r="U717" s="3">
        <f t="shared" si="84"/>
        <v>1</v>
      </c>
      <c r="V717" s="3">
        <f t="shared" si="85"/>
        <v>1</v>
      </c>
    </row>
    <row r="718" spans="1:22" x14ac:dyDescent="0.25">
      <c r="A718" s="2">
        <v>2017</v>
      </c>
      <c r="B718" t="s">
        <v>44</v>
      </c>
      <c r="C718" t="s">
        <v>20</v>
      </c>
      <c r="D718" s="2">
        <v>528</v>
      </c>
      <c r="E718" s="2">
        <v>10623</v>
      </c>
      <c r="F718" t="s">
        <v>42</v>
      </c>
      <c r="G718">
        <v>0</v>
      </c>
      <c r="H718">
        <v>0</v>
      </c>
      <c r="I718">
        <v>0</v>
      </c>
      <c r="J718">
        <v>0</v>
      </c>
      <c r="K718">
        <v>0</v>
      </c>
      <c r="L718" s="6">
        <f t="shared" si="86"/>
        <v>0</v>
      </c>
      <c r="M718">
        <v>3</v>
      </c>
      <c r="N718">
        <v>0</v>
      </c>
      <c r="O718" s="9">
        <v>0</v>
      </c>
      <c r="P718">
        <v>0</v>
      </c>
      <c r="Q718">
        <v>2</v>
      </c>
      <c r="R718">
        <v>0</v>
      </c>
      <c r="S718">
        <v>1</v>
      </c>
      <c r="T718">
        <v>0</v>
      </c>
      <c r="U718" s="3">
        <f t="shared" si="84"/>
        <v>1</v>
      </c>
      <c r="V718" s="3">
        <f t="shared" si="85"/>
        <v>1</v>
      </c>
    </row>
    <row r="719" spans="1:22" x14ac:dyDescent="0.25">
      <c r="A719" s="2">
        <v>2017</v>
      </c>
      <c r="B719" t="s">
        <v>44</v>
      </c>
      <c r="C719" t="s">
        <v>20</v>
      </c>
      <c r="D719" s="2">
        <v>578</v>
      </c>
      <c r="E719" s="2">
        <v>122349</v>
      </c>
      <c r="F719" t="s">
        <v>43</v>
      </c>
      <c r="G719">
        <v>11</v>
      </c>
      <c r="H719">
        <v>10</v>
      </c>
      <c r="I719">
        <v>1</v>
      </c>
      <c r="J719">
        <v>0</v>
      </c>
      <c r="K719">
        <v>0</v>
      </c>
      <c r="L719" s="6">
        <f t="shared" si="86"/>
        <v>1</v>
      </c>
      <c r="M719">
        <v>139</v>
      </c>
      <c r="N719">
        <v>16</v>
      </c>
      <c r="O719" s="9">
        <v>0</v>
      </c>
      <c r="P719">
        <v>0</v>
      </c>
      <c r="Q719">
        <v>76</v>
      </c>
      <c r="R719">
        <v>0</v>
      </c>
      <c r="S719">
        <v>44</v>
      </c>
      <c r="T719">
        <v>3</v>
      </c>
      <c r="U719" s="3">
        <f t="shared" ref="U719:U741" si="87">IF(M719=0,0,((N719+O719+Q719+S719+T719)/M719))</f>
        <v>1</v>
      </c>
      <c r="V719" s="3">
        <f t="shared" ref="V719:V741" si="88">(H719+I719+J719+N719+Q719+S719+T719)/(G719+M719)</f>
        <v>1</v>
      </c>
    </row>
    <row r="720" spans="1:22" x14ac:dyDescent="0.25">
      <c r="A720" s="2">
        <v>2017</v>
      </c>
      <c r="B720" t="s">
        <v>44</v>
      </c>
      <c r="C720" t="s">
        <v>20</v>
      </c>
      <c r="D720" s="2">
        <v>537</v>
      </c>
      <c r="E720" s="2">
        <v>118663</v>
      </c>
      <c r="F720" t="s">
        <v>425</v>
      </c>
      <c r="G720">
        <v>4</v>
      </c>
      <c r="H720">
        <v>4</v>
      </c>
      <c r="I720">
        <v>0</v>
      </c>
      <c r="J720">
        <v>0</v>
      </c>
      <c r="K720">
        <v>0</v>
      </c>
      <c r="L720" s="6">
        <f t="shared" si="86"/>
        <v>1</v>
      </c>
      <c r="M720">
        <v>38</v>
      </c>
      <c r="N720">
        <v>4</v>
      </c>
      <c r="O720" s="9">
        <v>0</v>
      </c>
      <c r="P720">
        <v>0</v>
      </c>
      <c r="Q720">
        <v>15</v>
      </c>
      <c r="R720">
        <v>0</v>
      </c>
      <c r="S720">
        <v>17</v>
      </c>
      <c r="T720">
        <v>2</v>
      </c>
      <c r="U720" s="3">
        <f t="shared" si="87"/>
        <v>1</v>
      </c>
      <c r="V720" s="3">
        <f t="shared" si="88"/>
        <v>1</v>
      </c>
    </row>
    <row r="721" spans="1:22" x14ac:dyDescent="0.25">
      <c r="A721" s="2">
        <v>2017</v>
      </c>
      <c r="B721" t="s">
        <v>44</v>
      </c>
      <c r="C721" t="s">
        <v>20</v>
      </c>
      <c r="D721" s="2">
        <v>819</v>
      </c>
      <c r="E721" s="2">
        <v>5952</v>
      </c>
      <c r="F721" t="s">
        <v>333</v>
      </c>
      <c r="G721">
        <v>3</v>
      </c>
      <c r="H721">
        <v>3</v>
      </c>
      <c r="I721">
        <v>0</v>
      </c>
      <c r="J721">
        <v>0</v>
      </c>
      <c r="K721">
        <v>0</v>
      </c>
      <c r="L721" s="6">
        <f t="shared" si="86"/>
        <v>1</v>
      </c>
      <c r="M721">
        <v>45</v>
      </c>
      <c r="N721">
        <v>5</v>
      </c>
      <c r="O721" s="9">
        <v>0</v>
      </c>
      <c r="P721">
        <v>0</v>
      </c>
      <c r="Q721">
        <v>23</v>
      </c>
      <c r="R721">
        <v>0</v>
      </c>
      <c r="S721">
        <v>16</v>
      </c>
      <c r="T721">
        <v>1</v>
      </c>
      <c r="U721" s="3">
        <f t="shared" si="87"/>
        <v>1</v>
      </c>
      <c r="V721" s="3">
        <f t="shared" si="88"/>
        <v>1</v>
      </c>
    </row>
    <row r="722" spans="1:22" x14ac:dyDescent="0.25">
      <c r="A722" s="2">
        <v>2017</v>
      </c>
      <c r="B722" t="s">
        <v>44</v>
      </c>
      <c r="C722" t="s">
        <v>20</v>
      </c>
      <c r="D722" s="2">
        <v>590</v>
      </c>
      <c r="E722" s="2">
        <v>122682</v>
      </c>
      <c r="F722" t="s">
        <v>334</v>
      </c>
      <c r="G722">
        <v>5</v>
      </c>
      <c r="H722">
        <v>5</v>
      </c>
      <c r="I722">
        <v>0</v>
      </c>
      <c r="J722">
        <v>0</v>
      </c>
      <c r="K722">
        <v>0</v>
      </c>
      <c r="L722" s="6">
        <f t="shared" si="86"/>
        <v>1</v>
      </c>
      <c r="M722">
        <v>179</v>
      </c>
      <c r="N722">
        <v>26</v>
      </c>
      <c r="O722" s="9">
        <v>0</v>
      </c>
      <c r="P722">
        <v>0</v>
      </c>
      <c r="Q722">
        <v>90</v>
      </c>
      <c r="R722">
        <v>0</v>
      </c>
      <c r="S722">
        <v>59</v>
      </c>
      <c r="T722">
        <v>4</v>
      </c>
      <c r="U722" s="3">
        <f t="shared" si="87"/>
        <v>1</v>
      </c>
      <c r="V722" s="3">
        <f t="shared" si="88"/>
        <v>1</v>
      </c>
    </row>
    <row r="723" spans="1:22" x14ac:dyDescent="0.25">
      <c r="A723" s="2">
        <v>2017</v>
      </c>
      <c r="B723" t="s">
        <v>44</v>
      </c>
      <c r="C723" t="s">
        <v>20</v>
      </c>
      <c r="D723" s="2">
        <v>586</v>
      </c>
      <c r="E723" s="2">
        <v>122754</v>
      </c>
      <c r="F723" t="s">
        <v>335</v>
      </c>
      <c r="G723">
        <v>12</v>
      </c>
      <c r="H723">
        <v>12</v>
      </c>
      <c r="I723">
        <v>0</v>
      </c>
      <c r="J723">
        <v>0</v>
      </c>
      <c r="K723">
        <v>0</v>
      </c>
      <c r="L723" s="6">
        <f t="shared" si="86"/>
        <v>1</v>
      </c>
      <c r="M723">
        <v>174</v>
      </c>
      <c r="N723">
        <v>28</v>
      </c>
      <c r="O723" s="9">
        <v>0</v>
      </c>
      <c r="P723">
        <v>0</v>
      </c>
      <c r="Q723">
        <v>88</v>
      </c>
      <c r="R723">
        <v>0</v>
      </c>
      <c r="S723">
        <v>54</v>
      </c>
      <c r="T723">
        <v>4</v>
      </c>
      <c r="U723" s="3">
        <f t="shared" si="87"/>
        <v>1</v>
      </c>
      <c r="V723" s="3">
        <f t="shared" si="88"/>
        <v>1</v>
      </c>
    </row>
    <row r="724" spans="1:22" x14ac:dyDescent="0.25">
      <c r="A724" s="2">
        <v>2017</v>
      </c>
      <c r="B724" t="s">
        <v>44</v>
      </c>
      <c r="C724" t="s">
        <v>20</v>
      </c>
      <c r="D724" s="2">
        <v>527</v>
      </c>
      <c r="E724" s="2">
        <v>9715</v>
      </c>
      <c r="F724" t="s">
        <v>337</v>
      </c>
      <c r="G724">
        <v>56</v>
      </c>
      <c r="H724">
        <v>56</v>
      </c>
      <c r="I724">
        <v>0</v>
      </c>
      <c r="J724">
        <v>0</v>
      </c>
      <c r="K724">
        <v>0</v>
      </c>
      <c r="L724" s="6">
        <f t="shared" si="86"/>
        <v>1</v>
      </c>
      <c r="M724">
        <v>505</v>
      </c>
      <c r="N724">
        <v>54</v>
      </c>
      <c r="O724" s="9">
        <v>0</v>
      </c>
      <c r="P724">
        <v>0</v>
      </c>
      <c r="Q724">
        <v>247</v>
      </c>
      <c r="R724">
        <v>0</v>
      </c>
      <c r="S724">
        <v>203</v>
      </c>
      <c r="T724">
        <v>1</v>
      </c>
      <c r="U724" s="3">
        <f t="shared" si="87"/>
        <v>1</v>
      </c>
      <c r="V724" s="3">
        <f t="shared" si="88"/>
        <v>1</v>
      </c>
    </row>
    <row r="725" spans="1:22" x14ac:dyDescent="0.25">
      <c r="A725" s="2">
        <v>2017</v>
      </c>
      <c r="B725" t="s">
        <v>44</v>
      </c>
      <c r="C725" t="s">
        <v>20</v>
      </c>
      <c r="D725" s="2">
        <v>548</v>
      </c>
      <c r="E725" s="2">
        <v>10618</v>
      </c>
      <c r="F725" t="s">
        <v>338</v>
      </c>
      <c r="G725">
        <v>5</v>
      </c>
      <c r="H725">
        <v>5</v>
      </c>
      <c r="I725">
        <v>0</v>
      </c>
      <c r="J725">
        <v>0</v>
      </c>
      <c r="K725">
        <v>0</v>
      </c>
      <c r="L725" s="6">
        <f t="shared" si="86"/>
        <v>1</v>
      </c>
      <c r="M725">
        <v>43</v>
      </c>
      <c r="N725">
        <v>3</v>
      </c>
      <c r="O725" s="9">
        <v>0</v>
      </c>
      <c r="P725">
        <v>0</v>
      </c>
      <c r="Q725">
        <v>21</v>
      </c>
      <c r="R725">
        <v>0</v>
      </c>
      <c r="S725">
        <v>19</v>
      </c>
      <c r="T725">
        <v>0</v>
      </c>
      <c r="U725" s="3">
        <f t="shared" si="87"/>
        <v>1</v>
      </c>
      <c r="V725" s="3">
        <f t="shared" si="88"/>
        <v>1</v>
      </c>
    </row>
    <row r="726" spans="1:22" x14ac:dyDescent="0.25">
      <c r="A726" s="2">
        <v>2017</v>
      </c>
      <c r="B726" t="s">
        <v>44</v>
      </c>
      <c r="C726" t="s">
        <v>20</v>
      </c>
      <c r="D726" s="2">
        <v>587</v>
      </c>
      <c r="E726" s="2">
        <v>5597</v>
      </c>
      <c r="F726" t="s">
        <v>33</v>
      </c>
      <c r="G726">
        <v>6</v>
      </c>
      <c r="H726">
        <v>6</v>
      </c>
      <c r="I726">
        <v>0</v>
      </c>
      <c r="J726">
        <v>0</v>
      </c>
      <c r="K726">
        <v>0</v>
      </c>
      <c r="L726" s="6">
        <f t="shared" si="86"/>
        <v>1</v>
      </c>
      <c r="M726">
        <v>57</v>
      </c>
      <c r="N726">
        <v>12</v>
      </c>
      <c r="O726" s="9">
        <v>0</v>
      </c>
      <c r="P726">
        <v>0</v>
      </c>
      <c r="Q726">
        <v>20</v>
      </c>
      <c r="R726">
        <v>0</v>
      </c>
      <c r="S726">
        <v>25</v>
      </c>
      <c r="T726">
        <v>0</v>
      </c>
      <c r="U726" s="3">
        <f t="shared" si="87"/>
        <v>1</v>
      </c>
      <c r="V726" s="3">
        <f t="shared" si="88"/>
        <v>1</v>
      </c>
    </row>
    <row r="727" spans="1:22" x14ac:dyDescent="0.25">
      <c r="A727" s="2">
        <v>2017</v>
      </c>
      <c r="B727" t="s">
        <v>44</v>
      </c>
      <c r="C727" t="s">
        <v>20</v>
      </c>
      <c r="D727" s="2">
        <v>404</v>
      </c>
      <c r="E727" s="2">
        <v>6777</v>
      </c>
      <c r="F727" t="s">
        <v>34</v>
      </c>
      <c r="G727">
        <v>10</v>
      </c>
      <c r="H727">
        <v>10</v>
      </c>
      <c r="I727">
        <v>0</v>
      </c>
      <c r="J727">
        <v>0</v>
      </c>
      <c r="K727">
        <v>0</v>
      </c>
      <c r="L727" s="6">
        <f t="shared" si="86"/>
        <v>1</v>
      </c>
      <c r="M727">
        <v>135</v>
      </c>
      <c r="N727">
        <v>14</v>
      </c>
      <c r="O727" s="9">
        <v>0</v>
      </c>
      <c r="P727">
        <v>0</v>
      </c>
      <c r="Q727">
        <v>58</v>
      </c>
      <c r="R727">
        <v>0</v>
      </c>
      <c r="S727">
        <v>63</v>
      </c>
      <c r="T727">
        <v>0</v>
      </c>
      <c r="U727" s="3">
        <f t="shared" si="87"/>
        <v>1</v>
      </c>
      <c r="V727" s="3">
        <f t="shared" si="88"/>
        <v>1</v>
      </c>
    </row>
    <row r="728" spans="1:22" x14ac:dyDescent="0.25">
      <c r="A728" s="2">
        <v>2017</v>
      </c>
      <c r="B728" t="s">
        <v>44</v>
      </c>
      <c r="C728" t="s">
        <v>20</v>
      </c>
      <c r="D728" s="2">
        <v>559</v>
      </c>
      <c r="E728" s="2">
        <v>8697</v>
      </c>
      <c r="F728" t="s">
        <v>368</v>
      </c>
      <c r="G728">
        <v>10</v>
      </c>
      <c r="H728">
        <v>10</v>
      </c>
      <c r="I728">
        <v>0</v>
      </c>
      <c r="J728">
        <v>0</v>
      </c>
      <c r="K728">
        <v>0</v>
      </c>
      <c r="L728" s="6">
        <f t="shared" si="86"/>
        <v>1</v>
      </c>
      <c r="M728">
        <v>270</v>
      </c>
      <c r="N728">
        <v>38</v>
      </c>
      <c r="O728" s="9">
        <v>0</v>
      </c>
      <c r="P728">
        <v>1</v>
      </c>
      <c r="Q728">
        <v>136</v>
      </c>
      <c r="R728">
        <v>0</v>
      </c>
      <c r="S728">
        <v>90</v>
      </c>
      <c r="T728">
        <v>5</v>
      </c>
      <c r="U728" s="3">
        <f t="shared" si="87"/>
        <v>0.99629629629629635</v>
      </c>
      <c r="V728" s="3">
        <f t="shared" si="88"/>
        <v>0.99642857142857144</v>
      </c>
    </row>
    <row r="729" spans="1:22" x14ac:dyDescent="0.25">
      <c r="A729" s="2">
        <v>2017</v>
      </c>
      <c r="B729" t="s">
        <v>44</v>
      </c>
      <c r="C729" t="s">
        <v>20</v>
      </c>
      <c r="D729" s="2">
        <v>455</v>
      </c>
      <c r="E729" s="2">
        <v>7401</v>
      </c>
      <c r="F729" t="s">
        <v>36</v>
      </c>
      <c r="G729">
        <v>14</v>
      </c>
      <c r="H729">
        <v>13</v>
      </c>
      <c r="I729">
        <v>0</v>
      </c>
      <c r="J729">
        <v>1</v>
      </c>
      <c r="K729">
        <v>0</v>
      </c>
      <c r="L729" s="6">
        <f t="shared" si="86"/>
        <v>1</v>
      </c>
      <c r="M729">
        <v>143</v>
      </c>
      <c r="N729">
        <v>12</v>
      </c>
      <c r="O729" s="9">
        <v>0</v>
      </c>
      <c r="P729">
        <v>0</v>
      </c>
      <c r="Q729">
        <v>71</v>
      </c>
      <c r="R729">
        <v>0</v>
      </c>
      <c r="S729">
        <v>58</v>
      </c>
      <c r="T729">
        <v>2</v>
      </c>
      <c r="U729" s="3">
        <f t="shared" si="87"/>
        <v>1</v>
      </c>
      <c r="V729" s="3">
        <f t="shared" si="88"/>
        <v>1</v>
      </c>
    </row>
    <row r="730" spans="1:22" x14ac:dyDescent="0.25">
      <c r="A730" s="2">
        <v>2017</v>
      </c>
      <c r="B730" t="s">
        <v>44</v>
      </c>
      <c r="C730" t="s">
        <v>20</v>
      </c>
      <c r="D730" s="2">
        <v>356</v>
      </c>
      <c r="E730" s="2">
        <v>1674</v>
      </c>
      <c r="F730" t="s">
        <v>340</v>
      </c>
      <c r="G730">
        <v>1</v>
      </c>
      <c r="H730">
        <v>1</v>
      </c>
      <c r="I730">
        <v>0</v>
      </c>
      <c r="J730">
        <v>0</v>
      </c>
      <c r="K730">
        <v>0</v>
      </c>
      <c r="L730" s="6">
        <f t="shared" si="86"/>
        <v>1</v>
      </c>
      <c r="M730">
        <v>48</v>
      </c>
      <c r="N730">
        <v>4</v>
      </c>
      <c r="O730" s="9">
        <v>0</v>
      </c>
      <c r="P730">
        <v>0</v>
      </c>
      <c r="Q730">
        <v>27</v>
      </c>
      <c r="R730">
        <v>0</v>
      </c>
      <c r="S730">
        <v>16</v>
      </c>
      <c r="T730">
        <v>1</v>
      </c>
      <c r="U730" s="3">
        <f t="shared" si="87"/>
        <v>1</v>
      </c>
      <c r="V730" s="3">
        <f t="shared" si="88"/>
        <v>1</v>
      </c>
    </row>
    <row r="731" spans="1:22" x14ac:dyDescent="0.25">
      <c r="A731" s="2">
        <v>2017</v>
      </c>
      <c r="B731" t="s">
        <v>44</v>
      </c>
      <c r="C731" t="s">
        <v>20</v>
      </c>
      <c r="D731" s="2">
        <v>842</v>
      </c>
      <c r="E731" s="2">
        <v>5618</v>
      </c>
      <c r="F731" t="s">
        <v>37</v>
      </c>
      <c r="G731">
        <v>2</v>
      </c>
      <c r="H731">
        <v>2</v>
      </c>
      <c r="I731">
        <v>0</v>
      </c>
      <c r="J731">
        <v>0</v>
      </c>
      <c r="K731">
        <v>0</v>
      </c>
      <c r="L731" s="6">
        <f t="shared" si="86"/>
        <v>1</v>
      </c>
      <c r="M731">
        <v>67</v>
      </c>
      <c r="N731">
        <v>9</v>
      </c>
      <c r="O731" s="9">
        <v>0</v>
      </c>
      <c r="P731">
        <v>0</v>
      </c>
      <c r="Q731">
        <v>20</v>
      </c>
      <c r="R731">
        <v>0</v>
      </c>
      <c r="S731">
        <v>37</v>
      </c>
      <c r="T731">
        <v>1</v>
      </c>
      <c r="U731" s="3">
        <f t="shared" si="87"/>
        <v>1</v>
      </c>
      <c r="V731" s="3">
        <f t="shared" si="88"/>
        <v>1</v>
      </c>
    </row>
    <row r="732" spans="1:22" x14ac:dyDescent="0.25">
      <c r="A732" s="2">
        <v>2017</v>
      </c>
      <c r="B732" t="s">
        <v>44</v>
      </c>
      <c r="C732" t="s">
        <v>20</v>
      </c>
      <c r="D732" s="2">
        <v>600</v>
      </c>
      <c r="E732" s="2">
        <v>222222222</v>
      </c>
      <c r="F732" t="s">
        <v>435</v>
      </c>
      <c r="G732">
        <v>0</v>
      </c>
      <c r="H732">
        <v>0</v>
      </c>
      <c r="I732">
        <v>0</v>
      </c>
      <c r="J732">
        <v>0</v>
      </c>
      <c r="K732">
        <v>0</v>
      </c>
      <c r="L732" s="6">
        <f t="shared" si="86"/>
        <v>0</v>
      </c>
      <c r="M732">
        <v>101</v>
      </c>
      <c r="N732">
        <v>14</v>
      </c>
      <c r="O732" s="9">
        <v>0</v>
      </c>
      <c r="P732">
        <v>0</v>
      </c>
      <c r="Q732">
        <v>67</v>
      </c>
      <c r="R732">
        <v>0</v>
      </c>
      <c r="S732">
        <v>20</v>
      </c>
      <c r="T732">
        <v>0</v>
      </c>
      <c r="U732" s="3">
        <f t="shared" si="87"/>
        <v>1</v>
      </c>
      <c r="V732" s="3">
        <f t="shared" si="88"/>
        <v>1</v>
      </c>
    </row>
    <row r="733" spans="1:22" x14ac:dyDescent="0.25">
      <c r="A733" s="2">
        <v>2017</v>
      </c>
      <c r="B733" t="s">
        <v>44</v>
      </c>
      <c r="C733" t="s">
        <v>20</v>
      </c>
      <c r="D733" s="2">
        <v>543</v>
      </c>
      <c r="E733" s="2">
        <v>10917</v>
      </c>
      <c r="F733" t="s">
        <v>341</v>
      </c>
      <c r="G733">
        <v>5</v>
      </c>
      <c r="H733">
        <v>5</v>
      </c>
      <c r="I733">
        <v>0</v>
      </c>
      <c r="J733">
        <v>0</v>
      </c>
      <c r="K733">
        <v>0</v>
      </c>
      <c r="L733" s="6">
        <f t="shared" si="86"/>
        <v>1</v>
      </c>
      <c r="M733">
        <v>127</v>
      </c>
      <c r="N733">
        <v>16</v>
      </c>
      <c r="O733" s="9">
        <v>0</v>
      </c>
      <c r="P733">
        <v>0</v>
      </c>
      <c r="Q733">
        <v>58</v>
      </c>
      <c r="R733">
        <v>0</v>
      </c>
      <c r="S733">
        <v>53</v>
      </c>
      <c r="T733">
        <v>0</v>
      </c>
      <c r="U733" s="3">
        <f t="shared" si="87"/>
        <v>1</v>
      </c>
      <c r="V733" s="3">
        <f t="shared" si="88"/>
        <v>1</v>
      </c>
    </row>
    <row r="734" spans="1:22" x14ac:dyDescent="0.25">
      <c r="A734" s="2">
        <v>2017</v>
      </c>
      <c r="B734" t="s">
        <v>44</v>
      </c>
      <c r="C734" t="s">
        <v>20</v>
      </c>
      <c r="D734" s="2">
        <v>565</v>
      </c>
      <c r="E734" s="2">
        <v>9507</v>
      </c>
      <c r="F734" t="s">
        <v>432</v>
      </c>
      <c r="G734">
        <v>6</v>
      </c>
      <c r="H734">
        <v>6</v>
      </c>
      <c r="I734">
        <v>0</v>
      </c>
      <c r="J734">
        <v>0</v>
      </c>
      <c r="K734">
        <v>0</v>
      </c>
      <c r="L734" s="6">
        <f t="shared" si="86"/>
        <v>1</v>
      </c>
      <c r="M734">
        <v>214</v>
      </c>
      <c r="N734">
        <v>31</v>
      </c>
      <c r="O734" s="9">
        <v>0</v>
      </c>
      <c r="P734">
        <v>0</v>
      </c>
      <c r="Q734">
        <v>111</v>
      </c>
      <c r="R734">
        <v>0</v>
      </c>
      <c r="S734">
        <v>69</v>
      </c>
      <c r="T734">
        <v>3</v>
      </c>
      <c r="U734" s="3">
        <f t="shared" si="87"/>
        <v>1</v>
      </c>
      <c r="V734" s="3">
        <f t="shared" si="88"/>
        <v>1</v>
      </c>
    </row>
    <row r="735" spans="1:22" x14ac:dyDescent="0.25">
      <c r="A735" s="2">
        <v>2017</v>
      </c>
      <c r="B735" t="s">
        <v>44</v>
      </c>
      <c r="C735" t="s">
        <v>20</v>
      </c>
      <c r="D735" s="2">
        <v>525</v>
      </c>
      <c r="E735" s="2">
        <v>10340</v>
      </c>
      <c r="F735" t="s">
        <v>343</v>
      </c>
      <c r="G735">
        <v>38</v>
      </c>
      <c r="H735">
        <v>38</v>
      </c>
      <c r="I735">
        <v>0</v>
      </c>
      <c r="J735">
        <v>0</v>
      </c>
      <c r="K735">
        <v>0</v>
      </c>
      <c r="L735" s="6">
        <f t="shared" si="86"/>
        <v>1</v>
      </c>
      <c r="M735">
        <v>332</v>
      </c>
      <c r="N735">
        <v>39</v>
      </c>
      <c r="O735" s="9">
        <v>0</v>
      </c>
      <c r="P735">
        <v>6</v>
      </c>
      <c r="Q735">
        <v>129</v>
      </c>
      <c r="R735">
        <v>4</v>
      </c>
      <c r="S735">
        <v>151</v>
      </c>
      <c r="T735">
        <v>3</v>
      </c>
      <c r="U735" s="3">
        <f t="shared" si="87"/>
        <v>0.96987951807228912</v>
      </c>
      <c r="V735" s="3">
        <f t="shared" si="88"/>
        <v>0.97297297297297303</v>
      </c>
    </row>
    <row r="736" spans="1:22" x14ac:dyDescent="0.25">
      <c r="A736" s="2">
        <v>2017</v>
      </c>
      <c r="B736" t="s">
        <v>44</v>
      </c>
      <c r="C736" t="s">
        <v>20</v>
      </c>
      <c r="D736" s="2">
        <v>588</v>
      </c>
      <c r="E736" s="2">
        <v>122737</v>
      </c>
      <c r="F736" t="s">
        <v>352</v>
      </c>
      <c r="G736">
        <v>2</v>
      </c>
      <c r="H736">
        <v>2</v>
      </c>
      <c r="I736">
        <v>0</v>
      </c>
      <c r="J736">
        <v>0</v>
      </c>
      <c r="K736">
        <v>0</v>
      </c>
      <c r="L736" s="6">
        <f t="shared" si="86"/>
        <v>1</v>
      </c>
      <c r="M736">
        <v>145</v>
      </c>
      <c r="N736">
        <v>11</v>
      </c>
      <c r="O736" s="9">
        <v>0</v>
      </c>
      <c r="P736">
        <v>0</v>
      </c>
      <c r="Q736">
        <v>98</v>
      </c>
      <c r="R736">
        <v>0</v>
      </c>
      <c r="S736">
        <v>35</v>
      </c>
      <c r="T736">
        <v>1</v>
      </c>
      <c r="U736" s="3">
        <f t="shared" si="87"/>
        <v>1</v>
      </c>
      <c r="V736" s="3">
        <f t="shared" si="88"/>
        <v>1</v>
      </c>
    </row>
    <row r="737" spans="1:22" x14ac:dyDescent="0.25">
      <c r="A737" s="2">
        <v>2017</v>
      </c>
      <c r="B737" t="s">
        <v>44</v>
      </c>
      <c r="C737" t="s">
        <v>20</v>
      </c>
      <c r="D737" s="2">
        <v>550</v>
      </c>
      <c r="E737" s="2">
        <v>119292</v>
      </c>
      <c r="F737" t="s">
        <v>344</v>
      </c>
      <c r="G737">
        <v>26</v>
      </c>
      <c r="H737">
        <v>26</v>
      </c>
      <c r="I737">
        <v>0</v>
      </c>
      <c r="J737">
        <v>0</v>
      </c>
      <c r="K737">
        <v>0</v>
      </c>
      <c r="L737" s="6">
        <f t="shared" ref="L737:L771" si="89">IF(G737=0,0,SUM(H737:J737)/G737)</f>
        <v>1</v>
      </c>
      <c r="M737">
        <v>255</v>
      </c>
      <c r="N737">
        <v>34</v>
      </c>
      <c r="O737" s="9">
        <v>0</v>
      </c>
      <c r="P737">
        <v>0</v>
      </c>
      <c r="Q737">
        <v>121</v>
      </c>
      <c r="R737">
        <v>0</v>
      </c>
      <c r="S737">
        <v>98</v>
      </c>
      <c r="T737">
        <v>2</v>
      </c>
      <c r="U737" s="3">
        <f t="shared" si="87"/>
        <v>1</v>
      </c>
      <c r="V737" s="3">
        <f t="shared" si="88"/>
        <v>1</v>
      </c>
    </row>
    <row r="738" spans="1:22" x14ac:dyDescent="0.25">
      <c r="A738" s="2">
        <v>2017</v>
      </c>
      <c r="B738" t="s">
        <v>44</v>
      </c>
      <c r="C738" t="s">
        <v>20</v>
      </c>
      <c r="D738" s="2">
        <v>546</v>
      </c>
      <c r="E738" s="2">
        <v>119467</v>
      </c>
      <c r="F738" t="s">
        <v>345</v>
      </c>
      <c r="G738">
        <v>10</v>
      </c>
      <c r="H738">
        <v>10</v>
      </c>
      <c r="I738">
        <v>0</v>
      </c>
      <c r="J738">
        <v>0</v>
      </c>
      <c r="K738">
        <v>0</v>
      </c>
      <c r="L738" s="6">
        <f t="shared" si="89"/>
        <v>1</v>
      </c>
      <c r="M738">
        <v>201</v>
      </c>
      <c r="N738">
        <v>24</v>
      </c>
      <c r="O738" s="9">
        <v>0</v>
      </c>
      <c r="P738">
        <v>0</v>
      </c>
      <c r="Q738">
        <v>97</v>
      </c>
      <c r="R738">
        <v>0</v>
      </c>
      <c r="S738">
        <v>80</v>
      </c>
      <c r="T738">
        <v>0</v>
      </c>
      <c r="U738" s="3">
        <f t="shared" si="87"/>
        <v>1</v>
      </c>
      <c r="V738" s="3">
        <f t="shared" si="88"/>
        <v>1</v>
      </c>
    </row>
    <row r="739" spans="1:22" x14ac:dyDescent="0.25">
      <c r="A739" s="2">
        <v>2017</v>
      </c>
      <c r="B739" t="s">
        <v>44</v>
      </c>
      <c r="C739" t="s">
        <v>20</v>
      </c>
      <c r="D739" s="2">
        <v>520</v>
      </c>
      <c r="E739" s="2">
        <v>8687</v>
      </c>
      <c r="F739" t="s">
        <v>346</v>
      </c>
      <c r="G739">
        <v>8</v>
      </c>
      <c r="H739">
        <v>8</v>
      </c>
      <c r="I739">
        <v>0</v>
      </c>
      <c r="J739">
        <v>0</v>
      </c>
      <c r="K739">
        <v>0</v>
      </c>
      <c r="L739" s="6">
        <f t="shared" si="89"/>
        <v>1</v>
      </c>
      <c r="M739">
        <v>173</v>
      </c>
      <c r="N739">
        <v>38</v>
      </c>
      <c r="O739" s="9">
        <v>0</v>
      </c>
      <c r="P739">
        <v>2</v>
      </c>
      <c r="Q739">
        <v>76</v>
      </c>
      <c r="R739">
        <v>0</v>
      </c>
      <c r="S739">
        <v>55</v>
      </c>
      <c r="T739">
        <v>2</v>
      </c>
      <c r="U739" s="3">
        <f t="shared" si="87"/>
        <v>0.98843930635838151</v>
      </c>
      <c r="V739" s="3">
        <f t="shared" si="88"/>
        <v>0.98895027624309395</v>
      </c>
    </row>
    <row r="740" spans="1:22" x14ac:dyDescent="0.25">
      <c r="A740" s="2">
        <v>2017</v>
      </c>
      <c r="B740" t="s">
        <v>44</v>
      </c>
      <c r="C740" t="s">
        <v>20</v>
      </c>
      <c r="D740" s="2">
        <v>563</v>
      </c>
      <c r="E740" s="2">
        <v>5246</v>
      </c>
      <c r="F740" t="s">
        <v>347</v>
      </c>
      <c r="G740">
        <v>1</v>
      </c>
      <c r="H740">
        <v>1</v>
      </c>
      <c r="I740">
        <v>0</v>
      </c>
      <c r="J740">
        <v>0</v>
      </c>
      <c r="K740">
        <v>0</v>
      </c>
      <c r="L740" s="6">
        <f t="shared" si="89"/>
        <v>1</v>
      </c>
      <c r="M740">
        <v>79</v>
      </c>
      <c r="N740">
        <v>15</v>
      </c>
      <c r="O740" s="9">
        <v>0</v>
      </c>
      <c r="P740">
        <v>1</v>
      </c>
      <c r="Q740">
        <v>43</v>
      </c>
      <c r="R740">
        <v>0</v>
      </c>
      <c r="S740">
        <v>19</v>
      </c>
      <c r="T740">
        <v>1</v>
      </c>
      <c r="U740" s="3">
        <f t="shared" si="87"/>
        <v>0.98734177215189878</v>
      </c>
      <c r="V740" s="3">
        <f t="shared" si="88"/>
        <v>0.98750000000000004</v>
      </c>
    </row>
    <row r="741" spans="1:22" x14ac:dyDescent="0.25">
      <c r="A741" s="2">
        <v>2017</v>
      </c>
      <c r="B741" t="s">
        <v>44</v>
      </c>
      <c r="C741" t="s">
        <v>21</v>
      </c>
      <c r="D741" s="2">
        <v>528</v>
      </c>
      <c r="E741" s="2">
        <v>10623</v>
      </c>
      <c r="F741" t="s">
        <v>42</v>
      </c>
      <c r="G741">
        <v>3</v>
      </c>
      <c r="H741">
        <v>2</v>
      </c>
      <c r="I741">
        <v>1</v>
      </c>
      <c r="J741">
        <v>0</v>
      </c>
      <c r="K741">
        <v>0</v>
      </c>
      <c r="L741" s="6">
        <f t="shared" si="89"/>
        <v>1</v>
      </c>
      <c r="M741">
        <v>212</v>
      </c>
      <c r="N741">
        <v>23</v>
      </c>
      <c r="O741" s="9">
        <v>0</v>
      </c>
      <c r="P741">
        <v>0</v>
      </c>
      <c r="Q741">
        <v>136</v>
      </c>
      <c r="R741">
        <v>1</v>
      </c>
      <c r="S741">
        <v>52</v>
      </c>
      <c r="T741">
        <v>0</v>
      </c>
      <c r="U741" s="3">
        <f t="shared" si="87"/>
        <v>0.99528301886792447</v>
      </c>
      <c r="V741" s="3">
        <f t="shared" si="88"/>
        <v>0.99534883720930234</v>
      </c>
    </row>
    <row r="742" spans="1:22" x14ac:dyDescent="0.25">
      <c r="A742" s="2">
        <v>2017</v>
      </c>
      <c r="B742" t="s">
        <v>44</v>
      </c>
      <c r="C742" t="s">
        <v>21</v>
      </c>
      <c r="D742" s="2">
        <v>537</v>
      </c>
      <c r="E742" s="2">
        <v>118663</v>
      </c>
      <c r="F742" t="s">
        <v>425</v>
      </c>
      <c r="G742">
        <v>3</v>
      </c>
      <c r="H742">
        <v>3</v>
      </c>
      <c r="I742">
        <v>0</v>
      </c>
      <c r="J742">
        <v>0</v>
      </c>
      <c r="K742">
        <v>0</v>
      </c>
      <c r="L742" s="6">
        <f t="shared" si="89"/>
        <v>1</v>
      </c>
      <c r="M742">
        <v>37</v>
      </c>
      <c r="N742">
        <v>9</v>
      </c>
      <c r="O742" s="9">
        <v>0</v>
      </c>
      <c r="P742">
        <v>0</v>
      </c>
      <c r="Q742">
        <v>10</v>
      </c>
      <c r="R742">
        <v>0</v>
      </c>
      <c r="S742">
        <v>18</v>
      </c>
      <c r="T742">
        <v>0</v>
      </c>
      <c r="U742" s="3">
        <f t="shared" ref="U742:U763" si="90">IF(M742=0,0,((N742+O742+Q742+S742+T742)/M742))</f>
        <v>1</v>
      </c>
      <c r="V742" s="3">
        <f t="shared" ref="V742:V763" si="91">(H742+I742+J742+N742+Q742+S742+T742)/(G742+M742)</f>
        <v>1</v>
      </c>
    </row>
    <row r="743" spans="1:22" x14ac:dyDescent="0.25">
      <c r="A743" s="2">
        <v>2017</v>
      </c>
      <c r="B743" t="s">
        <v>44</v>
      </c>
      <c r="C743" t="s">
        <v>21</v>
      </c>
      <c r="D743" s="2">
        <v>840</v>
      </c>
      <c r="E743" s="2">
        <v>5614</v>
      </c>
      <c r="F743" t="s">
        <v>423</v>
      </c>
      <c r="G743">
        <v>0</v>
      </c>
      <c r="H743">
        <v>0</v>
      </c>
      <c r="I743">
        <v>0</v>
      </c>
      <c r="J743">
        <v>0</v>
      </c>
      <c r="K743">
        <v>0</v>
      </c>
      <c r="L743" s="6">
        <f t="shared" si="89"/>
        <v>0</v>
      </c>
      <c r="M743">
        <v>1</v>
      </c>
      <c r="N743">
        <v>0</v>
      </c>
      <c r="O743" s="9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 s="3">
        <f t="shared" si="90"/>
        <v>1</v>
      </c>
      <c r="V743" s="3">
        <f t="shared" si="91"/>
        <v>1</v>
      </c>
    </row>
    <row r="744" spans="1:22" x14ac:dyDescent="0.25">
      <c r="A744" s="2">
        <v>2017</v>
      </c>
      <c r="B744" t="s">
        <v>44</v>
      </c>
      <c r="C744" t="s">
        <v>21</v>
      </c>
      <c r="D744" s="2">
        <v>581</v>
      </c>
      <c r="E744" s="2">
        <v>222222222</v>
      </c>
      <c r="F744" t="s">
        <v>31</v>
      </c>
      <c r="G744">
        <v>0</v>
      </c>
      <c r="H744">
        <v>0</v>
      </c>
      <c r="I744">
        <v>0</v>
      </c>
      <c r="J744">
        <v>0</v>
      </c>
      <c r="K744">
        <v>0</v>
      </c>
      <c r="L744" s="6">
        <f t="shared" si="89"/>
        <v>0</v>
      </c>
      <c r="M744">
        <v>1</v>
      </c>
      <c r="N744">
        <v>0</v>
      </c>
      <c r="O744" s="9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 s="3">
        <f t="shared" si="90"/>
        <v>1</v>
      </c>
      <c r="V744" s="3">
        <f t="shared" si="91"/>
        <v>1</v>
      </c>
    </row>
    <row r="745" spans="1:22" x14ac:dyDescent="0.25">
      <c r="A745" s="2">
        <v>2017</v>
      </c>
      <c r="B745" t="s">
        <v>44</v>
      </c>
      <c r="C745" t="s">
        <v>21</v>
      </c>
      <c r="D745" s="2">
        <v>590</v>
      </c>
      <c r="E745" s="2">
        <v>122682</v>
      </c>
      <c r="F745" t="s">
        <v>334</v>
      </c>
      <c r="G745">
        <v>0</v>
      </c>
      <c r="H745">
        <v>0</v>
      </c>
      <c r="I745">
        <v>0</v>
      </c>
      <c r="J745">
        <v>0</v>
      </c>
      <c r="K745">
        <v>0</v>
      </c>
      <c r="L745" s="6">
        <f t="shared" si="89"/>
        <v>0</v>
      </c>
      <c r="M745">
        <v>1</v>
      </c>
      <c r="N745">
        <v>1</v>
      </c>
      <c r="O745" s="9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s="3">
        <f t="shared" si="90"/>
        <v>1</v>
      </c>
      <c r="V745" s="3">
        <f t="shared" si="91"/>
        <v>1</v>
      </c>
    </row>
    <row r="746" spans="1:22" x14ac:dyDescent="0.25">
      <c r="A746" s="2">
        <v>2017</v>
      </c>
      <c r="B746" t="s">
        <v>44</v>
      </c>
      <c r="C746" t="s">
        <v>21</v>
      </c>
      <c r="D746" s="2">
        <v>586</v>
      </c>
      <c r="E746" s="2">
        <v>122754</v>
      </c>
      <c r="F746" t="s">
        <v>335</v>
      </c>
      <c r="G746">
        <v>3</v>
      </c>
      <c r="H746">
        <v>3</v>
      </c>
      <c r="I746">
        <v>0</v>
      </c>
      <c r="J746">
        <v>0</v>
      </c>
      <c r="K746">
        <v>0</v>
      </c>
      <c r="L746" s="6">
        <f t="shared" si="89"/>
        <v>1</v>
      </c>
      <c r="M746">
        <v>59</v>
      </c>
      <c r="N746">
        <v>3</v>
      </c>
      <c r="O746" s="9">
        <v>0</v>
      </c>
      <c r="P746">
        <v>0</v>
      </c>
      <c r="Q746">
        <v>30</v>
      </c>
      <c r="R746">
        <v>0</v>
      </c>
      <c r="S746">
        <v>26</v>
      </c>
      <c r="T746">
        <v>0</v>
      </c>
      <c r="U746" s="3">
        <f t="shared" si="90"/>
        <v>1</v>
      </c>
      <c r="V746" s="3">
        <f t="shared" si="91"/>
        <v>1</v>
      </c>
    </row>
    <row r="747" spans="1:22" x14ac:dyDescent="0.25">
      <c r="A747" s="2">
        <v>2017</v>
      </c>
      <c r="B747" t="s">
        <v>44</v>
      </c>
      <c r="C747" t="s">
        <v>21</v>
      </c>
      <c r="D747" s="2">
        <v>336</v>
      </c>
      <c r="E747" s="2">
        <v>9790</v>
      </c>
      <c r="F747" t="s">
        <v>433</v>
      </c>
      <c r="G747">
        <v>0</v>
      </c>
      <c r="H747">
        <v>0</v>
      </c>
      <c r="I747">
        <v>0</v>
      </c>
      <c r="J747">
        <v>0</v>
      </c>
      <c r="K747">
        <v>0</v>
      </c>
      <c r="L747" s="6">
        <f t="shared" si="89"/>
        <v>0</v>
      </c>
      <c r="M747">
        <v>1</v>
      </c>
      <c r="N747">
        <v>0</v>
      </c>
      <c r="O747" s="9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 s="3">
        <f t="shared" si="90"/>
        <v>1</v>
      </c>
      <c r="V747" s="3">
        <f t="shared" si="91"/>
        <v>1</v>
      </c>
    </row>
    <row r="748" spans="1:22" x14ac:dyDescent="0.25">
      <c r="A748" s="2">
        <v>2017</v>
      </c>
      <c r="B748" t="s">
        <v>44</v>
      </c>
      <c r="C748" t="s">
        <v>21</v>
      </c>
      <c r="D748" s="2">
        <v>403</v>
      </c>
      <c r="E748" s="2">
        <v>6783</v>
      </c>
      <c r="F748" t="s">
        <v>348</v>
      </c>
      <c r="G748">
        <v>5</v>
      </c>
      <c r="H748">
        <v>5</v>
      </c>
      <c r="I748">
        <v>0</v>
      </c>
      <c r="J748">
        <v>0</v>
      </c>
      <c r="K748">
        <v>0</v>
      </c>
      <c r="L748" s="6">
        <f t="shared" si="89"/>
        <v>1</v>
      </c>
      <c r="M748">
        <v>464</v>
      </c>
      <c r="N748">
        <v>56</v>
      </c>
      <c r="O748" s="9">
        <v>0</v>
      </c>
      <c r="P748">
        <v>0</v>
      </c>
      <c r="Q748">
        <v>294</v>
      </c>
      <c r="R748">
        <v>0</v>
      </c>
      <c r="S748">
        <v>114</v>
      </c>
      <c r="T748">
        <v>0</v>
      </c>
      <c r="U748" s="3">
        <f t="shared" si="90"/>
        <v>1</v>
      </c>
      <c r="V748" s="3">
        <f t="shared" si="91"/>
        <v>1</v>
      </c>
    </row>
    <row r="749" spans="1:22" x14ac:dyDescent="0.25">
      <c r="A749" s="2">
        <v>2017</v>
      </c>
      <c r="B749" t="s">
        <v>44</v>
      </c>
      <c r="C749" t="s">
        <v>21</v>
      </c>
      <c r="D749" s="2">
        <v>548</v>
      </c>
      <c r="E749" s="2">
        <v>10618</v>
      </c>
      <c r="F749" t="s">
        <v>338</v>
      </c>
      <c r="G749">
        <v>13</v>
      </c>
      <c r="H749">
        <v>13</v>
      </c>
      <c r="I749">
        <v>0</v>
      </c>
      <c r="J749">
        <v>0</v>
      </c>
      <c r="K749">
        <v>0</v>
      </c>
      <c r="L749" s="6">
        <f t="shared" si="89"/>
        <v>1</v>
      </c>
      <c r="M749">
        <v>159</v>
      </c>
      <c r="N749">
        <v>29</v>
      </c>
      <c r="O749" s="9">
        <v>0</v>
      </c>
      <c r="P749">
        <v>0</v>
      </c>
      <c r="Q749">
        <v>70</v>
      </c>
      <c r="R749">
        <v>1</v>
      </c>
      <c r="S749">
        <v>57</v>
      </c>
      <c r="T749">
        <v>2</v>
      </c>
      <c r="U749" s="3">
        <f t="shared" si="90"/>
        <v>0.99371069182389937</v>
      </c>
      <c r="V749" s="3">
        <f t="shared" si="91"/>
        <v>0.9941860465116279</v>
      </c>
    </row>
    <row r="750" spans="1:22" x14ac:dyDescent="0.25">
      <c r="A750" s="2">
        <v>2017</v>
      </c>
      <c r="B750" t="s">
        <v>44</v>
      </c>
      <c r="C750" t="s">
        <v>21</v>
      </c>
      <c r="D750" s="2">
        <v>587</v>
      </c>
      <c r="E750" s="2">
        <v>5597</v>
      </c>
      <c r="F750" t="s">
        <v>33</v>
      </c>
      <c r="G750">
        <v>3</v>
      </c>
      <c r="H750">
        <v>3</v>
      </c>
      <c r="I750">
        <v>0</v>
      </c>
      <c r="J750">
        <v>0</v>
      </c>
      <c r="K750">
        <v>0</v>
      </c>
      <c r="L750" s="6">
        <f t="shared" si="89"/>
        <v>1</v>
      </c>
      <c r="M750">
        <v>20</v>
      </c>
      <c r="N750">
        <v>2</v>
      </c>
      <c r="O750" s="9">
        <v>0</v>
      </c>
      <c r="P750">
        <v>0</v>
      </c>
      <c r="Q750">
        <v>9</v>
      </c>
      <c r="R750">
        <v>0</v>
      </c>
      <c r="S750">
        <v>9</v>
      </c>
      <c r="T750">
        <v>0</v>
      </c>
      <c r="U750" s="3">
        <f t="shared" si="90"/>
        <v>1</v>
      </c>
      <c r="V750" s="3">
        <f t="shared" si="91"/>
        <v>1</v>
      </c>
    </row>
    <row r="751" spans="1:22" x14ac:dyDescent="0.25">
      <c r="A751" s="2">
        <v>2017</v>
      </c>
      <c r="B751" t="s">
        <v>44</v>
      </c>
      <c r="C751" t="s">
        <v>21</v>
      </c>
      <c r="D751" s="2">
        <v>404</v>
      </c>
      <c r="E751" s="2">
        <v>6777</v>
      </c>
      <c r="F751" t="s">
        <v>34</v>
      </c>
      <c r="G751">
        <v>8</v>
      </c>
      <c r="H751">
        <v>8</v>
      </c>
      <c r="I751">
        <v>0</v>
      </c>
      <c r="J751">
        <v>0</v>
      </c>
      <c r="K751">
        <v>0</v>
      </c>
      <c r="L751" s="6">
        <f t="shared" si="89"/>
        <v>1</v>
      </c>
      <c r="M751">
        <v>95</v>
      </c>
      <c r="N751">
        <v>18</v>
      </c>
      <c r="O751" s="9">
        <v>0</v>
      </c>
      <c r="P751">
        <v>0</v>
      </c>
      <c r="Q751">
        <v>29</v>
      </c>
      <c r="R751">
        <v>1</v>
      </c>
      <c r="S751">
        <v>47</v>
      </c>
      <c r="T751">
        <v>0</v>
      </c>
      <c r="U751" s="3">
        <f t="shared" si="90"/>
        <v>0.98947368421052628</v>
      </c>
      <c r="V751" s="3">
        <f t="shared" si="91"/>
        <v>0.99029126213592233</v>
      </c>
    </row>
    <row r="752" spans="1:22" x14ac:dyDescent="0.25">
      <c r="A752" s="2">
        <v>2017</v>
      </c>
      <c r="B752" t="s">
        <v>44</v>
      </c>
      <c r="C752" t="s">
        <v>21</v>
      </c>
      <c r="D752" s="2">
        <v>595</v>
      </c>
      <c r="E752" s="2">
        <v>123208</v>
      </c>
      <c r="F752" t="s">
        <v>35</v>
      </c>
      <c r="G752">
        <v>4</v>
      </c>
      <c r="H752">
        <v>4</v>
      </c>
      <c r="I752">
        <v>0</v>
      </c>
      <c r="J752">
        <v>0</v>
      </c>
      <c r="K752">
        <v>0</v>
      </c>
      <c r="L752" s="6">
        <f t="shared" si="89"/>
        <v>1</v>
      </c>
      <c r="M752">
        <v>408</v>
      </c>
      <c r="N752">
        <v>58</v>
      </c>
      <c r="O752" s="9">
        <v>0</v>
      </c>
      <c r="P752">
        <v>0</v>
      </c>
      <c r="Q752">
        <v>273</v>
      </c>
      <c r="R752">
        <v>4</v>
      </c>
      <c r="S752">
        <v>73</v>
      </c>
      <c r="T752">
        <v>0</v>
      </c>
      <c r="U752" s="3">
        <f t="shared" si="90"/>
        <v>0.99019607843137258</v>
      </c>
      <c r="V752" s="3">
        <f t="shared" si="91"/>
        <v>0.99029126213592233</v>
      </c>
    </row>
    <row r="753" spans="1:22" x14ac:dyDescent="0.25">
      <c r="A753" s="2">
        <v>2017</v>
      </c>
      <c r="B753" t="s">
        <v>44</v>
      </c>
      <c r="C753" t="s">
        <v>21</v>
      </c>
      <c r="D753" s="2">
        <v>455</v>
      </c>
      <c r="E753" s="2">
        <v>7401</v>
      </c>
      <c r="F753" t="s">
        <v>36</v>
      </c>
      <c r="G753">
        <v>6</v>
      </c>
      <c r="H753">
        <v>6</v>
      </c>
      <c r="I753">
        <v>0</v>
      </c>
      <c r="J753">
        <v>0</v>
      </c>
      <c r="K753">
        <v>0</v>
      </c>
      <c r="L753" s="6">
        <f t="shared" si="89"/>
        <v>1</v>
      </c>
      <c r="M753">
        <v>32</v>
      </c>
      <c r="N753">
        <v>5</v>
      </c>
      <c r="O753" s="9">
        <v>0</v>
      </c>
      <c r="P753">
        <v>0</v>
      </c>
      <c r="Q753">
        <v>15</v>
      </c>
      <c r="R753">
        <v>0</v>
      </c>
      <c r="S753">
        <v>12</v>
      </c>
      <c r="T753">
        <v>0</v>
      </c>
      <c r="U753" s="3">
        <f t="shared" si="90"/>
        <v>1</v>
      </c>
      <c r="V753" s="3">
        <f t="shared" si="91"/>
        <v>1</v>
      </c>
    </row>
    <row r="754" spans="1:22" x14ac:dyDescent="0.25">
      <c r="A754" s="2">
        <v>2017</v>
      </c>
      <c r="B754" t="s">
        <v>44</v>
      </c>
      <c r="C754" t="s">
        <v>21</v>
      </c>
      <c r="D754" s="2">
        <v>842</v>
      </c>
      <c r="E754" s="2">
        <v>5618</v>
      </c>
      <c r="F754" t="s">
        <v>37</v>
      </c>
      <c r="G754">
        <v>24</v>
      </c>
      <c r="H754">
        <v>24</v>
      </c>
      <c r="I754">
        <v>0</v>
      </c>
      <c r="J754">
        <v>0</v>
      </c>
      <c r="K754">
        <v>0</v>
      </c>
      <c r="L754" s="6">
        <f t="shared" si="89"/>
        <v>1</v>
      </c>
      <c r="M754">
        <v>210</v>
      </c>
      <c r="N754">
        <v>30</v>
      </c>
      <c r="O754" s="9">
        <v>0</v>
      </c>
      <c r="P754">
        <v>0</v>
      </c>
      <c r="Q754">
        <v>71</v>
      </c>
      <c r="R754">
        <v>0</v>
      </c>
      <c r="S754">
        <v>108</v>
      </c>
      <c r="T754">
        <v>1</v>
      </c>
      <c r="U754" s="3">
        <f t="shared" si="90"/>
        <v>1</v>
      </c>
      <c r="V754" s="3">
        <f t="shared" si="91"/>
        <v>1</v>
      </c>
    </row>
    <row r="755" spans="1:22" x14ac:dyDescent="0.25">
      <c r="A755" s="2">
        <v>2017</v>
      </c>
      <c r="B755" t="s">
        <v>44</v>
      </c>
      <c r="C755" t="s">
        <v>21</v>
      </c>
      <c r="D755" s="2">
        <v>554</v>
      </c>
      <c r="E755" s="2">
        <v>119543</v>
      </c>
      <c r="F755" t="s">
        <v>502</v>
      </c>
      <c r="G755">
        <v>3</v>
      </c>
      <c r="H755">
        <v>3</v>
      </c>
      <c r="I755">
        <v>0</v>
      </c>
      <c r="J755">
        <v>0</v>
      </c>
      <c r="K755">
        <v>0</v>
      </c>
      <c r="L755" s="6">
        <f t="shared" si="89"/>
        <v>1</v>
      </c>
      <c r="M755">
        <v>103</v>
      </c>
      <c r="N755">
        <v>15</v>
      </c>
      <c r="O755" s="9">
        <v>0</v>
      </c>
      <c r="P755">
        <v>0</v>
      </c>
      <c r="Q755">
        <v>70</v>
      </c>
      <c r="R755">
        <v>0</v>
      </c>
      <c r="S755">
        <v>18</v>
      </c>
      <c r="T755">
        <v>0</v>
      </c>
      <c r="U755" s="3">
        <f t="shared" si="90"/>
        <v>1</v>
      </c>
      <c r="V755" s="3">
        <f t="shared" si="91"/>
        <v>1</v>
      </c>
    </row>
    <row r="756" spans="1:22" x14ac:dyDescent="0.25">
      <c r="A756" s="2">
        <v>2017</v>
      </c>
      <c r="B756" t="s">
        <v>44</v>
      </c>
      <c r="C756" t="s">
        <v>21</v>
      </c>
      <c r="D756" s="2">
        <v>766</v>
      </c>
      <c r="E756" s="2">
        <v>6781</v>
      </c>
      <c r="F756" t="s">
        <v>349</v>
      </c>
      <c r="G756">
        <v>39</v>
      </c>
      <c r="H756">
        <v>39</v>
      </c>
      <c r="I756">
        <v>0</v>
      </c>
      <c r="J756">
        <v>0</v>
      </c>
      <c r="K756">
        <v>0</v>
      </c>
      <c r="L756" s="6">
        <f t="shared" si="89"/>
        <v>1</v>
      </c>
      <c r="M756">
        <v>333</v>
      </c>
      <c r="N756">
        <v>39</v>
      </c>
      <c r="O756" s="9">
        <v>0</v>
      </c>
      <c r="P756">
        <v>0</v>
      </c>
      <c r="Q756">
        <v>145</v>
      </c>
      <c r="R756">
        <v>4</v>
      </c>
      <c r="S756">
        <v>143</v>
      </c>
      <c r="T756">
        <v>2</v>
      </c>
      <c r="U756" s="3">
        <f t="shared" si="90"/>
        <v>0.98798798798798804</v>
      </c>
      <c r="V756" s="3">
        <f t="shared" si="91"/>
        <v>0.989247311827957</v>
      </c>
    </row>
    <row r="757" spans="1:22" x14ac:dyDescent="0.25">
      <c r="A757" s="2">
        <v>2017</v>
      </c>
      <c r="B757" t="s">
        <v>44</v>
      </c>
      <c r="C757" t="s">
        <v>21</v>
      </c>
      <c r="D757" s="2">
        <v>777</v>
      </c>
      <c r="E757" s="2">
        <v>5357</v>
      </c>
      <c r="F757" t="s">
        <v>350</v>
      </c>
      <c r="G757">
        <v>39</v>
      </c>
      <c r="H757">
        <v>39</v>
      </c>
      <c r="I757">
        <v>0</v>
      </c>
      <c r="J757">
        <v>0</v>
      </c>
      <c r="K757">
        <v>0</v>
      </c>
      <c r="L757" s="6">
        <f t="shared" si="89"/>
        <v>1</v>
      </c>
      <c r="M757">
        <v>307</v>
      </c>
      <c r="N757">
        <v>33</v>
      </c>
      <c r="O757" s="9">
        <v>0</v>
      </c>
      <c r="P757">
        <v>0</v>
      </c>
      <c r="Q757">
        <v>125</v>
      </c>
      <c r="R757">
        <v>1</v>
      </c>
      <c r="S757">
        <v>147</v>
      </c>
      <c r="T757">
        <v>1</v>
      </c>
      <c r="U757" s="3">
        <f t="shared" si="90"/>
        <v>0.99674267100977199</v>
      </c>
      <c r="V757" s="3">
        <f t="shared" si="91"/>
        <v>0.99710982658959535</v>
      </c>
    </row>
    <row r="758" spans="1:22" x14ac:dyDescent="0.25">
      <c r="A758" s="2">
        <v>2017</v>
      </c>
      <c r="B758" t="s">
        <v>44</v>
      </c>
      <c r="C758" t="s">
        <v>21</v>
      </c>
      <c r="D758" s="2">
        <v>543</v>
      </c>
      <c r="E758" s="2">
        <v>10917</v>
      </c>
      <c r="F758" t="s">
        <v>341</v>
      </c>
      <c r="G758">
        <v>30</v>
      </c>
      <c r="H758">
        <v>30</v>
      </c>
      <c r="I758">
        <v>0</v>
      </c>
      <c r="J758">
        <v>0</v>
      </c>
      <c r="K758">
        <v>0</v>
      </c>
      <c r="L758" s="6">
        <f t="shared" si="89"/>
        <v>1</v>
      </c>
      <c r="M758">
        <v>305</v>
      </c>
      <c r="N758">
        <v>45</v>
      </c>
      <c r="O758" s="9">
        <v>0</v>
      </c>
      <c r="P758">
        <v>0</v>
      </c>
      <c r="Q758">
        <v>146</v>
      </c>
      <c r="R758">
        <v>0</v>
      </c>
      <c r="S758">
        <v>114</v>
      </c>
      <c r="T758">
        <v>0</v>
      </c>
      <c r="U758" s="3">
        <f t="shared" si="90"/>
        <v>1</v>
      </c>
      <c r="V758" s="3">
        <f t="shared" si="91"/>
        <v>1</v>
      </c>
    </row>
    <row r="759" spans="1:22" x14ac:dyDescent="0.25">
      <c r="A759" s="2">
        <v>2017</v>
      </c>
      <c r="B759" t="s">
        <v>44</v>
      </c>
      <c r="C759" t="s">
        <v>21</v>
      </c>
      <c r="D759" s="2">
        <v>536</v>
      </c>
      <c r="E759" s="2">
        <v>10757</v>
      </c>
      <c r="F759" t="s">
        <v>351</v>
      </c>
      <c r="G759">
        <v>3</v>
      </c>
      <c r="H759">
        <v>3</v>
      </c>
      <c r="I759">
        <v>0</v>
      </c>
      <c r="J759">
        <v>0</v>
      </c>
      <c r="K759">
        <v>0</v>
      </c>
      <c r="L759" s="6">
        <f t="shared" si="89"/>
        <v>1</v>
      </c>
      <c r="M759">
        <v>226</v>
      </c>
      <c r="N759">
        <v>30</v>
      </c>
      <c r="O759" s="9">
        <v>0</v>
      </c>
      <c r="P759">
        <v>0</v>
      </c>
      <c r="Q759">
        <v>150</v>
      </c>
      <c r="R759">
        <v>0</v>
      </c>
      <c r="S759">
        <v>46</v>
      </c>
      <c r="T759">
        <v>0</v>
      </c>
      <c r="U759" s="3">
        <f t="shared" si="90"/>
        <v>1</v>
      </c>
      <c r="V759" s="3">
        <f t="shared" si="91"/>
        <v>1</v>
      </c>
    </row>
    <row r="760" spans="1:22" x14ac:dyDescent="0.25">
      <c r="A760" s="2">
        <v>2017</v>
      </c>
      <c r="B760" t="s">
        <v>44</v>
      </c>
      <c r="C760" t="s">
        <v>21</v>
      </c>
      <c r="D760" s="2">
        <v>550</v>
      </c>
      <c r="E760" s="2">
        <v>119292</v>
      </c>
      <c r="F760" t="s">
        <v>344</v>
      </c>
      <c r="G760">
        <v>1</v>
      </c>
      <c r="H760">
        <v>1</v>
      </c>
      <c r="I760">
        <v>0</v>
      </c>
      <c r="J760">
        <v>0</v>
      </c>
      <c r="K760">
        <v>0</v>
      </c>
      <c r="L760" s="6">
        <f t="shared" si="89"/>
        <v>1</v>
      </c>
      <c r="M760">
        <v>32</v>
      </c>
      <c r="N760">
        <v>6</v>
      </c>
      <c r="O760" s="9">
        <v>0</v>
      </c>
      <c r="P760">
        <v>0</v>
      </c>
      <c r="Q760">
        <v>12</v>
      </c>
      <c r="R760">
        <v>0</v>
      </c>
      <c r="S760">
        <v>14</v>
      </c>
      <c r="T760">
        <v>0</v>
      </c>
      <c r="U760" s="3">
        <f t="shared" si="90"/>
        <v>1</v>
      </c>
      <c r="V760" s="3">
        <f t="shared" si="91"/>
        <v>1</v>
      </c>
    </row>
    <row r="761" spans="1:22" x14ac:dyDescent="0.25">
      <c r="A761" s="2">
        <v>2017</v>
      </c>
      <c r="B761" t="s">
        <v>44</v>
      </c>
      <c r="C761" t="s">
        <v>21</v>
      </c>
      <c r="D761" s="2">
        <v>546</v>
      </c>
      <c r="E761" s="2">
        <v>119467</v>
      </c>
      <c r="F761" t="s">
        <v>345</v>
      </c>
      <c r="G761">
        <v>2</v>
      </c>
      <c r="H761">
        <v>2</v>
      </c>
      <c r="I761">
        <v>0</v>
      </c>
      <c r="J761">
        <v>0</v>
      </c>
      <c r="K761">
        <v>0</v>
      </c>
      <c r="L761" s="6">
        <f t="shared" si="89"/>
        <v>1</v>
      </c>
      <c r="M761">
        <v>47</v>
      </c>
      <c r="N761">
        <v>6</v>
      </c>
      <c r="O761" s="9">
        <v>0</v>
      </c>
      <c r="P761">
        <v>0</v>
      </c>
      <c r="Q761">
        <v>23</v>
      </c>
      <c r="R761">
        <v>0</v>
      </c>
      <c r="S761">
        <v>18</v>
      </c>
      <c r="T761">
        <v>0</v>
      </c>
      <c r="U761" s="3">
        <f t="shared" si="90"/>
        <v>1</v>
      </c>
      <c r="V761" s="3">
        <f t="shared" si="91"/>
        <v>1</v>
      </c>
    </row>
    <row r="762" spans="1:22" x14ac:dyDescent="0.25">
      <c r="A762" s="2">
        <v>2017</v>
      </c>
      <c r="B762" t="s">
        <v>44</v>
      </c>
      <c r="C762" t="s">
        <v>21</v>
      </c>
      <c r="D762" s="2">
        <v>563</v>
      </c>
      <c r="E762" s="2">
        <v>5246</v>
      </c>
      <c r="F762" t="s">
        <v>347</v>
      </c>
      <c r="G762">
        <v>6</v>
      </c>
      <c r="H762">
        <v>6</v>
      </c>
      <c r="I762">
        <v>0</v>
      </c>
      <c r="J762">
        <v>0</v>
      </c>
      <c r="K762">
        <v>0</v>
      </c>
      <c r="L762" s="6">
        <f t="shared" si="89"/>
        <v>1</v>
      </c>
      <c r="M762">
        <v>83</v>
      </c>
      <c r="N762">
        <v>12</v>
      </c>
      <c r="O762" s="9">
        <v>0</v>
      </c>
      <c r="P762">
        <v>0</v>
      </c>
      <c r="Q762">
        <v>45</v>
      </c>
      <c r="R762">
        <v>0</v>
      </c>
      <c r="S762">
        <v>26</v>
      </c>
      <c r="T762">
        <v>0</v>
      </c>
      <c r="U762" s="3">
        <f t="shared" si="90"/>
        <v>1</v>
      </c>
      <c r="V762" s="3">
        <f t="shared" si="91"/>
        <v>1</v>
      </c>
    </row>
    <row r="763" spans="1:22" x14ac:dyDescent="0.25">
      <c r="A763" s="2">
        <v>2017</v>
      </c>
      <c r="B763" t="s">
        <v>45</v>
      </c>
      <c r="C763" t="s">
        <v>1</v>
      </c>
      <c r="D763" s="2">
        <v>53</v>
      </c>
      <c r="E763" s="2">
        <v>4713</v>
      </c>
      <c r="F763" t="s">
        <v>470</v>
      </c>
      <c r="G763">
        <v>9</v>
      </c>
      <c r="H763">
        <v>9</v>
      </c>
      <c r="I763">
        <v>0</v>
      </c>
      <c r="J763">
        <v>0</v>
      </c>
      <c r="K763">
        <v>0</v>
      </c>
      <c r="L763" s="6">
        <f t="shared" si="89"/>
        <v>1</v>
      </c>
      <c r="M763">
        <v>192</v>
      </c>
      <c r="N763">
        <v>22</v>
      </c>
      <c r="O763" s="9">
        <v>0</v>
      </c>
      <c r="P763">
        <v>0</v>
      </c>
      <c r="Q763">
        <v>75</v>
      </c>
      <c r="R763">
        <v>0</v>
      </c>
      <c r="S763">
        <v>95</v>
      </c>
      <c r="T763">
        <v>0</v>
      </c>
      <c r="U763" s="3">
        <f t="shared" si="90"/>
        <v>1</v>
      </c>
      <c r="V763" s="3">
        <f t="shared" si="91"/>
        <v>1</v>
      </c>
    </row>
    <row r="764" spans="1:22" x14ac:dyDescent="0.25">
      <c r="A764" s="2">
        <v>2017</v>
      </c>
      <c r="B764" t="s">
        <v>45</v>
      </c>
      <c r="C764" t="s">
        <v>1</v>
      </c>
      <c r="D764" s="2">
        <v>243</v>
      </c>
      <c r="E764" s="2">
        <v>4498</v>
      </c>
      <c r="F764" t="s">
        <v>471</v>
      </c>
      <c r="G764">
        <v>7</v>
      </c>
      <c r="H764">
        <v>7</v>
      </c>
      <c r="I764">
        <v>0</v>
      </c>
      <c r="J764">
        <v>0</v>
      </c>
      <c r="K764">
        <v>0</v>
      </c>
      <c r="L764" s="6">
        <f t="shared" si="89"/>
        <v>1</v>
      </c>
      <c r="M764">
        <v>164</v>
      </c>
      <c r="N764">
        <v>26</v>
      </c>
      <c r="O764" s="9">
        <v>0</v>
      </c>
      <c r="P764">
        <v>0</v>
      </c>
      <c r="Q764">
        <v>81</v>
      </c>
      <c r="R764">
        <v>0</v>
      </c>
      <c r="S764">
        <v>56</v>
      </c>
      <c r="T764">
        <v>1</v>
      </c>
      <c r="U764" s="3">
        <f t="shared" ref="U764:U794" si="92">IF(M764=0,0,((N764+O764+Q764+S764+T764)/M764))</f>
        <v>1</v>
      </c>
      <c r="V764" s="3">
        <f t="shared" ref="V764:V821" si="93">(H764+I764+J764+N764+Q764+S764+T764)/(G764+M764)</f>
        <v>1</v>
      </c>
    </row>
    <row r="765" spans="1:22" x14ac:dyDescent="0.25">
      <c r="A765" s="2">
        <v>2017</v>
      </c>
      <c r="B765" t="s">
        <v>45</v>
      </c>
      <c r="C765" t="s">
        <v>1</v>
      </c>
      <c r="D765" s="2">
        <v>16594</v>
      </c>
      <c r="E765" s="2">
        <v>119329</v>
      </c>
      <c r="F765" t="s">
        <v>472</v>
      </c>
      <c r="G765">
        <v>8</v>
      </c>
      <c r="H765">
        <v>8</v>
      </c>
      <c r="I765">
        <v>0</v>
      </c>
      <c r="J765">
        <v>0</v>
      </c>
      <c r="K765">
        <v>0</v>
      </c>
      <c r="L765" s="6">
        <f t="shared" si="89"/>
        <v>1</v>
      </c>
      <c r="M765">
        <v>258</v>
      </c>
      <c r="N765">
        <v>42</v>
      </c>
      <c r="O765" s="9">
        <v>0</v>
      </c>
      <c r="P765">
        <v>1</v>
      </c>
      <c r="Q765">
        <v>131</v>
      </c>
      <c r="R765">
        <v>0</v>
      </c>
      <c r="S765">
        <v>83</v>
      </c>
      <c r="T765">
        <v>1</v>
      </c>
      <c r="U765" s="3">
        <f t="shared" si="92"/>
        <v>0.99612403100775193</v>
      </c>
      <c r="V765" s="3">
        <f t="shared" si="93"/>
        <v>0.99624060150375937</v>
      </c>
    </row>
    <row r="766" spans="1:22" x14ac:dyDescent="0.25">
      <c r="A766" s="2">
        <v>2017</v>
      </c>
      <c r="B766" t="s">
        <v>45</v>
      </c>
      <c r="C766" t="s">
        <v>1</v>
      </c>
      <c r="D766" s="2">
        <v>335</v>
      </c>
      <c r="E766" s="2">
        <v>2726</v>
      </c>
      <c r="F766" t="s">
        <v>473</v>
      </c>
      <c r="G766">
        <v>25</v>
      </c>
      <c r="H766">
        <v>25</v>
      </c>
      <c r="I766">
        <v>0</v>
      </c>
      <c r="J766">
        <v>0</v>
      </c>
      <c r="K766">
        <v>0</v>
      </c>
      <c r="L766" s="6">
        <f t="shared" si="89"/>
        <v>1</v>
      </c>
      <c r="M766">
        <v>246</v>
      </c>
      <c r="N766">
        <v>33</v>
      </c>
      <c r="O766" s="9">
        <v>0</v>
      </c>
      <c r="P766">
        <v>0</v>
      </c>
      <c r="Q766">
        <v>104</v>
      </c>
      <c r="R766">
        <v>1</v>
      </c>
      <c r="S766">
        <v>108</v>
      </c>
      <c r="T766">
        <v>0</v>
      </c>
      <c r="U766" s="3">
        <f t="shared" si="92"/>
        <v>0.99593495934959353</v>
      </c>
      <c r="V766" s="3">
        <f t="shared" si="93"/>
        <v>0.99630996309963105</v>
      </c>
    </row>
    <row r="767" spans="1:22" x14ac:dyDescent="0.25">
      <c r="A767" s="2">
        <v>2017</v>
      </c>
      <c r="B767" t="s">
        <v>45</v>
      </c>
      <c r="C767" t="s">
        <v>1</v>
      </c>
      <c r="D767" s="2">
        <v>473</v>
      </c>
      <c r="E767" s="2">
        <v>5243</v>
      </c>
      <c r="F767" t="s">
        <v>474</v>
      </c>
      <c r="G767">
        <v>18</v>
      </c>
      <c r="H767">
        <v>18</v>
      </c>
      <c r="I767">
        <v>0</v>
      </c>
      <c r="J767">
        <v>0</v>
      </c>
      <c r="K767">
        <v>0</v>
      </c>
      <c r="L767" s="6">
        <f t="shared" si="89"/>
        <v>1</v>
      </c>
      <c r="M767">
        <v>323</v>
      </c>
      <c r="N767">
        <v>49</v>
      </c>
      <c r="O767" s="9">
        <v>0</v>
      </c>
      <c r="P767">
        <v>0</v>
      </c>
      <c r="Q767">
        <v>159</v>
      </c>
      <c r="R767">
        <v>0</v>
      </c>
      <c r="S767">
        <v>114</v>
      </c>
      <c r="T767">
        <v>1</v>
      </c>
      <c r="U767" s="3">
        <f t="shared" si="92"/>
        <v>1</v>
      </c>
      <c r="V767" s="3">
        <f t="shared" si="93"/>
        <v>1</v>
      </c>
    </row>
    <row r="768" spans="1:22" x14ac:dyDescent="0.25">
      <c r="A768" s="2">
        <v>2017</v>
      </c>
      <c r="B768" t="s">
        <v>45</v>
      </c>
      <c r="C768" t="s">
        <v>1</v>
      </c>
      <c r="D768" s="2">
        <v>67</v>
      </c>
      <c r="E768" s="2">
        <v>2833</v>
      </c>
      <c r="F768" t="s">
        <v>475</v>
      </c>
      <c r="G768">
        <v>8</v>
      </c>
      <c r="H768">
        <v>8</v>
      </c>
      <c r="I768">
        <v>0</v>
      </c>
      <c r="J768">
        <v>0</v>
      </c>
      <c r="K768">
        <v>0</v>
      </c>
      <c r="L768" s="6">
        <f t="shared" si="89"/>
        <v>1</v>
      </c>
      <c r="M768">
        <v>111</v>
      </c>
      <c r="N768">
        <v>19</v>
      </c>
      <c r="O768" s="9">
        <v>0</v>
      </c>
      <c r="P768">
        <v>0</v>
      </c>
      <c r="Q768">
        <v>47</v>
      </c>
      <c r="R768">
        <v>0</v>
      </c>
      <c r="S768">
        <v>45</v>
      </c>
      <c r="T768">
        <v>0</v>
      </c>
      <c r="U768" s="3">
        <f t="shared" si="92"/>
        <v>1</v>
      </c>
      <c r="V768" s="3">
        <f t="shared" si="93"/>
        <v>1</v>
      </c>
    </row>
    <row r="769" spans="1:22" x14ac:dyDescent="0.25">
      <c r="A769" s="2">
        <v>2017</v>
      </c>
      <c r="B769" t="s">
        <v>45</v>
      </c>
      <c r="C769" t="s">
        <v>1</v>
      </c>
      <c r="D769" s="2">
        <v>3621</v>
      </c>
      <c r="E769" s="2">
        <v>9748</v>
      </c>
      <c r="F769" t="s">
        <v>476</v>
      </c>
      <c r="G769">
        <v>13</v>
      </c>
      <c r="H769">
        <v>13</v>
      </c>
      <c r="I769">
        <v>0</v>
      </c>
      <c r="J769">
        <v>0</v>
      </c>
      <c r="K769">
        <v>0</v>
      </c>
      <c r="L769" s="6">
        <f t="shared" si="89"/>
        <v>1</v>
      </c>
      <c r="M769">
        <v>199</v>
      </c>
      <c r="N769">
        <v>29</v>
      </c>
      <c r="O769" s="9">
        <v>0</v>
      </c>
      <c r="P769">
        <v>0</v>
      </c>
      <c r="Q769">
        <v>79</v>
      </c>
      <c r="R769">
        <v>0</v>
      </c>
      <c r="S769">
        <v>91</v>
      </c>
      <c r="T769">
        <v>0</v>
      </c>
      <c r="U769" s="3">
        <f t="shared" si="92"/>
        <v>1</v>
      </c>
      <c r="V769" s="3">
        <f t="shared" si="93"/>
        <v>1</v>
      </c>
    </row>
    <row r="770" spans="1:22" x14ac:dyDescent="0.25">
      <c r="A770" s="2">
        <v>2017</v>
      </c>
      <c r="B770" t="s">
        <v>45</v>
      </c>
      <c r="C770" t="s">
        <v>1</v>
      </c>
      <c r="D770" s="2">
        <v>567</v>
      </c>
      <c r="E770" s="2">
        <v>3218</v>
      </c>
      <c r="F770" t="s">
        <v>477</v>
      </c>
      <c r="G770">
        <v>11</v>
      </c>
      <c r="H770">
        <v>11</v>
      </c>
      <c r="I770">
        <v>0</v>
      </c>
      <c r="J770">
        <v>0</v>
      </c>
      <c r="K770">
        <v>0</v>
      </c>
      <c r="L770" s="6">
        <f t="shared" si="89"/>
        <v>1</v>
      </c>
      <c r="M770">
        <v>351</v>
      </c>
      <c r="N770">
        <v>65</v>
      </c>
      <c r="O770" s="9">
        <v>0</v>
      </c>
      <c r="P770">
        <v>0</v>
      </c>
      <c r="Q770">
        <v>180</v>
      </c>
      <c r="R770">
        <v>2</v>
      </c>
      <c r="S770">
        <v>104</v>
      </c>
      <c r="T770">
        <v>0</v>
      </c>
      <c r="U770" s="3">
        <f t="shared" si="92"/>
        <v>0.99430199430199429</v>
      </c>
      <c r="V770" s="3">
        <f t="shared" si="93"/>
        <v>0.99447513812154698</v>
      </c>
    </row>
    <row r="771" spans="1:22" x14ac:dyDescent="0.25">
      <c r="A771" s="2">
        <v>2017</v>
      </c>
      <c r="B771" t="s">
        <v>45</v>
      </c>
      <c r="C771" t="s">
        <v>1</v>
      </c>
      <c r="D771" s="2">
        <v>20430</v>
      </c>
      <c r="E771" s="2">
        <v>120449</v>
      </c>
      <c r="F771" t="s">
        <v>505</v>
      </c>
      <c r="G771">
        <v>5</v>
      </c>
      <c r="H771">
        <v>5</v>
      </c>
      <c r="I771">
        <v>0</v>
      </c>
      <c r="J771">
        <v>0</v>
      </c>
      <c r="K771">
        <v>0</v>
      </c>
      <c r="L771" s="6">
        <f t="shared" si="89"/>
        <v>1</v>
      </c>
      <c r="M771">
        <v>55</v>
      </c>
      <c r="N771">
        <v>11</v>
      </c>
      <c r="O771" s="9">
        <v>0</v>
      </c>
      <c r="P771">
        <v>0</v>
      </c>
      <c r="Q771">
        <v>21</v>
      </c>
      <c r="R771">
        <v>0</v>
      </c>
      <c r="S771">
        <v>23</v>
      </c>
      <c r="T771">
        <v>0</v>
      </c>
      <c r="U771" s="3">
        <f t="shared" si="92"/>
        <v>1</v>
      </c>
      <c r="V771" s="3">
        <f t="shared" si="93"/>
        <v>1</v>
      </c>
    </row>
    <row r="772" spans="1:22" x14ac:dyDescent="0.25">
      <c r="A772" s="2">
        <v>2017</v>
      </c>
      <c r="B772" t="s">
        <v>45</v>
      </c>
      <c r="C772" t="s">
        <v>1</v>
      </c>
      <c r="D772" s="2">
        <v>627</v>
      </c>
      <c r="E772" s="2">
        <v>3693</v>
      </c>
      <c r="F772" t="s">
        <v>478</v>
      </c>
      <c r="G772">
        <v>12</v>
      </c>
      <c r="H772">
        <v>12</v>
      </c>
      <c r="I772">
        <v>0</v>
      </c>
      <c r="J772">
        <v>0</v>
      </c>
      <c r="K772">
        <v>0</v>
      </c>
      <c r="L772" s="6">
        <f t="shared" ref="L772:L913" si="94">IF(G772=0,0,SUM(H772:J772)/G772)</f>
        <v>1</v>
      </c>
      <c r="M772">
        <v>92</v>
      </c>
      <c r="N772">
        <v>15</v>
      </c>
      <c r="O772" s="9">
        <v>0</v>
      </c>
      <c r="P772">
        <v>0</v>
      </c>
      <c r="Q772">
        <v>43</v>
      </c>
      <c r="R772">
        <v>0</v>
      </c>
      <c r="S772">
        <v>34</v>
      </c>
      <c r="T772">
        <v>0</v>
      </c>
      <c r="U772" s="3">
        <f t="shared" si="92"/>
        <v>1</v>
      </c>
      <c r="V772" s="3">
        <f t="shared" si="93"/>
        <v>1</v>
      </c>
    </row>
    <row r="773" spans="1:22" x14ac:dyDescent="0.25">
      <c r="A773" s="2">
        <v>2017</v>
      </c>
      <c r="B773" t="s">
        <v>45</v>
      </c>
      <c r="C773" t="s">
        <v>1</v>
      </c>
      <c r="D773" s="2">
        <v>130</v>
      </c>
      <c r="E773" s="2">
        <v>5419</v>
      </c>
      <c r="F773" t="s">
        <v>479</v>
      </c>
      <c r="G773">
        <v>26</v>
      </c>
      <c r="H773">
        <v>26</v>
      </c>
      <c r="I773">
        <v>0</v>
      </c>
      <c r="J773">
        <v>0</v>
      </c>
      <c r="K773">
        <v>0</v>
      </c>
      <c r="L773" s="6">
        <f t="shared" si="94"/>
        <v>1</v>
      </c>
      <c r="M773">
        <v>219</v>
      </c>
      <c r="N773">
        <v>29</v>
      </c>
      <c r="O773" s="9">
        <v>0</v>
      </c>
      <c r="P773">
        <v>0</v>
      </c>
      <c r="Q773">
        <v>102</v>
      </c>
      <c r="R773">
        <v>0</v>
      </c>
      <c r="S773">
        <v>87</v>
      </c>
      <c r="T773">
        <v>1</v>
      </c>
      <c r="U773" s="3">
        <f t="shared" si="92"/>
        <v>1</v>
      </c>
      <c r="V773" s="3">
        <f t="shared" si="93"/>
        <v>1</v>
      </c>
    </row>
    <row r="774" spans="1:22" x14ac:dyDescent="0.25">
      <c r="A774" s="2">
        <v>2017</v>
      </c>
      <c r="B774" t="s">
        <v>45</v>
      </c>
      <c r="C774" t="s">
        <v>1</v>
      </c>
      <c r="D774" s="2">
        <v>1397</v>
      </c>
      <c r="E774" s="2">
        <v>3661</v>
      </c>
      <c r="F774" t="s">
        <v>480</v>
      </c>
      <c r="G774">
        <v>8</v>
      </c>
      <c r="H774">
        <v>8</v>
      </c>
      <c r="I774">
        <v>0</v>
      </c>
      <c r="J774">
        <v>0</v>
      </c>
      <c r="K774">
        <v>0</v>
      </c>
      <c r="L774" s="6">
        <f t="shared" si="94"/>
        <v>1</v>
      </c>
      <c r="M774">
        <v>127</v>
      </c>
      <c r="N774">
        <v>17</v>
      </c>
      <c r="O774" s="9">
        <v>0</v>
      </c>
      <c r="P774">
        <v>0</v>
      </c>
      <c r="Q774">
        <v>49</v>
      </c>
      <c r="R774">
        <v>0</v>
      </c>
      <c r="S774">
        <v>61</v>
      </c>
      <c r="T774">
        <v>0</v>
      </c>
      <c r="U774" s="3">
        <f t="shared" si="92"/>
        <v>1</v>
      </c>
      <c r="V774" s="3">
        <f t="shared" si="93"/>
        <v>1</v>
      </c>
    </row>
    <row r="775" spans="1:22" x14ac:dyDescent="0.25">
      <c r="A775" s="2">
        <v>2017</v>
      </c>
      <c r="B775" t="s">
        <v>45</v>
      </c>
      <c r="C775" t="s">
        <v>1</v>
      </c>
      <c r="D775" s="2">
        <v>1508</v>
      </c>
      <c r="E775" s="2">
        <v>3157</v>
      </c>
      <c r="F775" t="s">
        <v>481</v>
      </c>
      <c r="G775">
        <v>4</v>
      </c>
      <c r="H775">
        <v>4</v>
      </c>
      <c r="I775">
        <v>0</v>
      </c>
      <c r="J775">
        <v>0</v>
      </c>
      <c r="K775">
        <v>0</v>
      </c>
      <c r="L775" s="6">
        <f t="shared" si="94"/>
        <v>1</v>
      </c>
      <c r="M775">
        <v>278</v>
      </c>
      <c r="N775">
        <v>58</v>
      </c>
      <c r="O775" s="9">
        <v>0</v>
      </c>
      <c r="P775">
        <v>0</v>
      </c>
      <c r="Q775">
        <v>161</v>
      </c>
      <c r="R775">
        <v>0</v>
      </c>
      <c r="S775">
        <v>59</v>
      </c>
      <c r="T775">
        <v>0</v>
      </c>
      <c r="U775" s="3">
        <f t="shared" si="92"/>
        <v>1</v>
      </c>
      <c r="V775" s="3">
        <f t="shared" si="93"/>
        <v>1</v>
      </c>
    </row>
    <row r="776" spans="1:22" x14ac:dyDescent="0.25">
      <c r="A776" s="2">
        <v>2017</v>
      </c>
      <c r="B776" t="s">
        <v>45</v>
      </c>
      <c r="C776" t="s">
        <v>1</v>
      </c>
      <c r="D776" s="2">
        <v>136</v>
      </c>
      <c r="E776" s="2">
        <v>2834</v>
      </c>
      <c r="F776" t="s">
        <v>482</v>
      </c>
      <c r="G776">
        <v>6</v>
      </c>
      <c r="H776">
        <v>6</v>
      </c>
      <c r="I776">
        <v>0</v>
      </c>
      <c r="J776">
        <v>0</v>
      </c>
      <c r="K776">
        <v>0</v>
      </c>
      <c r="L776" s="6">
        <f t="shared" si="94"/>
        <v>1</v>
      </c>
      <c r="M776">
        <v>150</v>
      </c>
      <c r="N776">
        <v>23</v>
      </c>
      <c r="O776" s="9">
        <v>0</v>
      </c>
      <c r="P776">
        <v>0</v>
      </c>
      <c r="Q776">
        <v>75</v>
      </c>
      <c r="R776">
        <v>0</v>
      </c>
      <c r="S776">
        <v>52</v>
      </c>
      <c r="T776">
        <v>0</v>
      </c>
      <c r="U776" s="3">
        <f t="shared" si="92"/>
        <v>1</v>
      </c>
      <c r="V776" s="3">
        <f t="shared" si="93"/>
        <v>1</v>
      </c>
    </row>
    <row r="777" spans="1:22" x14ac:dyDescent="0.25">
      <c r="A777" s="2">
        <v>2017</v>
      </c>
      <c r="B777" t="s">
        <v>45</v>
      </c>
      <c r="C777" t="s">
        <v>1</v>
      </c>
      <c r="D777" s="2">
        <v>138</v>
      </c>
      <c r="E777" s="2">
        <v>2741</v>
      </c>
      <c r="F777" t="s">
        <v>483</v>
      </c>
      <c r="G777">
        <v>16</v>
      </c>
      <c r="H777">
        <v>16</v>
      </c>
      <c r="I777">
        <v>0</v>
      </c>
      <c r="J777">
        <v>0</v>
      </c>
      <c r="K777">
        <v>0</v>
      </c>
      <c r="L777" s="6">
        <f t="shared" si="94"/>
        <v>1</v>
      </c>
      <c r="M777">
        <v>225</v>
      </c>
      <c r="N777">
        <v>27</v>
      </c>
      <c r="O777" s="9">
        <v>0</v>
      </c>
      <c r="P777">
        <v>0</v>
      </c>
      <c r="Q777">
        <v>92</v>
      </c>
      <c r="R777">
        <v>0</v>
      </c>
      <c r="S777">
        <v>106</v>
      </c>
      <c r="T777">
        <v>0</v>
      </c>
      <c r="U777" s="3">
        <f t="shared" si="92"/>
        <v>1</v>
      </c>
      <c r="V777" s="3">
        <f t="shared" si="93"/>
        <v>1</v>
      </c>
    </row>
    <row r="778" spans="1:22" x14ac:dyDescent="0.25">
      <c r="A778" s="2">
        <v>2017</v>
      </c>
      <c r="B778" t="s">
        <v>45</v>
      </c>
      <c r="C778" t="s">
        <v>1</v>
      </c>
      <c r="D778" s="2">
        <v>19352</v>
      </c>
      <c r="E778" s="2">
        <v>122191</v>
      </c>
      <c r="F778" t="s">
        <v>484</v>
      </c>
      <c r="G778">
        <v>8</v>
      </c>
      <c r="H778">
        <v>8</v>
      </c>
      <c r="I778">
        <v>0</v>
      </c>
      <c r="J778">
        <v>0</v>
      </c>
      <c r="K778">
        <v>0</v>
      </c>
      <c r="L778" s="6">
        <f t="shared" si="94"/>
        <v>1</v>
      </c>
      <c r="M778">
        <v>279</v>
      </c>
      <c r="N778">
        <v>40</v>
      </c>
      <c r="O778" s="9">
        <v>0</v>
      </c>
      <c r="P778">
        <v>0</v>
      </c>
      <c r="Q778">
        <v>118</v>
      </c>
      <c r="R778">
        <v>0</v>
      </c>
      <c r="S778">
        <v>120</v>
      </c>
      <c r="T778">
        <v>1</v>
      </c>
      <c r="U778" s="3">
        <f t="shared" si="92"/>
        <v>1</v>
      </c>
      <c r="V778" s="3">
        <f t="shared" si="93"/>
        <v>1</v>
      </c>
    </row>
    <row r="779" spans="1:22" x14ac:dyDescent="0.25">
      <c r="A779" s="2">
        <v>2017</v>
      </c>
      <c r="B779" t="s">
        <v>45</v>
      </c>
      <c r="C779" t="s">
        <v>1</v>
      </c>
      <c r="D779" s="2">
        <v>1632</v>
      </c>
      <c r="E779" s="2">
        <v>2953</v>
      </c>
      <c r="F779" t="s">
        <v>485</v>
      </c>
      <c r="G779">
        <v>5</v>
      </c>
      <c r="H779">
        <v>5</v>
      </c>
      <c r="I779">
        <v>0</v>
      </c>
      <c r="J779">
        <v>0</v>
      </c>
      <c r="K779">
        <v>0</v>
      </c>
      <c r="L779" s="6">
        <f t="shared" si="94"/>
        <v>1</v>
      </c>
      <c r="M779">
        <v>230</v>
      </c>
      <c r="N779">
        <v>32</v>
      </c>
      <c r="O779" s="9">
        <v>0</v>
      </c>
      <c r="P779">
        <v>0</v>
      </c>
      <c r="Q779">
        <v>116</v>
      </c>
      <c r="R779">
        <v>0</v>
      </c>
      <c r="S779">
        <v>81</v>
      </c>
      <c r="T779">
        <v>1</v>
      </c>
      <c r="U779" s="3">
        <f t="shared" si="92"/>
        <v>1</v>
      </c>
      <c r="V779" s="3">
        <f t="shared" si="93"/>
        <v>1</v>
      </c>
    </row>
    <row r="780" spans="1:22" x14ac:dyDescent="0.25">
      <c r="A780" s="2">
        <v>2017</v>
      </c>
      <c r="B780" t="s">
        <v>45</v>
      </c>
      <c r="C780" t="s">
        <v>1</v>
      </c>
      <c r="D780" s="2">
        <v>1667</v>
      </c>
      <c r="E780" s="2">
        <v>4727</v>
      </c>
      <c r="F780" t="s">
        <v>487</v>
      </c>
      <c r="G780">
        <v>12</v>
      </c>
      <c r="H780">
        <v>12</v>
      </c>
      <c r="I780">
        <v>0</v>
      </c>
      <c r="J780">
        <v>0</v>
      </c>
      <c r="K780">
        <v>0</v>
      </c>
      <c r="L780" s="6">
        <f t="shared" si="94"/>
        <v>1</v>
      </c>
      <c r="M780">
        <v>169</v>
      </c>
      <c r="N780">
        <v>30</v>
      </c>
      <c r="O780" s="9">
        <v>0</v>
      </c>
      <c r="P780">
        <v>0</v>
      </c>
      <c r="Q780">
        <v>72</v>
      </c>
      <c r="R780">
        <v>0</v>
      </c>
      <c r="S780">
        <v>67</v>
      </c>
      <c r="T780">
        <v>0</v>
      </c>
      <c r="U780" s="3">
        <f t="shared" si="92"/>
        <v>1</v>
      </c>
      <c r="V780" s="3">
        <f t="shared" si="93"/>
        <v>1</v>
      </c>
    </row>
    <row r="781" spans="1:22" x14ac:dyDescent="0.25">
      <c r="A781" s="2">
        <v>2017</v>
      </c>
      <c r="B781" t="s">
        <v>45</v>
      </c>
      <c r="C781" t="s">
        <v>1</v>
      </c>
      <c r="D781" s="2">
        <v>20010</v>
      </c>
      <c r="E781" s="2">
        <v>119432</v>
      </c>
      <c r="F781" t="s">
        <v>488</v>
      </c>
      <c r="G781">
        <v>20</v>
      </c>
      <c r="H781">
        <v>20</v>
      </c>
      <c r="I781">
        <v>0</v>
      </c>
      <c r="J781">
        <v>0</v>
      </c>
      <c r="K781">
        <v>0</v>
      </c>
      <c r="L781" s="6">
        <f t="shared" si="94"/>
        <v>1</v>
      </c>
      <c r="M781">
        <v>250</v>
      </c>
      <c r="N781">
        <v>27</v>
      </c>
      <c r="O781" s="9">
        <v>0</v>
      </c>
      <c r="P781">
        <v>0</v>
      </c>
      <c r="Q781">
        <v>95</v>
      </c>
      <c r="R781">
        <v>2</v>
      </c>
      <c r="S781">
        <v>124</v>
      </c>
      <c r="T781">
        <v>2</v>
      </c>
      <c r="U781" s="3">
        <f t="shared" si="92"/>
        <v>0.99199999999999999</v>
      </c>
      <c r="V781" s="3">
        <f t="shared" si="93"/>
        <v>0.99259259259259258</v>
      </c>
    </row>
    <row r="782" spans="1:22" x14ac:dyDescent="0.25">
      <c r="A782" s="2">
        <v>2017</v>
      </c>
      <c r="B782" t="s">
        <v>45</v>
      </c>
      <c r="C782" t="s">
        <v>1</v>
      </c>
      <c r="D782" s="2">
        <v>639</v>
      </c>
      <c r="E782" s="2">
        <v>4723</v>
      </c>
      <c r="F782" t="s">
        <v>489</v>
      </c>
      <c r="G782">
        <v>15</v>
      </c>
      <c r="H782">
        <v>15</v>
      </c>
      <c r="I782">
        <v>0</v>
      </c>
      <c r="J782">
        <v>0</v>
      </c>
      <c r="K782">
        <v>0</v>
      </c>
      <c r="L782" s="6">
        <f t="shared" si="94"/>
        <v>1</v>
      </c>
      <c r="M782">
        <v>225</v>
      </c>
      <c r="N782">
        <v>41</v>
      </c>
      <c r="O782" s="9">
        <v>0</v>
      </c>
      <c r="P782">
        <v>0</v>
      </c>
      <c r="Q782">
        <v>105</v>
      </c>
      <c r="R782">
        <v>0</v>
      </c>
      <c r="S782">
        <v>79</v>
      </c>
      <c r="T782">
        <v>0</v>
      </c>
      <c r="U782" s="3">
        <f t="shared" si="92"/>
        <v>1</v>
      </c>
      <c r="V782" s="3">
        <f t="shared" si="93"/>
        <v>1</v>
      </c>
    </row>
    <row r="783" spans="1:22" x14ac:dyDescent="0.25">
      <c r="A783" s="2">
        <v>2017</v>
      </c>
      <c r="B783" t="s">
        <v>45</v>
      </c>
      <c r="C783" t="s">
        <v>1</v>
      </c>
      <c r="D783" s="2">
        <v>1909</v>
      </c>
      <c r="E783" s="2">
        <v>5437</v>
      </c>
      <c r="F783" t="s">
        <v>490</v>
      </c>
      <c r="G783">
        <v>25</v>
      </c>
      <c r="H783">
        <v>23</v>
      </c>
      <c r="I783">
        <v>0</v>
      </c>
      <c r="J783">
        <v>1</v>
      </c>
      <c r="K783">
        <v>1</v>
      </c>
      <c r="L783" s="6">
        <f t="shared" si="94"/>
        <v>0.96</v>
      </c>
      <c r="M783">
        <v>247</v>
      </c>
      <c r="N783">
        <v>32</v>
      </c>
      <c r="O783" s="9">
        <v>0</v>
      </c>
      <c r="P783">
        <v>0</v>
      </c>
      <c r="Q783">
        <v>99</v>
      </c>
      <c r="R783">
        <v>0</v>
      </c>
      <c r="S783">
        <v>115</v>
      </c>
      <c r="T783">
        <v>1</v>
      </c>
      <c r="U783" s="3">
        <f t="shared" si="92"/>
        <v>1</v>
      </c>
      <c r="V783" s="3">
        <f t="shared" si="93"/>
        <v>0.99632352941176472</v>
      </c>
    </row>
    <row r="784" spans="1:22" x14ac:dyDescent="0.25">
      <c r="A784" s="2">
        <v>2017</v>
      </c>
      <c r="B784" t="s">
        <v>45</v>
      </c>
      <c r="C784" t="s">
        <v>1</v>
      </c>
      <c r="D784" s="2">
        <v>3622</v>
      </c>
      <c r="E784" s="2">
        <v>5670</v>
      </c>
      <c r="F784" t="s">
        <v>491</v>
      </c>
      <c r="G784">
        <v>33</v>
      </c>
      <c r="H784">
        <v>33</v>
      </c>
      <c r="I784">
        <v>0</v>
      </c>
      <c r="J784">
        <v>0</v>
      </c>
      <c r="K784">
        <v>0</v>
      </c>
      <c r="L784" s="6">
        <f t="shared" si="94"/>
        <v>1</v>
      </c>
      <c r="M784">
        <v>364</v>
      </c>
      <c r="N784">
        <v>67</v>
      </c>
      <c r="O784" s="9">
        <v>0</v>
      </c>
      <c r="P784">
        <v>0</v>
      </c>
      <c r="Q784">
        <v>144</v>
      </c>
      <c r="R784">
        <v>1</v>
      </c>
      <c r="S784">
        <v>152</v>
      </c>
      <c r="T784">
        <v>0</v>
      </c>
      <c r="U784" s="3">
        <f t="shared" si="92"/>
        <v>0.99725274725274726</v>
      </c>
      <c r="V784" s="3">
        <f t="shared" si="93"/>
        <v>0.9974811083123426</v>
      </c>
    </row>
    <row r="785" spans="1:22" x14ac:dyDescent="0.25">
      <c r="A785" s="2">
        <v>2017</v>
      </c>
      <c r="B785" t="s">
        <v>45</v>
      </c>
      <c r="C785" t="s">
        <v>1</v>
      </c>
      <c r="D785" s="2">
        <v>3707</v>
      </c>
      <c r="E785" s="2">
        <v>4739</v>
      </c>
      <c r="F785" t="s">
        <v>507</v>
      </c>
      <c r="G785">
        <v>0</v>
      </c>
      <c r="H785">
        <v>0</v>
      </c>
      <c r="I785">
        <v>0</v>
      </c>
      <c r="J785">
        <v>0</v>
      </c>
      <c r="K785">
        <v>0</v>
      </c>
      <c r="L785" s="6">
        <f t="shared" si="94"/>
        <v>0</v>
      </c>
      <c r="M785">
        <v>3</v>
      </c>
      <c r="N785">
        <v>1</v>
      </c>
      <c r="O785" s="9">
        <v>0</v>
      </c>
      <c r="P785">
        <v>0</v>
      </c>
      <c r="Q785">
        <v>2</v>
      </c>
      <c r="R785">
        <v>0</v>
      </c>
      <c r="S785">
        <v>0</v>
      </c>
      <c r="T785">
        <v>0</v>
      </c>
      <c r="U785" s="3">
        <f t="shared" si="92"/>
        <v>1</v>
      </c>
      <c r="V785" s="3">
        <f t="shared" si="93"/>
        <v>1</v>
      </c>
    </row>
    <row r="786" spans="1:22" x14ac:dyDescent="0.25">
      <c r="A786" s="2">
        <v>2017</v>
      </c>
      <c r="B786" t="s">
        <v>45</v>
      </c>
      <c r="C786" t="s">
        <v>1</v>
      </c>
      <c r="D786" s="2">
        <v>15555</v>
      </c>
      <c r="E786" s="2">
        <v>9514</v>
      </c>
      <c r="F786" t="s">
        <v>492</v>
      </c>
      <c r="G786">
        <v>18</v>
      </c>
      <c r="H786">
        <v>18</v>
      </c>
      <c r="I786">
        <v>0</v>
      </c>
      <c r="J786">
        <v>0</v>
      </c>
      <c r="K786">
        <v>0</v>
      </c>
      <c r="L786" s="6">
        <f t="shared" si="94"/>
        <v>1</v>
      </c>
      <c r="M786">
        <v>183</v>
      </c>
      <c r="N786">
        <v>29</v>
      </c>
      <c r="O786" s="9">
        <v>0</v>
      </c>
      <c r="P786">
        <v>0</v>
      </c>
      <c r="Q786">
        <v>70</v>
      </c>
      <c r="R786">
        <v>0</v>
      </c>
      <c r="S786">
        <v>83</v>
      </c>
      <c r="T786">
        <v>1</v>
      </c>
      <c r="U786" s="3">
        <f t="shared" si="92"/>
        <v>1</v>
      </c>
      <c r="V786" s="3">
        <f t="shared" si="93"/>
        <v>1</v>
      </c>
    </row>
    <row r="787" spans="1:22" x14ac:dyDescent="0.25">
      <c r="A787" s="2">
        <v>2017</v>
      </c>
      <c r="B787" t="s">
        <v>45</v>
      </c>
      <c r="C787" t="s">
        <v>1</v>
      </c>
      <c r="D787" s="2">
        <v>820</v>
      </c>
      <c r="E787" s="2">
        <v>5431</v>
      </c>
      <c r="F787" t="s">
        <v>493</v>
      </c>
      <c r="G787">
        <v>20</v>
      </c>
      <c r="H787">
        <v>20</v>
      </c>
      <c r="I787">
        <v>0</v>
      </c>
      <c r="J787">
        <v>0</v>
      </c>
      <c r="K787">
        <v>0</v>
      </c>
      <c r="L787" s="6">
        <f t="shared" si="94"/>
        <v>1</v>
      </c>
      <c r="M787">
        <v>278</v>
      </c>
      <c r="N787">
        <v>35</v>
      </c>
      <c r="O787" s="9">
        <v>0</v>
      </c>
      <c r="P787">
        <v>0</v>
      </c>
      <c r="Q787">
        <v>148</v>
      </c>
      <c r="R787">
        <v>1</v>
      </c>
      <c r="S787">
        <v>94</v>
      </c>
      <c r="T787">
        <v>0</v>
      </c>
      <c r="U787" s="3">
        <f t="shared" si="92"/>
        <v>0.99640287769784175</v>
      </c>
      <c r="V787" s="3">
        <f t="shared" si="93"/>
        <v>0.99664429530201337</v>
      </c>
    </row>
    <row r="788" spans="1:22" x14ac:dyDescent="0.25">
      <c r="A788" s="2">
        <v>2017</v>
      </c>
      <c r="B788" t="s">
        <v>45</v>
      </c>
      <c r="C788" t="s">
        <v>1</v>
      </c>
      <c r="D788" s="2">
        <v>3595</v>
      </c>
      <c r="E788" s="2">
        <v>9918</v>
      </c>
      <c r="F788" t="s">
        <v>495</v>
      </c>
      <c r="G788">
        <v>9</v>
      </c>
      <c r="H788">
        <v>9</v>
      </c>
      <c r="I788">
        <v>0</v>
      </c>
      <c r="J788">
        <v>0</v>
      </c>
      <c r="K788">
        <v>0</v>
      </c>
      <c r="L788" s="6">
        <f t="shared" si="94"/>
        <v>1</v>
      </c>
      <c r="M788">
        <v>176</v>
      </c>
      <c r="N788">
        <v>24</v>
      </c>
      <c r="O788" s="9">
        <v>0</v>
      </c>
      <c r="P788">
        <v>0</v>
      </c>
      <c r="Q788">
        <v>73</v>
      </c>
      <c r="R788">
        <v>0</v>
      </c>
      <c r="S788">
        <v>78</v>
      </c>
      <c r="T788">
        <v>1</v>
      </c>
      <c r="U788" s="3">
        <f t="shared" si="92"/>
        <v>1</v>
      </c>
      <c r="V788" s="3">
        <f t="shared" si="93"/>
        <v>1</v>
      </c>
    </row>
    <row r="789" spans="1:22" x14ac:dyDescent="0.25">
      <c r="A789" s="2">
        <v>2017</v>
      </c>
      <c r="B789" t="s">
        <v>45</v>
      </c>
      <c r="C789" t="s">
        <v>1</v>
      </c>
      <c r="D789" s="2">
        <v>1016</v>
      </c>
      <c r="E789" s="2">
        <v>2749</v>
      </c>
      <c r="F789" t="s">
        <v>496</v>
      </c>
      <c r="G789">
        <v>20</v>
      </c>
      <c r="H789">
        <v>20</v>
      </c>
      <c r="I789">
        <v>0</v>
      </c>
      <c r="J789">
        <v>0</v>
      </c>
      <c r="K789">
        <v>0</v>
      </c>
      <c r="L789" s="6">
        <f t="shared" si="94"/>
        <v>1</v>
      </c>
      <c r="M789">
        <v>240</v>
      </c>
      <c r="N789">
        <v>31</v>
      </c>
      <c r="O789" s="9">
        <v>0</v>
      </c>
      <c r="P789">
        <v>0</v>
      </c>
      <c r="Q789">
        <v>91</v>
      </c>
      <c r="R789">
        <v>0</v>
      </c>
      <c r="S789">
        <v>117</v>
      </c>
      <c r="T789">
        <v>1</v>
      </c>
      <c r="U789" s="3">
        <f t="shared" si="92"/>
        <v>1</v>
      </c>
      <c r="V789" s="3">
        <f t="shared" si="93"/>
        <v>1</v>
      </c>
    </row>
    <row r="790" spans="1:22" x14ac:dyDescent="0.25">
      <c r="A790" s="2">
        <v>2017</v>
      </c>
      <c r="B790" t="s">
        <v>45</v>
      </c>
      <c r="C790" t="s">
        <v>1</v>
      </c>
      <c r="D790" s="2">
        <v>1050</v>
      </c>
      <c r="E790" s="2">
        <v>5302</v>
      </c>
      <c r="F790" t="s">
        <v>497</v>
      </c>
      <c r="G790">
        <v>0</v>
      </c>
      <c r="H790">
        <v>0</v>
      </c>
      <c r="I790">
        <v>0</v>
      </c>
      <c r="J790">
        <v>0</v>
      </c>
      <c r="K790">
        <v>0</v>
      </c>
      <c r="L790" s="6">
        <f t="shared" si="94"/>
        <v>0</v>
      </c>
      <c r="M790">
        <v>44</v>
      </c>
      <c r="N790">
        <v>9</v>
      </c>
      <c r="O790" s="9">
        <v>0</v>
      </c>
      <c r="P790">
        <v>0</v>
      </c>
      <c r="Q790">
        <v>24</v>
      </c>
      <c r="R790">
        <v>0</v>
      </c>
      <c r="S790">
        <v>11</v>
      </c>
      <c r="T790">
        <v>0</v>
      </c>
      <c r="U790" s="3">
        <f t="shared" si="92"/>
        <v>1</v>
      </c>
      <c r="V790" s="3">
        <f t="shared" si="93"/>
        <v>1</v>
      </c>
    </row>
    <row r="791" spans="1:22" x14ac:dyDescent="0.25">
      <c r="A791" s="2">
        <v>2017</v>
      </c>
      <c r="B791" t="s">
        <v>45</v>
      </c>
      <c r="C791" t="s">
        <v>1</v>
      </c>
      <c r="D791" s="2">
        <v>1108</v>
      </c>
      <c r="E791" s="2">
        <v>4332</v>
      </c>
      <c r="F791" t="s">
        <v>498</v>
      </c>
      <c r="G791">
        <v>15</v>
      </c>
      <c r="H791">
        <v>15</v>
      </c>
      <c r="I791">
        <v>0</v>
      </c>
      <c r="J791">
        <v>0</v>
      </c>
      <c r="K791">
        <v>0</v>
      </c>
      <c r="L791" s="6">
        <f t="shared" si="94"/>
        <v>1</v>
      </c>
      <c r="M791">
        <v>194</v>
      </c>
      <c r="N791">
        <v>24</v>
      </c>
      <c r="O791" s="9">
        <v>0</v>
      </c>
      <c r="P791">
        <v>0</v>
      </c>
      <c r="Q791">
        <v>78</v>
      </c>
      <c r="R791">
        <v>0</v>
      </c>
      <c r="S791">
        <v>92</v>
      </c>
      <c r="T791">
        <v>0</v>
      </c>
      <c r="U791" s="3">
        <f t="shared" si="92"/>
        <v>1</v>
      </c>
      <c r="V791" s="3">
        <f t="shared" si="93"/>
        <v>1</v>
      </c>
    </row>
    <row r="792" spans="1:22" x14ac:dyDescent="0.25">
      <c r="A792" s="2">
        <v>2017</v>
      </c>
      <c r="B792" t="s">
        <v>45</v>
      </c>
      <c r="C792" t="s">
        <v>1</v>
      </c>
      <c r="D792" s="2">
        <v>3623</v>
      </c>
      <c r="E792" s="2">
        <v>6046</v>
      </c>
      <c r="F792" t="s">
        <v>499</v>
      </c>
      <c r="G792">
        <v>28</v>
      </c>
      <c r="H792">
        <v>28</v>
      </c>
      <c r="I792">
        <v>0</v>
      </c>
      <c r="J792">
        <v>0</v>
      </c>
      <c r="K792">
        <v>0</v>
      </c>
      <c r="L792" s="6">
        <f t="shared" si="94"/>
        <v>1</v>
      </c>
      <c r="M792">
        <v>228</v>
      </c>
      <c r="N792">
        <v>33</v>
      </c>
      <c r="O792" s="9">
        <v>0</v>
      </c>
      <c r="P792">
        <v>0</v>
      </c>
      <c r="Q792">
        <v>119</v>
      </c>
      <c r="R792">
        <v>0</v>
      </c>
      <c r="S792">
        <v>76</v>
      </c>
      <c r="T792">
        <v>0</v>
      </c>
      <c r="U792" s="3">
        <f t="shared" si="92"/>
        <v>1</v>
      </c>
      <c r="V792" s="3">
        <f t="shared" si="93"/>
        <v>1</v>
      </c>
    </row>
    <row r="793" spans="1:22" x14ac:dyDescent="0.25">
      <c r="A793" s="2">
        <v>2017</v>
      </c>
      <c r="B793" t="s">
        <v>45</v>
      </c>
      <c r="C793" t="s">
        <v>1</v>
      </c>
      <c r="D793" s="2">
        <v>14791</v>
      </c>
      <c r="E793" s="2">
        <v>118895</v>
      </c>
      <c r="F793" t="s">
        <v>500</v>
      </c>
      <c r="G793">
        <v>3</v>
      </c>
      <c r="H793">
        <v>3</v>
      </c>
      <c r="I793">
        <v>0</v>
      </c>
      <c r="J793">
        <v>0</v>
      </c>
      <c r="K793">
        <v>0</v>
      </c>
      <c r="L793" s="6">
        <f t="shared" si="94"/>
        <v>1</v>
      </c>
      <c r="M793">
        <v>102</v>
      </c>
      <c r="N793">
        <v>17</v>
      </c>
      <c r="O793" s="9">
        <v>0</v>
      </c>
      <c r="P793">
        <v>0</v>
      </c>
      <c r="Q793">
        <v>45</v>
      </c>
      <c r="R793">
        <v>0</v>
      </c>
      <c r="S793">
        <v>40</v>
      </c>
      <c r="T793">
        <v>0</v>
      </c>
      <c r="U793" s="3">
        <f t="shared" si="92"/>
        <v>1</v>
      </c>
      <c r="V793" s="3">
        <f t="shared" si="93"/>
        <v>1</v>
      </c>
    </row>
    <row r="794" spans="1:22" x14ac:dyDescent="0.25">
      <c r="A794" s="2">
        <v>2017</v>
      </c>
      <c r="B794" t="s">
        <v>45</v>
      </c>
      <c r="C794" t="s">
        <v>1</v>
      </c>
      <c r="D794" s="2">
        <v>15880</v>
      </c>
      <c r="E794" s="2">
        <v>9708</v>
      </c>
      <c r="F794" t="s">
        <v>501</v>
      </c>
      <c r="G794">
        <v>20</v>
      </c>
      <c r="H794">
        <v>20</v>
      </c>
      <c r="I794">
        <v>0</v>
      </c>
      <c r="J794">
        <v>0</v>
      </c>
      <c r="K794">
        <v>0</v>
      </c>
      <c r="L794" s="6">
        <f t="shared" si="94"/>
        <v>1</v>
      </c>
      <c r="M794">
        <v>220</v>
      </c>
      <c r="N794">
        <v>40</v>
      </c>
      <c r="O794" s="9">
        <v>0</v>
      </c>
      <c r="P794">
        <v>0</v>
      </c>
      <c r="Q794">
        <v>91</v>
      </c>
      <c r="R794">
        <v>1</v>
      </c>
      <c r="S794">
        <v>87</v>
      </c>
      <c r="T794">
        <v>1</v>
      </c>
      <c r="U794" s="3">
        <f t="shared" si="92"/>
        <v>0.99545454545454548</v>
      </c>
      <c r="V794" s="3">
        <f t="shared" si="93"/>
        <v>0.99583333333333335</v>
      </c>
    </row>
    <row r="795" spans="1:22" x14ac:dyDescent="0.25">
      <c r="A795" s="2">
        <v>2017</v>
      </c>
      <c r="B795" t="s">
        <v>45</v>
      </c>
      <c r="C795" t="s">
        <v>22</v>
      </c>
      <c r="D795" s="2">
        <v>137</v>
      </c>
      <c r="E795" s="2" t="s">
        <v>62</v>
      </c>
      <c r="F795" t="s">
        <v>27</v>
      </c>
      <c r="G795">
        <v>17</v>
      </c>
      <c r="H795">
        <v>17</v>
      </c>
      <c r="I795">
        <v>0</v>
      </c>
      <c r="J795">
        <v>0</v>
      </c>
      <c r="K795">
        <v>0</v>
      </c>
      <c r="L795" s="6">
        <f t="shared" si="94"/>
        <v>1</v>
      </c>
      <c r="M795">
        <v>202</v>
      </c>
      <c r="N795">
        <v>33</v>
      </c>
      <c r="O795" s="9">
        <v>0</v>
      </c>
      <c r="P795">
        <v>81</v>
      </c>
      <c r="Q795">
        <v>15</v>
      </c>
      <c r="R795">
        <v>72</v>
      </c>
      <c r="S795">
        <v>1</v>
      </c>
      <c r="T795">
        <v>0.92574257425742579</v>
      </c>
      <c r="U795" s="3">
        <v>0.93150684931506844</v>
      </c>
      <c r="V795" s="3">
        <f t="shared" si="93"/>
        <v>0.30559699805596996</v>
      </c>
    </row>
    <row r="796" spans="1:22" x14ac:dyDescent="0.25">
      <c r="A796" s="2">
        <v>2017</v>
      </c>
      <c r="B796" t="s">
        <v>45</v>
      </c>
      <c r="C796" t="s">
        <v>22</v>
      </c>
      <c r="D796" s="2">
        <v>29</v>
      </c>
      <c r="E796" s="2" t="s">
        <v>63</v>
      </c>
      <c r="F796" t="s">
        <v>353</v>
      </c>
      <c r="G796">
        <v>21</v>
      </c>
      <c r="H796">
        <v>21</v>
      </c>
      <c r="I796">
        <v>0</v>
      </c>
      <c r="J796">
        <v>0</v>
      </c>
      <c r="K796">
        <v>0</v>
      </c>
      <c r="L796" s="6">
        <f t="shared" si="94"/>
        <v>1</v>
      </c>
      <c r="M796">
        <v>258</v>
      </c>
      <c r="N796">
        <v>42</v>
      </c>
      <c r="O796" s="9">
        <v>0</v>
      </c>
      <c r="P796">
        <v>106</v>
      </c>
      <c r="Q796">
        <v>2</v>
      </c>
      <c r="R796">
        <v>107</v>
      </c>
      <c r="S796">
        <v>1</v>
      </c>
      <c r="T796">
        <v>0.99224806201550386</v>
      </c>
      <c r="U796" s="3">
        <v>0.99283154121863804</v>
      </c>
      <c r="V796" s="3">
        <f t="shared" si="93"/>
        <v>0.24011558445166847</v>
      </c>
    </row>
    <row r="797" spans="1:22" x14ac:dyDescent="0.25">
      <c r="A797" s="2">
        <v>2017</v>
      </c>
      <c r="B797" t="s">
        <v>45</v>
      </c>
      <c r="C797" t="s">
        <v>22</v>
      </c>
      <c r="D797" s="2">
        <v>38</v>
      </c>
      <c r="E797" s="2" t="s">
        <v>64</v>
      </c>
      <c r="F797" t="s">
        <v>354</v>
      </c>
      <c r="G797">
        <v>14</v>
      </c>
      <c r="H797">
        <v>14</v>
      </c>
      <c r="I797">
        <v>0</v>
      </c>
      <c r="J797">
        <v>0</v>
      </c>
      <c r="K797">
        <v>0</v>
      </c>
      <c r="L797" s="6">
        <f t="shared" si="94"/>
        <v>1</v>
      </c>
      <c r="M797">
        <v>168</v>
      </c>
      <c r="N797">
        <v>35</v>
      </c>
      <c r="O797" s="9">
        <v>0</v>
      </c>
      <c r="P797">
        <v>59</v>
      </c>
      <c r="Q797">
        <v>3</v>
      </c>
      <c r="R797">
        <v>70</v>
      </c>
      <c r="S797">
        <v>1</v>
      </c>
      <c r="T797">
        <v>0.9821428571428571</v>
      </c>
      <c r="U797" s="3">
        <v>0.98351648351648346</v>
      </c>
      <c r="V797" s="3">
        <f t="shared" si="93"/>
        <v>0.29660518053375196</v>
      </c>
    </row>
    <row r="798" spans="1:22" x14ac:dyDescent="0.25">
      <c r="A798" s="2">
        <v>2017</v>
      </c>
      <c r="B798" t="s">
        <v>45</v>
      </c>
      <c r="C798" t="s">
        <v>22</v>
      </c>
      <c r="D798" s="2">
        <v>58</v>
      </c>
      <c r="E798" s="2" t="s">
        <v>65</v>
      </c>
      <c r="F798" t="s">
        <v>355</v>
      </c>
      <c r="G798">
        <v>40</v>
      </c>
      <c r="H798">
        <v>40</v>
      </c>
      <c r="I798">
        <v>0</v>
      </c>
      <c r="J798">
        <v>0</v>
      </c>
      <c r="K798">
        <v>0</v>
      </c>
      <c r="L798" s="6">
        <f t="shared" si="94"/>
        <v>1</v>
      </c>
      <c r="M798">
        <v>430</v>
      </c>
      <c r="N798">
        <v>89</v>
      </c>
      <c r="O798" s="9">
        <v>0</v>
      </c>
      <c r="P798">
        <v>186</v>
      </c>
      <c r="Q798">
        <v>1</v>
      </c>
      <c r="R798">
        <v>147</v>
      </c>
      <c r="S798">
        <v>7</v>
      </c>
      <c r="T798">
        <v>0.99767441860465111</v>
      </c>
      <c r="U798" s="3">
        <v>0.99787234042553197</v>
      </c>
      <c r="V798" s="3">
        <f t="shared" si="93"/>
        <v>0.29361207323107369</v>
      </c>
    </row>
    <row r="799" spans="1:22" x14ac:dyDescent="0.25">
      <c r="A799" s="2">
        <v>2017</v>
      </c>
      <c r="B799" t="s">
        <v>45</v>
      </c>
      <c r="C799" t="s">
        <v>22</v>
      </c>
      <c r="D799" s="2">
        <v>14</v>
      </c>
      <c r="E799" s="2" t="s">
        <v>66</v>
      </c>
      <c r="F799" t="s">
        <v>423</v>
      </c>
      <c r="G799">
        <v>0</v>
      </c>
      <c r="H799">
        <v>0</v>
      </c>
      <c r="I799">
        <v>0</v>
      </c>
      <c r="J799">
        <v>0</v>
      </c>
      <c r="K799">
        <v>0</v>
      </c>
      <c r="L799" s="6">
        <f t="shared" si="94"/>
        <v>0</v>
      </c>
      <c r="M799">
        <v>1</v>
      </c>
      <c r="N799">
        <v>0</v>
      </c>
      <c r="O799" s="9">
        <v>0</v>
      </c>
      <c r="P799">
        <v>1</v>
      </c>
      <c r="Q799">
        <v>0</v>
      </c>
      <c r="R799">
        <v>0</v>
      </c>
      <c r="S799">
        <v>0</v>
      </c>
      <c r="T799">
        <v>1</v>
      </c>
      <c r="U799" s="3">
        <v>1</v>
      </c>
      <c r="V799" s="3">
        <f t="shared" si="93"/>
        <v>1</v>
      </c>
    </row>
    <row r="800" spans="1:22" x14ac:dyDescent="0.25">
      <c r="A800" s="2">
        <v>2017</v>
      </c>
      <c r="B800" t="s">
        <v>45</v>
      </c>
      <c r="C800" t="s">
        <v>22</v>
      </c>
      <c r="D800" s="2">
        <v>51</v>
      </c>
      <c r="E800" s="2" t="s">
        <v>67</v>
      </c>
      <c r="F800" t="s">
        <v>410</v>
      </c>
      <c r="G800">
        <v>1</v>
      </c>
      <c r="H800">
        <v>1</v>
      </c>
      <c r="I800">
        <v>0</v>
      </c>
      <c r="J800">
        <v>0</v>
      </c>
      <c r="K800">
        <v>0</v>
      </c>
      <c r="L800" s="6">
        <f t="shared" si="94"/>
        <v>1</v>
      </c>
      <c r="M800">
        <v>2</v>
      </c>
      <c r="N800">
        <v>1</v>
      </c>
      <c r="O800" s="9">
        <v>0</v>
      </c>
      <c r="P800">
        <v>0</v>
      </c>
      <c r="Q800">
        <v>0</v>
      </c>
      <c r="R800">
        <v>1</v>
      </c>
      <c r="S800">
        <v>0</v>
      </c>
      <c r="T800">
        <v>1</v>
      </c>
      <c r="U800" s="3">
        <v>1</v>
      </c>
      <c r="V800" s="3">
        <f t="shared" si="93"/>
        <v>1</v>
      </c>
    </row>
    <row r="801" spans="1:22" x14ac:dyDescent="0.25">
      <c r="A801" s="2">
        <v>2017</v>
      </c>
      <c r="B801" t="s">
        <v>45</v>
      </c>
      <c r="C801" t="s">
        <v>22</v>
      </c>
      <c r="D801" s="2">
        <v>23</v>
      </c>
      <c r="E801" s="2" t="s">
        <v>68</v>
      </c>
      <c r="F801" t="s">
        <v>358</v>
      </c>
      <c r="G801">
        <v>0</v>
      </c>
      <c r="H801">
        <v>0</v>
      </c>
      <c r="I801">
        <v>0</v>
      </c>
      <c r="J801">
        <v>0</v>
      </c>
      <c r="K801">
        <v>0</v>
      </c>
      <c r="L801" s="6">
        <f t="shared" si="94"/>
        <v>0</v>
      </c>
      <c r="M801">
        <v>17</v>
      </c>
      <c r="N801">
        <v>2</v>
      </c>
      <c r="O801" s="9">
        <v>0</v>
      </c>
      <c r="P801">
        <v>4</v>
      </c>
      <c r="Q801">
        <v>0</v>
      </c>
      <c r="R801">
        <v>11</v>
      </c>
      <c r="S801">
        <v>0</v>
      </c>
      <c r="T801">
        <v>1</v>
      </c>
      <c r="U801" s="3">
        <v>1</v>
      </c>
      <c r="V801" s="3">
        <f t="shared" si="93"/>
        <v>0.17647058823529413</v>
      </c>
    </row>
    <row r="802" spans="1:22" x14ac:dyDescent="0.25">
      <c r="A802" s="2">
        <v>2017</v>
      </c>
      <c r="B802" t="s">
        <v>45</v>
      </c>
      <c r="C802" t="s">
        <v>22</v>
      </c>
      <c r="D802" s="2">
        <v>77</v>
      </c>
      <c r="E802" s="2" t="s">
        <v>69</v>
      </c>
      <c r="F802" t="s">
        <v>359</v>
      </c>
      <c r="G802">
        <v>46</v>
      </c>
      <c r="H802">
        <v>44</v>
      </c>
      <c r="I802">
        <v>0</v>
      </c>
      <c r="J802">
        <v>0</v>
      </c>
      <c r="K802">
        <v>2</v>
      </c>
      <c r="L802" s="6">
        <f t="shared" si="94"/>
        <v>0.95652173913043481</v>
      </c>
      <c r="M802">
        <v>456</v>
      </c>
      <c r="N802">
        <v>87</v>
      </c>
      <c r="O802" s="9">
        <v>0</v>
      </c>
      <c r="P802">
        <v>200</v>
      </c>
      <c r="Q802">
        <v>6</v>
      </c>
      <c r="R802">
        <v>158</v>
      </c>
      <c r="S802">
        <v>5</v>
      </c>
      <c r="T802">
        <v>0.98684210526315785</v>
      </c>
      <c r="U802" s="3">
        <v>0.98406374501992033</v>
      </c>
      <c r="V802" s="3">
        <f t="shared" si="93"/>
        <v>0.28483434682323339</v>
      </c>
    </row>
    <row r="803" spans="1:22" x14ac:dyDescent="0.25">
      <c r="A803" s="2">
        <v>2017</v>
      </c>
      <c r="B803" t="s">
        <v>45</v>
      </c>
      <c r="C803" t="s">
        <v>22</v>
      </c>
      <c r="D803" s="2">
        <v>28</v>
      </c>
      <c r="E803" s="2" t="s">
        <v>70</v>
      </c>
      <c r="F803" t="s">
        <v>360</v>
      </c>
      <c r="G803">
        <v>52</v>
      </c>
      <c r="H803">
        <v>51</v>
      </c>
      <c r="I803">
        <v>0</v>
      </c>
      <c r="J803">
        <v>0</v>
      </c>
      <c r="K803">
        <v>1</v>
      </c>
      <c r="L803" s="6">
        <f t="shared" si="94"/>
        <v>0.98076923076923073</v>
      </c>
      <c r="M803">
        <v>546</v>
      </c>
      <c r="N803">
        <v>88</v>
      </c>
      <c r="O803" s="9">
        <v>0</v>
      </c>
      <c r="P803">
        <v>206</v>
      </c>
      <c r="Q803">
        <v>4</v>
      </c>
      <c r="R803">
        <v>244</v>
      </c>
      <c r="S803">
        <v>4</v>
      </c>
      <c r="T803">
        <v>0.9926739926739927</v>
      </c>
      <c r="U803" s="3">
        <v>0.99163879598662208</v>
      </c>
      <c r="V803" s="3">
        <f t="shared" si="93"/>
        <v>0.24747938794761537</v>
      </c>
    </row>
    <row r="804" spans="1:22" x14ac:dyDescent="0.25">
      <c r="A804" s="2">
        <v>2017</v>
      </c>
      <c r="B804" t="s">
        <v>45</v>
      </c>
      <c r="C804" t="s">
        <v>22</v>
      </c>
      <c r="D804" s="2">
        <v>63</v>
      </c>
      <c r="E804" s="2" t="s">
        <v>71</v>
      </c>
      <c r="F804" t="s">
        <v>361</v>
      </c>
      <c r="G804">
        <v>29</v>
      </c>
      <c r="H804">
        <v>28</v>
      </c>
      <c r="I804">
        <v>0</v>
      </c>
      <c r="J804">
        <v>0</v>
      </c>
      <c r="K804">
        <v>1</v>
      </c>
      <c r="L804" s="6">
        <f t="shared" si="94"/>
        <v>0.96551724137931039</v>
      </c>
      <c r="M804">
        <v>380</v>
      </c>
      <c r="N804">
        <v>69</v>
      </c>
      <c r="O804" s="9">
        <v>0</v>
      </c>
      <c r="P804">
        <v>193</v>
      </c>
      <c r="Q804">
        <v>0</v>
      </c>
      <c r="R804">
        <v>118</v>
      </c>
      <c r="S804">
        <v>0</v>
      </c>
      <c r="T804">
        <v>1</v>
      </c>
      <c r="U804" s="3">
        <v>0.99755501222493892</v>
      </c>
      <c r="V804" s="3">
        <f t="shared" si="93"/>
        <v>0.23960880195599021</v>
      </c>
    </row>
    <row r="805" spans="1:22" x14ac:dyDescent="0.25">
      <c r="A805" s="2">
        <v>2017</v>
      </c>
      <c r="B805" t="s">
        <v>45</v>
      </c>
      <c r="C805" t="s">
        <v>22</v>
      </c>
      <c r="D805" s="2">
        <v>19</v>
      </c>
      <c r="E805" s="2" t="s">
        <v>72</v>
      </c>
      <c r="F805" t="s">
        <v>362</v>
      </c>
      <c r="G805">
        <v>13</v>
      </c>
      <c r="H805">
        <v>13</v>
      </c>
      <c r="I805">
        <v>0</v>
      </c>
      <c r="J805">
        <v>0</v>
      </c>
      <c r="K805">
        <v>0</v>
      </c>
      <c r="L805" s="6">
        <f t="shared" si="94"/>
        <v>1</v>
      </c>
      <c r="M805">
        <v>274</v>
      </c>
      <c r="N805">
        <v>35</v>
      </c>
      <c r="O805" s="9">
        <v>0</v>
      </c>
      <c r="P805">
        <v>129</v>
      </c>
      <c r="Q805">
        <v>12</v>
      </c>
      <c r="R805">
        <v>97</v>
      </c>
      <c r="S805">
        <v>1</v>
      </c>
      <c r="T805">
        <v>0.95620437956204385</v>
      </c>
      <c r="U805" s="3">
        <v>0.95818815331010454</v>
      </c>
      <c r="V805" s="3">
        <f t="shared" si="93"/>
        <v>0.21587527658383987</v>
      </c>
    </row>
    <row r="806" spans="1:22" x14ac:dyDescent="0.25">
      <c r="A806" s="2">
        <v>2017</v>
      </c>
      <c r="B806" t="s">
        <v>45</v>
      </c>
      <c r="C806" t="s">
        <v>22</v>
      </c>
      <c r="D806" s="2">
        <v>147</v>
      </c>
      <c r="E806" s="2" t="s">
        <v>73</v>
      </c>
      <c r="F806" t="s">
        <v>482</v>
      </c>
      <c r="G806">
        <v>1</v>
      </c>
      <c r="H806">
        <v>1</v>
      </c>
      <c r="I806">
        <v>0</v>
      </c>
      <c r="J806">
        <v>0</v>
      </c>
      <c r="K806">
        <v>0</v>
      </c>
      <c r="L806" s="6">
        <f t="shared" si="94"/>
        <v>1</v>
      </c>
      <c r="M806">
        <v>72</v>
      </c>
      <c r="N806">
        <v>9</v>
      </c>
      <c r="O806" s="9">
        <v>0</v>
      </c>
      <c r="P806">
        <v>40</v>
      </c>
      <c r="Q806">
        <v>0</v>
      </c>
      <c r="R806">
        <v>21</v>
      </c>
      <c r="S806">
        <v>2</v>
      </c>
      <c r="T806">
        <v>1</v>
      </c>
      <c r="U806" s="3">
        <v>1</v>
      </c>
      <c r="V806" s="3">
        <f t="shared" si="93"/>
        <v>0.17808219178082191</v>
      </c>
    </row>
    <row r="807" spans="1:22" x14ac:dyDescent="0.25">
      <c r="A807" s="2">
        <v>2017</v>
      </c>
      <c r="B807" t="s">
        <v>45</v>
      </c>
      <c r="C807" t="s">
        <v>22</v>
      </c>
      <c r="D807" s="2">
        <v>68</v>
      </c>
      <c r="E807" s="2" t="s">
        <v>74</v>
      </c>
      <c r="F807" t="s">
        <v>363</v>
      </c>
      <c r="G807">
        <v>34</v>
      </c>
      <c r="H807">
        <v>33</v>
      </c>
      <c r="I807">
        <v>0</v>
      </c>
      <c r="J807">
        <v>0</v>
      </c>
      <c r="K807">
        <v>1</v>
      </c>
      <c r="L807" s="6">
        <f t="shared" si="94"/>
        <v>0.97058823529411764</v>
      </c>
      <c r="M807">
        <v>394</v>
      </c>
      <c r="N807">
        <v>73</v>
      </c>
      <c r="O807" s="9">
        <v>1</v>
      </c>
      <c r="P807">
        <v>186</v>
      </c>
      <c r="Q807">
        <v>5</v>
      </c>
      <c r="R807">
        <v>129</v>
      </c>
      <c r="S807">
        <v>0</v>
      </c>
      <c r="T807">
        <v>0.98477157360406087</v>
      </c>
      <c r="U807" s="3">
        <v>0.98364485981308414</v>
      </c>
      <c r="V807" s="3">
        <f t="shared" si="93"/>
        <v>0.26164666255514968</v>
      </c>
    </row>
    <row r="808" spans="1:22" x14ac:dyDescent="0.25">
      <c r="A808" s="2">
        <v>2017</v>
      </c>
      <c r="B808" t="s">
        <v>45</v>
      </c>
      <c r="C808" t="s">
        <v>22</v>
      </c>
      <c r="D808" s="2">
        <v>144</v>
      </c>
      <c r="E808" s="2" t="s">
        <v>75</v>
      </c>
      <c r="F808" t="s">
        <v>364</v>
      </c>
      <c r="G808">
        <v>7</v>
      </c>
      <c r="H808">
        <v>7</v>
      </c>
      <c r="I808">
        <v>0</v>
      </c>
      <c r="J808">
        <v>0</v>
      </c>
      <c r="K808">
        <v>0</v>
      </c>
      <c r="L808" s="6">
        <f t="shared" si="94"/>
        <v>1</v>
      </c>
      <c r="M808">
        <v>222</v>
      </c>
      <c r="N808">
        <v>52</v>
      </c>
      <c r="O808" s="9">
        <v>0</v>
      </c>
      <c r="P808">
        <v>116</v>
      </c>
      <c r="Q808">
        <v>3</v>
      </c>
      <c r="R808">
        <v>47</v>
      </c>
      <c r="S808">
        <v>4</v>
      </c>
      <c r="T808">
        <v>0.98648648648648651</v>
      </c>
      <c r="U808" s="3">
        <v>0.98689956331877726</v>
      </c>
      <c r="V808" s="3">
        <f t="shared" si="93"/>
        <v>0.29251740823793226</v>
      </c>
    </row>
    <row r="809" spans="1:22" x14ac:dyDescent="0.25">
      <c r="A809" s="2">
        <v>2017</v>
      </c>
      <c r="B809" t="s">
        <v>45</v>
      </c>
      <c r="C809" t="s">
        <v>22</v>
      </c>
      <c r="D809" s="2">
        <v>118</v>
      </c>
      <c r="E809" s="2" t="s">
        <v>76</v>
      </c>
      <c r="F809" t="s">
        <v>443</v>
      </c>
      <c r="G809">
        <v>5</v>
      </c>
      <c r="H809">
        <v>5</v>
      </c>
      <c r="I809">
        <v>0</v>
      </c>
      <c r="J809">
        <v>0</v>
      </c>
      <c r="K809">
        <v>0</v>
      </c>
      <c r="L809" s="6">
        <f t="shared" si="94"/>
        <v>1</v>
      </c>
      <c r="M809">
        <v>49</v>
      </c>
      <c r="N809">
        <v>10</v>
      </c>
      <c r="O809" s="9">
        <v>0</v>
      </c>
      <c r="P809">
        <v>13</v>
      </c>
      <c r="Q809">
        <v>0</v>
      </c>
      <c r="R809">
        <v>24</v>
      </c>
      <c r="S809">
        <v>2</v>
      </c>
      <c r="T809">
        <v>1</v>
      </c>
      <c r="U809" s="3">
        <v>1</v>
      </c>
      <c r="V809" s="3">
        <f t="shared" si="93"/>
        <v>0.33333333333333331</v>
      </c>
    </row>
    <row r="810" spans="1:22" x14ac:dyDescent="0.25">
      <c r="A810" s="2">
        <v>2017</v>
      </c>
      <c r="B810" t="s">
        <v>45</v>
      </c>
      <c r="C810" t="s">
        <v>22</v>
      </c>
      <c r="D810" s="2">
        <v>70</v>
      </c>
      <c r="E810" s="2" t="s">
        <v>77</v>
      </c>
      <c r="F810" t="s">
        <v>365</v>
      </c>
      <c r="G810">
        <v>1</v>
      </c>
      <c r="H810">
        <v>1</v>
      </c>
      <c r="I810">
        <v>0</v>
      </c>
      <c r="J810">
        <v>0</v>
      </c>
      <c r="K810">
        <v>0</v>
      </c>
      <c r="L810" s="6">
        <f t="shared" si="94"/>
        <v>1</v>
      </c>
      <c r="M810">
        <v>20</v>
      </c>
      <c r="N810">
        <v>4</v>
      </c>
      <c r="O810" s="9">
        <v>0</v>
      </c>
      <c r="P810">
        <v>2</v>
      </c>
      <c r="Q810">
        <v>0</v>
      </c>
      <c r="R810">
        <v>14</v>
      </c>
      <c r="S810">
        <v>0</v>
      </c>
      <c r="T810">
        <v>1</v>
      </c>
      <c r="U810" s="3">
        <v>1</v>
      </c>
      <c r="V810" s="3">
        <f t="shared" si="93"/>
        <v>0.2857142857142857</v>
      </c>
    </row>
    <row r="811" spans="1:22" x14ac:dyDescent="0.25">
      <c r="A811" s="2">
        <v>2017</v>
      </c>
      <c r="B811" t="s">
        <v>45</v>
      </c>
      <c r="C811" t="s">
        <v>22</v>
      </c>
      <c r="D811" s="2">
        <v>65</v>
      </c>
      <c r="E811" s="2" t="s">
        <v>78</v>
      </c>
      <c r="F811" t="s">
        <v>328</v>
      </c>
      <c r="G811">
        <v>23</v>
      </c>
      <c r="H811">
        <v>23</v>
      </c>
      <c r="I811">
        <v>0</v>
      </c>
      <c r="J811">
        <v>0</v>
      </c>
      <c r="K811">
        <v>0</v>
      </c>
      <c r="L811" s="6">
        <f t="shared" si="94"/>
        <v>1</v>
      </c>
      <c r="M811">
        <v>376</v>
      </c>
      <c r="N811">
        <v>74</v>
      </c>
      <c r="O811" s="9">
        <v>0</v>
      </c>
      <c r="P811">
        <v>198</v>
      </c>
      <c r="Q811">
        <v>0</v>
      </c>
      <c r="R811">
        <v>103</v>
      </c>
      <c r="S811">
        <v>1</v>
      </c>
      <c r="T811">
        <v>1</v>
      </c>
      <c r="U811" s="3">
        <v>1</v>
      </c>
      <c r="V811" s="3">
        <f t="shared" si="93"/>
        <v>0.24812030075187969</v>
      </c>
    </row>
    <row r="812" spans="1:22" x14ac:dyDescent="0.25">
      <c r="A812" s="2">
        <v>2017</v>
      </c>
      <c r="B812" t="s">
        <v>45</v>
      </c>
      <c r="C812" t="s">
        <v>22</v>
      </c>
      <c r="D812" s="2">
        <v>27</v>
      </c>
      <c r="E812" s="2" t="s">
        <v>79</v>
      </c>
      <c r="F812" t="s">
        <v>367</v>
      </c>
      <c r="G812">
        <v>21</v>
      </c>
      <c r="H812">
        <v>21</v>
      </c>
      <c r="I812">
        <v>0</v>
      </c>
      <c r="J812">
        <v>0</v>
      </c>
      <c r="K812">
        <v>0</v>
      </c>
      <c r="L812" s="6">
        <f t="shared" si="94"/>
        <v>1</v>
      </c>
      <c r="M812">
        <v>278</v>
      </c>
      <c r="N812">
        <v>62</v>
      </c>
      <c r="O812" s="9">
        <v>0</v>
      </c>
      <c r="P812">
        <v>132</v>
      </c>
      <c r="Q812">
        <v>0</v>
      </c>
      <c r="R812">
        <v>84</v>
      </c>
      <c r="S812">
        <v>0</v>
      </c>
      <c r="T812">
        <v>1</v>
      </c>
      <c r="U812" s="3">
        <v>1</v>
      </c>
      <c r="V812" s="3">
        <f t="shared" si="93"/>
        <v>0.28093645484949831</v>
      </c>
    </row>
    <row r="813" spans="1:22" x14ac:dyDescent="0.25">
      <c r="A813" s="2">
        <v>2017</v>
      </c>
      <c r="B813" t="s">
        <v>45</v>
      </c>
      <c r="C813" t="s">
        <v>22</v>
      </c>
      <c r="D813" s="2">
        <v>130</v>
      </c>
      <c r="E813" s="2" t="s">
        <v>80</v>
      </c>
      <c r="F813" t="s">
        <v>491</v>
      </c>
      <c r="G813">
        <v>1</v>
      </c>
      <c r="H813">
        <v>1</v>
      </c>
      <c r="I813">
        <v>0</v>
      </c>
      <c r="J813">
        <v>0</v>
      </c>
      <c r="K813">
        <v>0</v>
      </c>
      <c r="L813" s="6">
        <f t="shared" si="94"/>
        <v>1</v>
      </c>
      <c r="M813">
        <v>36</v>
      </c>
      <c r="N813">
        <v>9</v>
      </c>
      <c r="O813" s="9">
        <v>0</v>
      </c>
      <c r="P813">
        <v>22</v>
      </c>
      <c r="Q813">
        <v>0</v>
      </c>
      <c r="R813">
        <v>5</v>
      </c>
      <c r="S813">
        <v>0</v>
      </c>
      <c r="T813">
        <v>1</v>
      </c>
      <c r="U813" s="3">
        <v>1</v>
      </c>
      <c r="V813" s="3">
        <f t="shared" si="93"/>
        <v>0.29729729729729731</v>
      </c>
    </row>
    <row r="814" spans="1:22" x14ac:dyDescent="0.25">
      <c r="A814" s="2">
        <v>2017</v>
      </c>
      <c r="B814" t="s">
        <v>45</v>
      </c>
      <c r="C814" t="s">
        <v>22</v>
      </c>
      <c r="D814" s="2">
        <v>152</v>
      </c>
      <c r="E814" s="2" t="s">
        <v>81</v>
      </c>
      <c r="F814" t="s">
        <v>429</v>
      </c>
      <c r="G814">
        <v>0</v>
      </c>
      <c r="H814">
        <v>0</v>
      </c>
      <c r="I814">
        <v>0</v>
      </c>
      <c r="J814">
        <v>0</v>
      </c>
      <c r="K814">
        <v>0</v>
      </c>
      <c r="L814" s="6">
        <f t="shared" si="94"/>
        <v>0</v>
      </c>
      <c r="M814">
        <v>26</v>
      </c>
      <c r="N814">
        <v>6</v>
      </c>
      <c r="O814" s="9">
        <v>0</v>
      </c>
      <c r="P814">
        <v>14</v>
      </c>
      <c r="Q814">
        <v>0</v>
      </c>
      <c r="R814">
        <v>6</v>
      </c>
      <c r="S814">
        <v>0</v>
      </c>
      <c r="T814">
        <v>1</v>
      </c>
      <c r="U814" s="3">
        <v>1</v>
      </c>
      <c r="V814" s="3">
        <f t="shared" si="93"/>
        <v>0.26923076923076922</v>
      </c>
    </row>
    <row r="815" spans="1:22" x14ac:dyDescent="0.25">
      <c r="A815" s="2">
        <v>2017</v>
      </c>
      <c r="B815" t="s">
        <v>45</v>
      </c>
      <c r="C815" t="s">
        <v>22</v>
      </c>
      <c r="D815" s="2">
        <v>156</v>
      </c>
      <c r="E815" s="2" t="s">
        <v>81</v>
      </c>
      <c r="F815" t="s">
        <v>438</v>
      </c>
      <c r="G815">
        <v>5</v>
      </c>
      <c r="H815">
        <v>5</v>
      </c>
      <c r="I815">
        <v>0</v>
      </c>
      <c r="J815">
        <v>0</v>
      </c>
      <c r="K815">
        <v>0</v>
      </c>
      <c r="L815" s="6">
        <f t="shared" si="94"/>
        <v>1</v>
      </c>
      <c r="M815">
        <v>109</v>
      </c>
      <c r="N815">
        <v>21</v>
      </c>
      <c r="O815" s="9">
        <v>0</v>
      </c>
      <c r="P815">
        <v>54</v>
      </c>
      <c r="Q815">
        <v>0</v>
      </c>
      <c r="R815">
        <v>33</v>
      </c>
      <c r="S815">
        <v>1</v>
      </c>
      <c r="T815">
        <v>1</v>
      </c>
      <c r="U815" s="3">
        <v>1</v>
      </c>
      <c r="V815" s="3">
        <f t="shared" si="93"/>
        <v>0.24561403508771928</v>
      </c>
    </row>
    <row r="816" spans="1:22" x14ac:dyDescent="0.25">
      <c r="A816" s="2">
        <v>2017</v>
      </c>
      <c r="B816" t="s">
        <v>45</v>
      </c>
      <c r="C816" t="s">
        <v>22</v>
      </c>
      <c r="D816" s="2">
        <v>45</v>
      </c>
      <c r="E816" s="2" t="s">
        <v>82</v>
      </c>
      <c r="F816" t="s">
        <v>416</v>
      </c>
      <c r="G816">
        <v>0</v>
      </c>
      <c r="H816">
        <v>0</v>
      </c>
      <c r="I816">
        <v>0</v>
      </c>
      <c r="J816">
        <v>0</v>
      </c>
      <c r="K816">
        <v>0</v>
      </c>
      <c r="L816" s="6">
        <f t="shared" si="94"/>
        <v>0</v>
      </c>
      <c r="M816">
        <v>1</v>
      </c>
      <c r="N816">
        <v>1</v>
      </c>
      <c r="O816" s="9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 s="3">
        <v>1</v>
      </c>
      <c r="V816" s="3">
        <f t="shared" si="93"/>
        <v>2</v>
      </c>
    </row>
    <row r="817" spans="1:22" x14ac:dyDescent="0.25">
      <c r="A817" s="2">
        <v>2017</v>
      </c>
      <c r="B817" t="s">
        <v>45</v>
      </c>
      <c r="C817" t="s">
        <v>22</v>
      </c>
      <c r="D817" s="2">
        <v>25</v>
      </c>
      <c r="E817" s="2" t="s">
        <v>83</v>
      </c>
      <c r="F817" t="s">
        <v>369</v>
      </c>
      <c r="G817">
        <v>35</v>
      </c>
      <c r="H817">
        <v>35</v>
      </c>
      <c r="I817">
        <v>0</v>
      </c>
      <c r="J817">
        <v>0</v>
      </c>
      <c r="K817">
        <v>0</v>
      </c>
      <c r="L817" s="6">
        <f t="shared" si="94"/>
        <v>1</v>
      </c>
      <c r="M817">
        <v>314</v>
      </c>
      <c r="N817">
        <v>57</v>
      </c>
      <c r="O817" s="9">
        <v>0</v>
      </c>
      <c r="P817">
        <v>112</v>
      </c>
      <c r="Q817">
        <v>16</v>
      </c>
      <c r="R817">
        <v>129</v>
      </c>
      <c r="S817">
        <v>0</v>
      </c>
      <c r="T817">
        <v>0.94904458598726116</v>
      </c>
      <c r="U817" s="3">
        <v>0.95415472779369626</v>
      </c>
      <c r="V817" s="3">
        <f t="shared" si="93"/>
        <v>0.3121749128538317</v>
      </c>
    </row>
    <row r="818" spans="1:22" x14ac:dyDescent="0.25">
      <c r="A818" s="2">
        <v>2017</v>
      </c>
      <c r="B818" t="s">
        <v>45</v>
      </c>
      <c r="C818" t="s">
        <v>22</v>
      </c>
      <c r="D818" s="2">
        <v>184</v>
      </c>
      <c r="E818" s="2" t="s">
        <v>84</v>
      </c>
      <c r="F818" t="s">
        <v>371</v>
      </c>
      <c r="G818">
        <v>11</v>
      </c>
      <c r="H818">
        <v>11</v>
      </c>
      <c r="I818">
        <v>0</v>
      </c>
      <c r="J818">
        <v>0</v>
      </c>
      <c r="K818">
        <v>0</v>
      </c>
      <c r="L818" s="6">
        <f t="shared" si="94"/>
        <v>1</v>
      </c>
      <c r="M818">
        <v>328</v>
      </c>
      <c r="N818">
        <v>60</v>
      </c>
      <c r="O818" s="9">
        <v>0</v>
      </c>
      <c r="P818">
        <v>129</v>
      </c>
      <c r="Q818">
        <v>0</v>
      </c>
      <c r="R818">
        <v>134</v>
      </c>
      <c r="S818">
        <v>5</v>
      </c>
      <c r="T818">
        <v>1</v>
      </c>
      <c r="U818" s="3">
        <v>1</v>
      </c>
      <c r="V818" s="3">
        <f t="shared" si="93"/>
        <v>0.22713864306784662</v>
      </c>
    </row>
    <row r="819" spans="1:22" x14ac:dyDescent="0.25">
      <c r="A819" s="2">
        <v>2017</v>
      </c>
      <c r="B819" t="s">
        <v>45</v>
      </c>
      <c r="C819" t="s">
        <v>22</v>
      </c>
      <c r="D819" s="2">
        <v>37</v>
      </c>
      <c r="E819" s="2" t="s">
        <v>85</v>
      </c>
      <c r="F819" t="s">
        <v>444</v>
      </c>
      <c r="G819">
        <v>0</v>
      </c>
      <c r="H819">
        <v>0</v>
      </c>
      <c r="I819">
        <v>0</v>
      </c>
      <c r="J819">
        <v>0</v>
      </c>
      <c r="K819">
        <v>0</v>
      </c>
      <c r="L819" s="6">
        <f t="shared" si="94"/>
        <v>0</v>
      </c>
      <c r="M819">
        <v>1</v>
      </c>
      <c r="N819">
        <v>0</v>
      </c>
      <c r="O819" s="9">
        <v>0</v>
      </c>
      <c r="P819">
        <v>1</v>
      </c>
      <c r="Q819">
        <v>0</v>
      </c>
      <c r="R819">
        <v>0</v>
      </c>
      <c r="S819">
        <v>0</v>
      </c>
      <c r="T819">
        <v>1</v>
      </c>
      <c r="U819" s="3">
        <v>1</v>
      </c>
      <c r="V819" s="3">
        <f t="shared" si="93"/>
        <v>1</v>
      </c>
    </row>
    <row r="820" spans="1:22" x14ac:dyDescent="0.25">
      <c r="A820" s="2">
        <v>2017</v>
      </c>
      <c r="B820" t="s">
        <v>45</v>
      </c>
      <c r="C820" t="s">
        <v>22</v>
      </c>
      <c r="D820" s="2">
        <v>141</v>
      </c>
      <c r="E820" s="2" t="s">
        <v>86</v>
      </c>
      <c r="F820" t="s">
        <v>342</v>
      </c>
      <c r="G820">
        <v>0</v>
      </c>
      <c r="H820">
        <v>0</v>
      </c>
      <c r="I820">
        <v>0</v>
      </c>
      <c r="J820">
        <v>0</v>
      </c>
      <c r="K820">
        <v>0</v>
      </c>
      <c r="L820" s="6">
        <f t="shared" si="94"/>
        <v>0</v>
      </c>
      <c r="M820">
        <v>1</v>
      </c>
      <c r="N820">
        <v>1</v>
      </c>
      <c r="O820" s="9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 s="3">
        <v>1</v>
      </c>
      <c r="V820" s="3">
        <f t="shared" si="93"/>
        <v>2</v>
      </c>
    </row>
    <row r="821" spans="1:22" x14ac:dyDescent="0.25">
      <c r="A821" s="2">
        <v>2017</v>
      </c>
      <c r="B821" t="s">
        <v>45</v>
      </c>
      <c r="C821" t="s">
        <v>22</v>
      </c>
      <c r="D821" s="2">
        <v>129</v>
      </c>
      <c r="E821" s="2" t="s">
        <v>87</v>
      </c>
      <c r="F821" t="s">
        <v>347</v>
      </c>
      <c r="G821">
        <v>6</v>
      </c>
      <c r="H821">
        <v>6</v>
      </c>
      <c r="I821">
        <v>0</v>
      </c>
      <c r="J821">
        <v>0</v>
      </c>
      <c r="K821">
        <v>0</v>
      </c>
      <c r="L821" s="6">
        <f t="shared" si="94"/>
        <v>1</v>
      </c>
      <c r="M821">
        <v>58</v>
      </c>
      <c r="N821">
        <v>12</v>
      </c>
      <c r="O821" s="9">
        <v>0</v>
      </c>
      <c r="P821">
        <v>28</v>
      </c>
      <c r="Q821">
        <v>0</v>
      </c>
      <c r="R821">
        <v>17</v>
      </c>
      <c r="S821">
        <v>1</v>
      </c>
      <c r="T821">
        <v>1</v>
      </c>
      <c r="U821" s="3">
        <v>1</v>
      </c>
      <c r="V821" s="3">
        <f t="shared" si="93"/>
        <v>0.3125</v>
      </c>
    </row>
    <row r="822" spans="1:22" x14ac:dyDescent="0.25">
      <c r="A822" s="2">
        <v>2017</v>
      </c>
      <c r="B822" t="s">
        <v>45</v>
      </c>
      <c r="C822" t="s">
        <v>22</v>
      </c>
      <c r="D822" s="2">
        <v>142</v>
      </c>
      <c r="E822" s="2" t="s">
        <v>88</v>
      </c>
      <c r="F822" t="s">
        <v>372</v>
      </c>
      <c r="G822">
        <v>10</v>
      </c>
      <c r="H822">
        <v>10</v>
      </c>
      <c r="I822">
        <v>0</v>
      </c>
      <c r="J822">
        <v>0</v>
      </c>
      <c r="K822">
        <v>0</v>
      </c>
      <c r="L822" s="6">
        <f t="shared" si="94"/>
        <v>1</v>
      </c>
      <c r="M822">
        <v>260</v>
      </c>
      <c r="N822">
        <v>49</v>
      </c>
      <c r="O822" s="9">
        <v>0</v>
      </c>
      <c r="P822">
        <v>125</v>
      </c>
      <c r="Q822">
        <v>0</v>
      </c>
      <c r="R822">
        <v>84</v>
      </c>
      <c r="S822">
        <v>2</v>
      </c>
      <c r="T822">
        <v>1</v>
      </c>
      <c r="U822" s="3">
        <v>1</v>
      </c>
      <c r="V822" s="3">
        <f>IF(AND(G822=0,M822=0),0,(H822+I822+J822+N822+Q822+S822+T822)/(G822+M822))</f>
        <v>0.22962962962962963</v>
      </c>
    </row>
    <row r="823" spans="1:22" x14ac:dyDescent="0.25">
      <c r="A823" s="2">
        <v>2017</v>
      </c>
      <c r="B823" t="s">
        <v>45</v>
      </c>
      <c r="C823" t="s">
        <v>23</v>
      </c>
      <c r="D823" s="2">
        <v>489</v>
      </c>
      <c r="E823" s="2" t="s">
        <v>289</v>
      </c>
      <c r="F823" t="s">
        <v>40</v>
      </c>
      <c r="G823">
        <v>15</v>
      </c>
      <c r="H823">
        <v>15</v>
      </c>
      <c r="I823">
        <v>0</v>
      </c>
      <c r="J823">
        <v>0</v>
      </c>
      <c r="K823">
        <v>0</v>
      </c>
      <c r="L823" s="6">
        <f t="shared" si="94"/>
        <v>1</v>
      </c>
      <c r="M823">
        <v>193</v>
      </c>
      <c r="N823">
        <v>27</v>
      </c>
      <c r="O823" s="9">
        <v>0</v>
      </c>
      <c r="P823">
        <v>0</v>
      </c>
      <c r="Q823">
        <v>83</v>
      </c>
      <c r="R823">
        <v>1</v>
      </c>
      <c r="S823">
        <v>81</v>
      </c>
      <c r="T823">
        <v>1</v>
      </c>
      <c r="U823" s="3">
        <f t="shared" ref="U823:U829" si="95">IF(M823=0,0,((N823+O823+Q823+S823+T823)/M823))</f>
        <v>0.99481865284974091</v>
      </c>
      <c r="V823" s="3">
        <f t="shared" ref="V823:V829" si="96">IF(AND(G823=0,M823=0),0,(H823+I823+J823+N823+Q823+S823+T823)/(G823+M823))</f>
        <v>0.99519230769230771</v>
      </c>
    </row>
    <row r="824" spans="1:22" x14ac:dyDescent="0.25">
      <c r="A824" s="2">
        <v>2017</v>
      </c>
      <c r="B824" t="s">
        <v>45</v>
      </c>
      <c r="C824" t="s">
        <v>23</v>
      </c>
      <c r="D824" s="2">
        <v>492</v>
      </c>
      <c r="E824" s="2" t="s">
        <v>290</v>
      </c>
      <c r="F824" t="s">
        <v>374</v>
      </c>
      <c r="G824">
        <v>20</v>
      </c>
      <c r="H824">
        <v>20</v>
      </c>
      <c r="I824">
        <v>0</v>
      </c>
      <c r="J824">
        <v>0</v>
      </c>
      <c r="K824">
        <v>0</v>
      </c>
      <c r="L824" s="6">
        <f t="shared" si="94"/>
        <v>1</v>
      </c>
      <c r="M824">
        <v>285</v>
      </c>
      <c r="N824">
        <v>49</v>
      </c>
      <c r="O824" s="9">
        <v>0</v>
      </c>
      <c r="P824">
        <v>0</v>
      </c>
      <c r="Q824">
        <v>137</v>
      </c>
      <c r="R824">
        <v>1</v>
      </c>
      <c r="S824">
        <v>98</v>
      </c>
      <c r="T824">
        <v>0</v>
      </c>
      <c r="U824" s="3">
        <f t="shared" si="95"/>
        <v>0.99649122807017543</v>
      </c>
      <c r="V824" s="3">
        <f t="shared" si="96"/>
        <v>0.99672131147540988</v>
      </c>
    </row>
    <row r="825" spans="1:22" x14ac:dyDescent="0.25">
      <c r="A825" s="2">
        <v>2017</v>
      </c>
      <c r="B825" t="s">
        <v>45</v>
      </c>
      <c r="C825" t="s">
        <v>23</v>
      </c>
      <c r="D825" s="2">
        <v>555</v>
      </c>
      <c r="E825" s="2" t="s">
        <v>291</v>
      </c>
      <c r="F825" t="s">
        <v>375</v>
      </c>
      <c r="G825">
        <v>12</v>
      </c>
      <c r="H825">
        <v>12</v>
      </c>
      <c r="I825">
        <v>0</v>
      </c>
      <c r="J825">
        <v>0</v>
      </c>
      <c r="K825">
        <v>0</v>
      </c>
      <c r="L825" s="6">
        <f t="shared" si="94"/>
        <v>1</v>
      </c>
      <c r="M825">
        <v>268</v>
      </c>
      <c r="N825">
        <v>47</v>
      </c>
      <c r="O825" s="9">
        <v>0</v>
      </c>
      <c r="P825">
        <v>0</v>
      </c>
      <c r="Q825">
        <v>121</v>
      </c>
      <c r="R825">
        <v>2</v>
      </c>
      <c r="S825">
        <v>97</v>
      </c>
      <c r="T825">
        <v>1</v>
      </c>
      <c r="U825" s="3">
        <f t="shared" si="95"/>
        <v>0.9925373134328358</v>
      </c>
      <c r="V825" s="3">
        <f t="shared" si="96"/>
        <v>0.99285714285714288</v>
      </c>
    </row>
    <row r="826" spans="1:22" x14ac:dyDescent="0.25">
      <c r="A826" s="2">
        <v>2017</v>
      </c>
      <c r="B826" t="s">
        <v>45</v>
      </c>
      <c r="C826" t="s">
        <v>23</v>
      </c>
      <c r="D826" s="2">
        <v>493</v>
      </c>
      <c r="E826" s="2" t="s">
        <v>292</v>
      </c>
      <c r="F826" t="s">
        <v>376</v>
      </c>
      <c r="G826">
        <v>5</v>
      </c>
      <c r="H826">
        <v>5</v>
      </c>
      <c r="I826">
        <v>0</v>
      </c>
      <c r="J826">
        <v>0</v>
      </c>
      <c r="K826">
        <v>0</v>
      </c>
      <c r="L826" s="6">
        <f t="shared" si="94"/>
        <v>1</v>
      </c>
      <c r="M826">
        <v>203</v>
      </c>
      <c r="N826">
        <v>36</v>
      </c>
      <c r="O826" s="9">
        <v>0</v>
      </c>
      <c r="P826">
        <v>0</v>
      </c>
      <c r="Q826">
        <v>81</v>
      </c>
      <c r="R826">
        <v>4</v>
      </c>
      <c r="S826">
        <v>81</v>
      </c>
      <c r="T826">
        <v>1</v>
      </c>
      <c r="U826" s="3">
        <f t="shared" si="95"/>
        <v>0.98029556650246308</v>
      </c>
      <c r="V826" s="3">
        <f t="shared" si="96"/>
        <v>0.98076923076923073</v>
      </c>
    </row>
    <row r="827" spans="1:22" x14ac:dyDescent="0.25">
      <c r="A827" s="2">
        <v>2017</v>
      </c>
      <c r="B827" t="s">
        <v>45</v>
      </c>
      <c r="C827" t="s">
        <v>23</v>
      </c>
      <c r="D827" s="2">
        <v>593</v>
      </c>
      <c r="E827" s="2" t="s">
        <v>293</v>
      </c>
      <c r="F827" t="s">
        <v>379</v>
      </c>
      <c r="G827">
        <v>13</v>
      </c>
      <c r="H827">
        <v>13</v>
      </c>
      <c r="I827">
        <v>0</v>
      </c>
      <c r="J827">
        <v>0</v>
      </c>
      <c r="K827">
        <v>0</v>
      </c>
      <c r="L827" s="6">
        <f t="shared" si="94"/>
        <v>1</v>
      </c>
      <c r="M827">
        <v>204</v>
      </c>
      <c r="N827">
        <v>37</v>
      </c>
      <c r="O827" s="9">
        <v>0</v>
      </c>
      <c r="P827">
        <v>0</v>
      </c>
      <c r="Q827">
        <v>99</v>
      </c>
      <c r="R827">
        <v>0</v>
      </c>
      <c r="S827">
        <v>68</v>
      </c>
      <c r="T827">
        <v>0</v>
      </c>
      <c r="U827" s="3">
        <f t="shared" si="95"/>
        <v>1</v>
      </c>
      <c r="V827" s="3">
        <f t="shared" si="96"/>
        <v>1</v>
      </c>
    </row>
    <row r="828" spans="1:22" x14ac:dyDescent="0.25">
      <c r="A828" s="2">
        <v>2017</v>
      </c>
      <c r="B828" t="s">
        <v>45</v>
      </c>
      <c r="C828" t="s">
        <v>23</v>
      </c>
      <c r="D828" s="2">
        <v>592</v>
      </c>
      <c r="E828" s="2" t="s">
        <v>294</v>
      </c>
      <c r="F828" t="s">
        <v>381</v>
      </c>
      <c r="G828">
        <v>9</v>
      </c>
      <c r="H828">
        <v>9</v>
      </c>
      <c r="I828">
        <v>0</v>
      </c>
      <c r="J828">
        <v>0</v>
      </c>
      <c r="K828">
        <v>0</v>
      </c>
      <c r="L828" s="6">
        <f t="shared" si="94"/>
        <v>1</v>
      </c>
      <c r="M828">
        <v>202</v>
      </c>
      <c r="N828">
        <v>33</v>
      </c>
      <c r="O828" s="9">
        <v>0</v>
      </c>
      <c r="P828">
        <v>0</v>
      </c>
      <c r="Q828">
        <v>86</v>
      </c>
      <c r="R828">
        <v>5</v>
      </c>
      <c r="S828">
        <v>77</v>
      </c>
      <c r="T828">
        <v>1</v>
      </c>
      <c r="U828" s="3">
        <f t="shared" si="95"/>
        <v>0.97524752475247523</v>
      </c>
      <c r="V828" s="3">
        <f t="shared" si="96"/>
        <v>0.976303317535545</v>
      </c>
    </row>
    <row r="829" spans="1:22" x14ac:dyDescent="0.25">
      <c r="A829" s="2">
        <v>2017</v>
      </c>
      <c r="B829" t="s">
        <v>45</v>
      </c>
      <c r="C829" t="s">
        <v>23</v>
      </c>
      <c r="D829" s="2">
        <v>494</v>
      </c>
      <c r="E829" s="2" t="s">
        <v>295</v>
      </c>
      <c r="F829" t="s">
        <v>383</v>
      </c>
      <c r="G829">
        <v>16</v>
      </c>
      <c r="H829">
        <v>16</v>
      </c>
      <c r="I829">
        <v>0</v>
      </c>
      <c r="J829">
        <v>0</v>
      </c>
      <c r="K829">
        <v>0</v>
      </c>
      <c r="L829" s="6">
        <f t="shared" si="94"/>
        <v>1</v>
      </c>
      <c r="M829">
        <v>269</v>
      </c>
      <c r="N829">
        <v>45</v>
      </c>
      <c r="O829" s="9">
        <v>0</v>
      </c>
      <c r="P829">
        <v>0</v>
      </c>
      <c r="Q829">
        <v>99</v>
      </c>
      <c r="R829">
        <v>8</v>
      </c>
      <c r="S829">
        <v>117</v>
      </c>
      <c r="T829">
        <v>0</v>
      </c>
      <c r="U829" s="3">
        <f t="shared" si="95"/>
        <v>0.97026022304832715</v>
      </c>
      <c r="V829" s="3">
        <f t="shared" si="96"/>
        <v>0.97192982456140353</v>
      </c>
    </row>
    <row r="830" spans="1:22" x14ac:dyDescent="0.25">
      <c r="A830" s="2">
        <v>2017</v>
      </c>
      <c r="B830" t="s">
        <v>45</v>
      </c>
      <c r="C830" t="s">
        <v>23</v>
      </c>
      <c r="D830" s="2">
        <v>534</v>
      </c>
      <c r="E830" s="2" t="s">
        <v>296</v>
      </c>
      <c r="F830" t="s">
        <v>384</v>
      </c>
      <c r="G830">
        <v>0</v>
      </c>
      <c r="H830">
        <v>0</v>
      </c>
      <c r="I830">
        <v>0</v>
      </c>
      <c r="J830">
        <v>0</v>
      </c>
      <c r="K830">
        <v>0</v>
      </c>
      <c r="L830" s="6">
        <f t="shared" ref="L830:L843" si="97">IF(G830=0,0,SUM(H830:J830)/G830)</f>
        <v>0</v>
      </c>
      <c r="M830">
        <v>2</v>
      </c>
      <c r="N830">
        <v>0</v>
      </c>
      <c r="O830" s="9">
        <v>0</v>
      </c>
      <c r="P830">
        <v>0</v>
      </c>
      <c r="Q830">
        <v>2</v>
      </c>
      <c r="R830">
        <v>0</v>
      </c>
      <c r="S830">
        <v>0</v>
      </c>
      <c r="T830">
        <v>0</v>
      </c>
      <c r="U830" s="3">
        <f t="shared" ref="U830:U843" si="98">IF(M830=0,0,((N830+O830+Q830+S830+T830)/M830))</f>
        <v>1</v>
      </c>
      <c r="V830" s="3">
        <f t="shared" ref="V830:V843" si="99">IF(AND(G830=0,M830=0),0,(H830+I830+J830+N830+Q830+S830+T830)/(G830+M830))</f>
        <v>1</v>
      </c>
    </row>
    <row r="831" spans="1:22" x14ac:dyDescent="0.25">
      <c r="A831" s="2">
        <v>2017</v>
      </c>
      <c r="B831" t="s">
        <v>45</v>
      </c>
      <c r="C831" t="s">
        <v>23</v>
      </c>
      <c r="D831" s="2">
        <v>278</v>
      </c>
      <c r="E831" s="2" t="s">
        <v>168</v>
      </c>
      <c r="F831" t="s">
        <v>385</v>
      </c>
      <c r="G831">
        <v>0</v>
      </c>
      <c r="H831">
        <v>0</v>
      </c>
      <c r="I831">
        <v>0</v>
      </c>
      <c r="J831">
        <v>0</v>
      </c>
      <c r="K831">
        <v>0</v>
      </c>
      <c r="L831" s="6">
        <f t="shared" si="97"/>
        <v>0</v>
      </c>
      <c r="M831">
        <v>3</v>
      </c>
      <c r="N831">
        <v>1</v>
      </c>
      <c r="O831" s="9">
        <v>0</v>
      </c>
      <c r="P831">
        <v>0</v>
      </c>
      <c r="Q831">
        <v>2</v>
      </c>
      <c r="R831">
        <v>0</v>
      </c>
      <c r="S831">
        <v>0</v>
      </c>
      <c r="T831">
        <v>0</v>
      </c>
      <c r="U831" s="3">
        <f t="shared" si="98"/>
        <v>1</v>
      </c>
      <c r="V831" s="3">
        <f t="shared" si="99"/>
        <v>1</v>
      </c>
    </row>
    <row r="832" spans="1:22" x14ac:dyDescent="0.25">
      <c r="A832" s="2">
        <v>2017</v>
      </c>
      <c r="B832" t="s">
        <v>45</v>
      </c>
      <c r="C832" t="s">
        <v>23</v>
      </c>
      <c r="D832" s="2">
        <v>496</v>
      </c>
      <c r="E832" s="2" t="s">
        <v>297</v>
      </c>
      <c r="F832" t="s">
        <v>387</v>
      </c>
      <c r="G832">
        <v>20</v>
      </c>
      <c r="H832">
        <v>20</v>
      </c>
      <c r="I832">
        <v>0</v>
      </c>
      <c r="J832">
        <v>0</v>
      </c>
      <c r="K832">
        <v>1</v>
      </c>
      <c r="L832" s="6">
        <f t="shared" si="97"/>
        <v>1</v>
      </c>
      <c r="M832">
        <v>286</v>
      </c>
      <c r="N832">
        <v>56</v>
      </c>
      <c r="O832" s="9">
        <v>0</v>
      </c>
      <c r="P832">
        <v>0</v>
      </c>
      <c r="Q832">
        <v>109</v>
      </c>
      <c r="R832">
        <v>2</v>
      </c>
      <c r="S832">
        <v>119</v>
      </c>
      <c r="T832">
        <v>0</v>
      </c>
      <c r="U832" s="3">
        <f t="shared" si="98"/>
        <v>0.99300699300699302</v>
      </c>
      <c r="V832" s="3">
        <f t="shared" si="99"/>
        <v>0.99346405228758172</v>
      </c>
    </row>
    <row r="833" spans="1:22" x14ac:dyDescent="0.25">
      <c r="A833" s="2">
        <v>2017</v>
      </c>
      <c r="B833" t="s">
        <v>45</v>
      </c>
      <c r="C833" t="s">
        <v>23</v>
      </c>
      <c r="D833" s="2">
        <v>444</v>
      </c>
      <c r="E833" s="2" t="s">
        <v>298</v>
      </c>
      <c r="F833" t="s">
        <v>388</v>
      </c>
      <c r="G833">
        <v>7</v>
      </c>
      <c r="H833">
        <v>7</v>
      </c>
      <c r="I833">
        <v>0</v>
      </c>
      <c r="J833">
        <v>0</v>
      </c>
      <c r="K833">
        <v>0</v>
      </c>
      <c r="L833" s="6">
        <f t="shared" si="97"/>
        <v>1</v>
      </c>
      <c r="M833">
        <v>182</v>
      </c>
      <c r="N833">
        <v>29</v>
      </c>
      <c r="O833" s="9">
        <v>0</v>
      </c>
      <c r="P833">
        <v>0</v>
      </c>
      <c r="Q833">
        <v>47</v>
      </c>
      <c r="R833">
        <v>0</v>
      </c>
      <c r="S833">
        <v>104</v>
      </c>
      <c r="T833">
        <v>2</v>
      </c>
      <c r="U833" s="3">
        <f t="shared" si="98"/>
        <v>1</v>
      </c>
      <c r="V833" s="3">
        <f t="shared" si="99"/>
        <v>1</v>
      </c>
    </row>
    <row r="834" spans="1:22" x14ac:dyDescent="0.25">
      <c r="A834" s="2">
        <v>2017</v>
      </c>
      <c r="B834" t="s">
        <v>45</v>
      </c>
      <c r="C834" t="s">
        <v>23</v>
      </c>
      <c r="D834" s="2">
        <v>505</v>
      </c>
      <c r="E834" s="2" t="s">
        <v>299</v>
      </c>
      <c r="F834" t="s">
        <v>389</v>
      </c>
      <c r="G834">
        <v>14</v>
      </c>
      <c r="H834">
        <v>14</v>
      </c>
      <c r="I834">
        <v>0</v>
      </c>
      <c r="J834">
        <v>0</v>
      </c>
      <c r="K834">
        <v>0</v>
      </c>
      <c r="L834" s="6">
        <f t="shared" si="97"/>
        <v>1</v>
      </c>
      <c r="M834">
        <v>274</v>
      </c>
      <c r="N834">
        <v>38</v>
      </c>
      <c r="O834" s="9">
        <v>0</v>
      </c>
      <c r="P834">
        <v>0</v>
      </c>
      <c r="Q834">
        <v>106</v>
      </c>
      <c r="R834">
        <v>1</v>
      </c>
      <c r="S834">
        <v>129</v>
      </c>
      <c r="T834">
        <v>0</v>
      </c>
      <c r="U834" s="3">
        <f t="shared" si="98"/>
        <v>0.9963503649635036</v>
      </c>
      <c r="V834" s="3">
        <f t="shared" si="99"/>
        <v>0.99652777777777779</v>
      </c>
    </row>
    <row r="835" spans="1:22" x14ac:dyDescent="0.25">
      <c r="A835" s="2">
        <v>2017</v>
      </c>
      <c r="B835" t="s">
        <v>45</v>
      </c>
      <c r="C835" t="s">
        <v>24</v>
      </c>
      <c r="D835" s="2">
        <v>136</v>
      </c>
      <c r="E835" s="2" t="s">
        <v>116</v>
      </c>
      <c r="F835" t="s">
        <v>41</v>
      </c>
      <c r="G835">
        <v>21</v>
      </c>
      <c r="H835">
        <v>21</v>
      </c>
      <c r="I835">
        <v>0</v>
      </c>
      <c r="J835">
        <v>0</v>
      </c>
      <c r="K835">
        <v>0</v>
      </c>
      <c r="L835" s="6">
        <f t="shared" si="97"/>
        <v>1</v>
      </c>
      <c r="M835">
        <v>164</v>
      </c>
      <c r="N835">
        <v>20</v>
      </c>
      <c r="O835" s="9">
        <v>0</v>
      </c>
      <c r="P835">
        <v>0</v>
      </c>
      <c r="Q835">
        <v>68</v>
      </c>
      <c r="R835">
        <v>0</v>
      </c>
      <c r="S835">
        <v>76</v>
      </c>
      <c r="T835">
        <v>0</v>
      </c>
      <c r="U835" s="3">
        <f t="shared" si="98"/>
        <v>1</v>
      </c>
      <c r="V835" s="3">
        <f t="shared" si="99"/>
        <v>1</v>
      </c>
    </row>
    <row r="836" spans="1:22" x14ac:dyDescent="0.25">
      <c r="A836" s="2">
        <v>2017</v>
      </c>
      <c r="B836" t="s">
        <v>45</v>
      </c>
      <c r="C836" t="s">
        <v>24</v>
      </c>
      <c r="D836" s="2">
        <v>13</v>
      </c>
      <c r="E836" s="2" t="s">
        <v>179</v>
      </c>
      <c r="F836" t="s">
        <v>390</v>
      </c>
      <c r="G836">
        <v>8</v>
      </c>
      <c r="H836">
        <v>8</v>
      </c>
      <c r="I836">
        <v>0</v>
      </c>
      <c r="J836">
        <v>0</v>
      </c>
      <c r="K836">
        <v>0</v>
      </c>
      <c r="L836" s="6">
        <f t="shared" si="97"/>
        <v>1</v>
      </c>
      <c r="M836">
        <v>338</v>
      </c>
      <c r="N836">
        <v>72</v>
      </c>
      <c r="O836" s="9">
        <v>0</v>
      </c>
      <c r="P836">
        <v>0</v>
      </c>
      <c r="Q836">
        <v>163</v>
      </c>
      <c r="R836">
        <v>3</v>
      </c>
      <c r="S836">
        <v>100</v>
      </c>
      <c r="T836">
        <v>0</v>
      </c>
      <c r="U836" s="3">
        <f t="shared" si="98"/>
        <v>0.99112426035502954</v>
      </c>
      <c r="V836" s="3">
        <f t="shared" si="99"/>
        <v>0.99132947976878616</v>
      </c>
    </row>
    <row r="837" spans="1:22" x14ac:dyDescent="0.25">
      <c r="A837" s="2">
        <v>2017</v>
      </c>
      <c r="B837" t="s">
        <v>45</v>
      </c>
      <c r="C837" t="s">
        <v>24</v>
      </c>
      <c r="D837" s="2">
        <v>115</v>
      </c>
      <c r="E837" s="2" t="s">
        <v>181</v>
      </c>
      <c r="F837" t="s">
        <v>391</v>
      </c>
      <c r="G837">
        <v>11</v>
      </c>
      <c r="H837">
        <v>10</v>
      </c>
      <c r="I837">
        <v>0</v>
      </c>
      <c r="J837">
        <v>0</v>
      </c>
      <c r="K837">
        <v>1</v>
      </c>
      <c r="L837" s="6">
        <f t="shared" si="97"/>
        <v>0.90909090909090906</v>
      </c>
      <c r="M837">
        <v>182</v>
      </c>
      <c r="N837">
        <v>29</v>
      </c>
      <c r="O837" s="9">
        <v>0</v>
      </c>
      <c r="P837">
        <v>0</v>
      </c>
      <c r="Q837">
        <v>70</v>
      </c>
      <c r="R837">
        <v>0</v>
      </c>
      <c r="S837">
        <v>82</v>
      </c>
      <c r="T837">
        <v>1</v>
      </c>
      <c r="U837" s="3">
        <f t="shared" si="98"/>
        <v>1</v>
      </c>
      <c r="V837" s="3">
        <f t="shared" si="99"/>
        <v>0.99481865284974091</v>
      </c>
    </row>
    <row r="838" spans="1:22" x14ac:dyDescent="0.25">
      <c r="A838" s="2">
        <v>2017</v>
      </c>
      <c r="B838" t="s">
        <v>45</v>
      </c>
      <c r="C838" t="s">
        <v>24</v>
      </c>
      <c r="D838" s="2">
        <v>16</v>
      </c>
      <c r="E838" s="2" t="s">
        <v>300</v>
      </c>
      <c r="F838" t="s">
        <v>392</v>
      </c>
      <c r="G838">
        <v>5</v>
      </c>
      <c r="H838">
        <v>5</v>
      </c>
      <c r="I838">
        <v>0</v>
      </c>
      <c r="J838">
        <v>0</v>
      </c>
      <c r="K838">
        <v>0</v>
      </c>
      <c r="L838" s="6">
        <f t="shared" si="97"/>
        <v>1</v>
      </c>
      <c r="M838">
        <v>262</v>
      </c>
      <c r="N838">
        <v>40</v>
      </c>
      <c r="O838" s="9">
        <v>0</v>
      </c>
      <c r="P838">
        <v>2</v>
      </c>
      <c r="Q838">
        <v>103</v>
      </c>
      <c r="R838">
        <v>2</v>
      </c>
      <c r="S838">
        <v>115</v>
      </c>
      <c r="T838">
        <v>0</v>
      </c>
      <c r="U838" s="3">
        <f t="shared" si="98"/>
        <v>0.98473282442748089</v>
      </c>
      <c r="V838" s="3">
        <f t="shared" si="99"/>
        <v>0.98501872659176026</v>
      </c>
    </row>
    <row r="839" spans="1:22" x14ac:dyDescent="0.25">
      <c r="A839" s="2">
        <v>2017</v>
      </c>
      <c r="B839" t="s">
        <v>45</v>
      </c>
      <c r="C839" t="s">
        <v>24</v>
      </c>
      <c r="D839" s="2">
        <v>107</v>
      </c>
      <c r="E839" s="2" t="s">
        <v>183</v>
      </c>
      <c r="F839" t="s">
        <v>393</v>
      </c>
      <c r="G839">
        <v>10</v>
      </c>
      <c r="H839">
        <v>10</v>
      </c>
      <c r="I839">
        <v>0</v>
      </c>
      <c r="J839">
        <v>0</v>
      </c>
      <c r="K839">
        <v>0</v>
      </c>
      <c r="L839" s="6">
        <f t="shared" si="97"/>
        <v>1</v>
      </c>
      <c r="M839">
        <v>132</v>
      </c>
      <c r="N839">
        <v>30</v>
      </c>
      <c r="O839" s="9">
        <v>0</v>
      </c>
      <c r="P839">
        <v>0</v>
      </c>
      <c r="Q839">
        <v>61</v>
      </c>
      <c r="R839">
        <v>0</v>
      </c>
      <c r="S839">
        <v>40</v>
      </c>
      <c r="T839">
        <v>1</v>
      </c>
      <c r="U839" s="3">
        <f t="shared" si="98"/>
        <v>1</v>
      </c>
      <c r="V839" s="3">
        <f t="shared" si="99"/>
        <v>1</v>
      </c>
    </row>
    <row r="840" spans="1:22" x14ac:dyDescent="0.25">
      <c r="A840" s="2">
        <v>2017</v>
      </c>
      <c r="B840" t="s">
        <v>45</v>
      </c>
      <c r="C840" t="s">
        <v>24</v>
      </c>
      <c r="D840" s="2">
        <v>58</v>
      </c>
      <c r="E840" s="2" t="s">
        <v>65</v>
      </c>
      <c r="F840" t="s">
        <v>355</v>
      </c>
      <c r="G840">
        <v>0</v>
      </c>
      <c r="H840">
        <v>0</v>
      </c>
      <c r="I840">
        <v>0</v>
      </c>
      <c r="J840">
        <v>0</v>
      </c>
      <c r="K840">
        <v>0</v>
      </c>
      <c r="L840" s="6">
        <f t="shared" si="97"/>
        <v>0</v>
      </c>
      <c r="M840">
        <v>1</v>
      </c>
      <c r="N840">
        <v>0</v>
      </c>
      <c r="O840" s="9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 s="3">
        <f t="shared" si="98"/>
        <v>1</v>
      </c>
      <c r="V840" s="3">
        <f t="shared" si="99"/>
        <v>1</v>
      </c>
    </row>
    <row r="841" spans="1:22" x14ac:dyDescent="0.25">
      <c r="A841" s="2">
        <v>2017</v>
      </c>
      <c r="B841" t="s">
        <v>45</v>
      </c>
      <c r="C841" t="s">
        <v>24</v>
      </c>
      <c r="D841" s="2">
        <v>104</v>
      </c>
      <c r="E841" s="2" t="s">
        <v>186</v>
      </c>
      <c r="F841" t="s">
        <v>394</v>
      </c>
      <c r="G841">
        <v>13</v>
      </c>
      <c r="H841">
        <v>13</v>
      </c>
      <c r="I841">
        <v>0</v>
      </c>
      <c r="J841">
        <v>0</v>
      </c>
      <c r="K841">
        <v>0</v>
      </c>
      <c r="L841" s="6">
        <f t="shared" si="97"/>
        <v>1</v>
      </c>
      <c r="M841">
        <v>219</v>
      </c>
      <c r="N841">
        <v>31</v>
      </c>
      <c r="O841" s="9">
        <v>0</v>
      </c>
      <c r="P841">
        <v>0</v>
      </c>
      <c r="Q841">
        <v>116</v>
      </c>
      <c r="R841">
        <v>0</v>
      </c>
      <c r="S841">
        <v>71</v>
      </c>
      <c r="T841">
        <v>1</v>
      </c>
      <c r="U841" s="3">
        <f t="shared" si="98"/>
        <v>1</v>
      </c>
      <c r="V841" s="3">
        <f t="shared" si="99"/>
        <v>1</v>
      </c>
    </row>
    <row r="842" spans="1:22" x14ac:dyDescent="0.25">
      <c r="A842" s="2">
        <v>2017</v>
      </c>
      <c r="B842" t="s">
        <v>45</v>
      </c>
      <c r="C842" t="s">
        <v>24</v>
      </c>
      <c r="D842" s="2">
        <v>132</v>
      </c>
      <c r="E842" s="2" t="s">
        <v>188</v>
      </c>
      <c r="F842" t="s">
        <v>395</v>
      </c>
      <c r="G842">
        <v>4</v>
      </c>
      <c r="H842">
        <v>4</v>
      </c>
      <c r="I842">
        <v>0</v>
      </c>
      <c r="J842">
        <v>0</v>
      </c>
      <c r="K842">
        <v>0</v>
      </c>
      <c r="L842" s="6">
        <f t="shared" si="97"/>
        <v>1</v>
      </c>
      <c r="M842">
        <v>224</v>
      </c>
      <c r="N842">
        <v>41</v>
      </c>
      <c r="O842" s="9">
        <v>0</v>
      </c>
      <c r="P842">
        <v>0</v>
      </c>
      <c r="Q842">
        <v>90</v>
      </c>
      <c r="R842">
        <v>2</v>
      </c>
      <c r="S842">
        <v>89</v>
      </c>
      <c r="T842">
        <v>2</v>
      </c>
      <c r="U842" s="3">
        <f t="shared" si="98"/>
        <v>0.9910714285714286</v>
      </c>
      <c r="V842" s="3">
        <f t="shared" si="99"/>
        <v>0.99122807017543857</v>
      </c>
    </row>
    <row r="843" spans="1:22" x14ac:dyDescent="0.25">
      <c r="A843" s="2">
        <v>2017</v>
      </c>
      <c r="B843" t="s">
        <v>45</v>
      </c>
      <c r="C843" t="s">
        <v>24</v>
      </c>
      <c r="D843" s="2">
        <v>84</v>
      </c>
      <c r="E843" s="2" t="s">
        <v>301</v>
      </c>
      <c r="F843" t="s">
        <v>396</v>
      </c>
      <c r="G843">
        <v>12</v>
      </c>
      <c r="H843">
        <v>12</v>
      </c>
      <c r="I843">
        <v>0</v>
      </c>
      <c r="J843">
        <v>0</v>
      </c>
      <c r="K843">
        <v>0</v>
      </c>
      <c r="L843" s="6">
        <f t="shared" si="97"/>
        <v>1</v>
      </c>
      <c r="M843">
        <v>176</v>
      </c>
      <c r="N843">
        <v>28</v>
      </c>
      <c r="O843" s="9">
        <v>0</v>
      </c>
      <c r="P843">
        <v>3</v>
      </c>
      <c r="Q843">
        <v>79</v>
      </c>
      <c r="R843">
        <v>1</v>
      </c>
      <c r="S843">
        <v>64</v>
      </c>
      <c r="T843">
        <v>1</v>
      </c>
      <c r="U843" s="3">
        <f t="shared" si="98"/>
        <v>0.97727272727272729</v>
      </c>
      <c r="V843" s="3">
        <f t="shared" si="99"/>
        <v>0.97872340425531912</v>
      </c>
    </row>
    <row r="844" spans="1:22" x14ac:dyDescent="0.25">
      <c r="A844" s="2">
        <v>2017</v>
      </c>
      <c r="B844" t="s">
        <v>45</v>
      </c>
      <c r="C844" t="s">
        <v>24</v>
      </c>
      <c r="D844" s="2">
        <v>135</v>
      </c>
      <c r="E844" s="2" t="s">
        <v>192</v>
      </c>
      <c r="F844" t="s">
        <v>398</v>
      </c>
      <c r="G844">
        <v>8</v>
      </c>
      <c r="H844">
        <v>8</v>
      </c>
      <c r="I844">
        <v>0</v>
      </c>
      <c r="J844">
        <v>0</v>
      </c>
      <c r="K844">
        <v>0</v>
      </c>
      <c r="L844" s="6">
        <f t="shared" ref="L844:L869" si="100">IF(G844=0,0,SUM(H844:J844)/G844)</f>
        <v>1</v>
      </c>
      <c r="M844">
        <v>127</v>
      </c>
      <c r="N844">
        <v>19</v>
      </c>
      <c r="O844" s="9">
        <v>0</v>
      </c>
      <c r="P844">
        <v>0</v>
      </c>
      <c r="Q844">
        <v>42</v>
      </c>
      <c r="R844">
        <v>0</v>
      </c>
      <c r="S844">
        <v>66</v>
      </c>
      <c r="T844">
        <v>0</v>
      </c>
      <c r="U844" s="3">
        <f t="shared" ref="U844:U869" si="101">IF(M844=0,0,((N844+O844+Q844+S844+T844)/M844))</f>
        <v>1</v>
      </c>
      <c r="V844" s="3">
        <f t="shared" ref="V844:V869" si="102">IF(AND(G844=0,M844=0),0,(H844+I844+J844+N844+Q844+S844+T844)/(G844+M844))</f>
        <v>1</v>
      </c>
    </row>
    <row r="845" spans="1:22" x14ac:dyDescent="0.25">
      <c r="A845" s="2">
        <v>2017</v>
      </c>
      <c r="B845" t="s">
        <v>45</v>
      </c>
      <c r="C845" t="s">
        <v>24</v>
      </c>
      <c r="D845" s="2">
        <v>28</v>
      </c>
      <c r="E845" s="2" t="s">
        <v>70</v>
      </c>
      <c r="F845" t="s">
        <v>360</v>
      </c>
      <c r="G845">
        <v>0</v>
      </c>
      <c r="H845">
        <v>0</v>
      </c>
      <c r="I845">
        <v>0</v>
      </c>
      <c r="J845">
        <v>0</v>
      </c>
      <c r="K845">
        <v>0</v>
      </c>
      <c r="L845" s="6">
        <f t="shared" si="100"/>
        <v>0</v>
      </c>
      <c r="M845">
        <v>1</v>
      </c>
      <c r="N845">
        <v>0</v>
      </c>
      <c r="O845" s="9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 s="3">
        <f t="shared" si="101"/>
        <v>1</v>
      </c>
      <c r="V845" s="3">
        <f t="shared" si="102"/>
        <v>1</v>
      </c>
    </row>
    <row r="846" spans="1:22" x14ac:dyDescent="0.25">
      <c r="A846" s="2">
        <v>2017</v>
      </c>
      <c r="B846" t="s">
        <v>45</v>
      </c>
      <c r="C846" t="s">
        <v>24</v>
      </c>
      <c r="D846" s="2">
        <v>85</v>
      </c>
      <c r="E846" s="2" t="s">
        <v>194</v>
      </c>
      <c r="F846" t="s">
        <v>400</v>
      </c>
      <c r="G846">
        <v>12</v>
      </c>
      <c r="H846">
        <v>12</v>
      </c>
      <c r="I846">
        <v>0</v>
      </c>
      <c r="J846">
        <v>0</v>
      </c>
      <c r="K846">
        <v>0</v>
      </c>
      <c r="L846" s="6">
        <f t="shared" si="100"/>
        <v>1</v>
      </c>
      <c r="M846">
        <v>113</v>
      </c>
      <c r="N846">
        <v>18</v>
      </c>
      <c r="O846" s="9">
        <v>0</v>
      </c>
      <c r="P846">
        <v>0</v>
      </c>
      <c r="Q846">
        <v>44</v>
      </c>
      <c r="R846">
        <v>0</v>
      </c>
      <c r="S846">
        <v>51</v>
      </c>
      <c r="T846">
        <v>0</v>
      </c>
      <c r="U846" s="3">
        <f t="shared" si="101"/>
        <v>1</v>
      </c>
      <c r="V846" s="3">
        <f t="shared" si="102"/>
        <v>1</v>
      </c>
    </row>
    <row r="847" spans="1:22" x14ac:dyDescent="0.25">
      <c r="A847" s="2">
        <v>2017</v>
      </c>
      <c r="B847" t="s">
        <v>45</v>
      </c>
      <c r="C847" t="s">
        <v>24</v>
      </c>
      <c r="D847" s="2">
        <v>93</v>
      </c>
      <c r="E847" s="2" t="s">
        <v>196</v>
      </c>
      <c r="F847" t="s">
        <v>401</v>
      </c>
      <c r="G847">
        <v>12</v>
      </c>
      <c r="H847">
        <v>12</v>
      </c>
      <c r="I847">
        <v>0</v>
      </c>
      <c r="J847">
        <v>0</v>
      </c>
      <c r="K847">
        <v>0</v>
      </c>
      <c r="L847" s="6">
        <f t="shared" si="100"/>
        <v>1</v>
      </c>
      <c r="M847">
        <v>183</v>
      </c>
      <c r="N847">
        <v>37</v>
      </c>
      <c r="O847" s="9">
        <v>0</v>
      </c>
      <c r="P847">
        <v>0</v>
      </c>
      <c r="Q847">
        <v>82</v>
      </c>
      <c r="R847">
        <v>0</v>
      </c>
      <c r="S847">
        <v>63</v>
      </c>
      <c r="T847">
        <v>1</v>
      </c>
      <c r="U847" s="3">
        <f t="shared" si="101"/>
        <v>1</v>
      </c>
      <c r="V847" s="3">
        <f t="shared" si="102"/>
        <v>1</v>
      </c>
    </row>
    <row r="848" spans="1:22" x14ac:dyDescent="0.25">
      <c r="A848" s="2">
        <v>2017</v>
      </c>
      <c r="B848" t="s">
        <v>45</v>
      </c>
      <c r="C848" t="s">
        <v>24</v>
      </c>
      <c r="D848" s="2">
        <v>36</v>
      </c>
      <c r="E848" s="2" t="s">
        <v>198</v>
      </c>
      <c r="F848" t="s">
        <v>503</v>
      </c>
      <c r="G848">
        <v>11</v>
      </c>
      <c r="H848">
        <v>11</v>
      </c>
      <c r="I848">
        <v>0</v>
      </c>
      <c r="J848">
        <v>0</v>
      </c>
      <c r="K848">
        <v>0</v>
      </c>
      <c r="L848" s="6">
        <f t="shared" si="100"/>
        <v>1</v>
      </c>
      <c r="M848">
        <v>212</v>
      </c>
      <c r="N848">
        <v>50</v>
      </c>
      <c r="O848" s="9">
        <v>0</v>
      </c>
      <c r="P848">
        <v>3</v>
      </c>
      <c r="Q848">
        <v>86</v>
      </c>
      <c r="R848">
        <v>1</v>
      </c>
      <c r="S848">
        <v>72</v>
      </c>
      <c r="T848">
        <v>0</v>
      </c>
      <c r="U848" s="3">
        <f t="shared" si="101"/>
        <v>0.98113207547169812</v>
      </c>
      <c r="V848" s="3">
        <f t="shared" si="102"/>
        <v>0.98206278026905824</v>
      </c>
    </row>
    <row r="849" spans="1:22" x14ac:dyDescent="0.25">
      <c r="A849" s="2">
        <v>2017</v>
      </c>
      <c r="B849" t="s">
        <v>45</v>
      </c>
      <c r="C849" t="s">
        <v>24</v>
      </c>
      <c r="D849" s="2">
        <v>1</v>
      </c>
      <c r="E849" s="2" t="s">
        <v>137</v>
      </c>
      <c r="F849" t="s">
        <v>34</v>
      </c>
      <c r="G849">
        <v>0</v>
      </c>
      <c r="H849">
        <v>0</v>
      </c>
      <c r="I849">
        <v>0</v>
      </c>
      <c r="J849">
        <v>0</v>
      </c>
      <c r="K849">
        <v>0</v>
      </c>
      <c r="L849" s="6">
        <f t="shared" si="100"/>
        <v>0</v>
      </c>
      <c r="M849">
        <v>2</v>
      </c>
      <c r="N849">
        <v>1</v>
      </c>
      <c r="O849" s="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 s="3">
        <f t="shared" si="101"/>
        <v>1</v>
      </c>
      <c r="V849" s="3">
        <f t="shared" si="102"/>
        <v>1</v>
      </c>
    </row>
    <row r="850" spans="1:22" x14ac:dyDescent="0.25">
      <c r="A850" s="2">
        <v>2017</v>
      </c>
      <c r="B850" t="s">
        <v>45</v>
      </c>
      <c r="C850" t="s">
        <v>24</v>
      </c>
      <c r="D850" s="2">
        <v>102</v>
      </c>
      <c r="E850" s="2" t="s">
        <v>200</v>
      </c>
      <c r="F850" t="s">
        <v>402</v>
      </c>
      <c r="G850">
        <v>10</v>
      </c>
      <c r="H850">
        <v>10</v>
      </c>
      <c r="I850">
        <v>0</v>
      </c>
      <c r="J850">
        <v>0</v>
      </c>
      <c r="K850">
        <v>0</v>
      </c>
      <c r="L850" s="6">
        <f t="shared" si="100"/>
        <v>1</v>
      </c>
      <c r="M850">
        <v>159</v>
      </c>
      <c r="N850">
        <v>27</v>
      </c>
      <c r="O850" s="9">
        <v>0</v>
      </c>
      <c r="P850">
        <v>1</v>
      </c>
      <c r="Q850">
        <v>63</v>
      </c>
      <c r="R850">
        <v>0</v>
      </c>
      <c r="S850">
        <v>68</v>
      </c>
      <c r="T850">
        <v>0</v>
      </c>
      <c r="U850" s="3">
        <f t="shared" si="101"/>
        <v>0.99371069182389937</v>
      </c>
      <c r="V850" s="3">
        <f t="shared" si="102"/>
        <v>0.99408284023668636</v>
      </c>
    </row>
    <row r="851" spans="1:22" x14ac:dyDescent="0.25">
      <c r="A851" s="2">
        <v>2017</v>
      </c>
      <c r="B851" t="s">
        <v>45</v>
      </c>
      <c r="C851" t="s">
        <v>24</v>
      </c>
      <c r="D851" s="2">
        <v>40</v>
      </c>
      <c r="E851" s="2" t="s">
        <v>204</v>
      </c>
      <c r="F851" t="s">
        <v>28</v>
      </c>
      <c r="G851">
        <v>10</v>
      </c>
      <c r="H851">
        <v>10</v>
      </c>
      <c r="I851">
        <v>0</v>
      </c>
      <c r="J851">
        <v>0</v>
      </c>
      <c r="K851">
        <v>0</v>
      </c>
      <c r="L851" s="6">
        <f t="shared" si="100"/>
        <v>1</v>
      </c>
      <c r="M851">
        <v>302</v>
      </c>
      <c r="N851">
        <v>53</v>
      </c>
      <c r="O851" s="9">
        <v>0</v>
      </c>
      <c r="P851">
        <v>0</v>
      </c>
      <c r="Q851">
        <v>136</v>
      </c>
      <c r="R851">
        <v>1</v>
      </c>
      <c r="S851">
        <v>110</v>
      </c>
      <c r="T851">
        <v>2</v>
      </c>
      <c r="U851" s="3">
        <f t="shared" si="101"/>
        <v>0.99668874172185429</v>
      </c>
      <c r="V851" s="3">
        <f t="shared" si="102"/>
        <v>0.99679487179487181</v>
      </c>
    </row>
    <row r="852" spans="1:22" x14ac:dyDescent="0.25">
      <c r="A852" s="2">
        <v>2017</v>
      </c>
      <c r="B852" t="s">
        <v>45</v>
      </c>
      <c r="C852" t="s">
        <v>24</v>
      </c>
      <c r="D852" s="2">
        <v>139</v>
      </c>
      <c r="E852" s="2" t="s">
        <v>302</v>
      </c>
      <c r="F852" t="s">
        <v>405</v>
      </c>
      <c r="G852">
        <v>8</v>
      </c>
      <c r="H852">
        <v>8</v>
      </c>
      <c r="I852">
        <v>0</v>
      </c>
      <c r="J852">
        <v>0</v>
      </c>
      <c r="K852">
        <v>0</v>
      </c>
      <c r="L852" s="6">
        <f t="shared" si="100"/>
        <v>1</v>
      </c>
      <c r="M852">
        <v>199</v>
      </c>
      <c r="N852">
        <v>34</v>
      </c>
      <c r="O852" s="9">
        <v>0</v>
      </c>
      <c r="P852">
        <v>0</v>
      </c>
      <c r="Q852">
        <v>74</v>
      </c>
      <c r="R852">
        <v>0</v>
      </c>
      <c r="S852">
        <v>91</v>
      </c>
      <c r="T852">
        <v>0</v>
      </c>
      <c r="U852" s="3">
        <f t="shared" si="101"/>
        <v>1</v>
      </c>
      <c r="V852" s="3">
        <f t="shared" si="102"/>
        <v>1</v>
      </c>
    </row>
    <row r="853" spans="1:22" x14ac:dyDescent="0.25">
      <c r="A853" s="2">
        <v>2017</v>
      </c>
      <c r="B853" t="s">
        <v>45</v>
      </c>
      <c r="C853" t="s">
        <v>24</v>
      </c>
      <c r="D853" s="2">
        <v>134</v>
      </c>
      <c r="E853" s="2" t="s">
        <v>208</v>
      </c>
      <c r="F853" t="s">
        <v>29</v>
      </c>
      <c r="G853">
        <v>11</v>
      </c>
      <c r="H853">
        <v>11</v>
      </c>
      <c r="I853">
        <v>0</v>
      </c>
      <c r="J853">
        <v>0</v>
      </c>
      <c r="K853">
        <v>0</v>
      </c>
      <c r="L853" s="6">
        <f t="shared" si="100"/>
        <v>1</v>
      </c>
      <c r="M853">
        <v>289</v>
      </c>
      <c r="N853">
        <v>48</v>
      </c>
      <c r="O853" s="9">
        <v>0</v>
      </c>
      <c r="P853">
        <v>0</v>
      </c>
      <c r="Q853">
        <v>137</v>
      </c>
      <c r="R853">
        <v>0</v>
      </c>
      <c r="S853">
        <v>104</v>
      </c>
      <c r="T853">
        <v>0</v>
      </c>
      <c r="U853" s="3">
        <f t="shared" si="101"/>
        <v>1</v>
      </c>
      <c r="V853" s="3">
        <f t="shared" si="102"/>
        <v>1</v>
      </c>
    </row>
    <row r="854" spans="1:22" x14ac:dyDescent="0.25">
      <c r="A854" s="2">
        <v>2017</v>
      </c>
      <c r="B854" t="s">
        <v>45</v>
      </c>
      <c r="C854" t="s">
        <v>24</v>
      </c>
      <c r="D854" s="2">
        <v>131</v>
      </c>
      <c r="E854" s="2" t="s">
        <v>210</v>
      </c>
      <c r="F854" t="s">
        <v>504</v>
      </c>
      <c r="G854">
        <v>3</v>
      </c>
      <c r="H854">
        <v>3</v>
      </c>
      <c r="I854">
        <v>0</v>
      </c>
      <c r="J854">
        <v>0</v>
      </c>
      <c r="K854">
        <v>0</v>
      </c>
      <c r="L854" s="6">
        <f t="shared" si="100"/>
        <v>1</v>
      </c>
      <c r="M854">
        <v>76</v>
      </c>
      <c r="N854">
        <v>16</v>
      </c>
      <c r="O854" s="9">
        <v>0</v>
      </c>
      <c r="P854">
        <v>0</v>
      </c>
      <c r="Q854">
        <v>35</v>
      </c>
      <c r="R854">
        <v>1</v>
      </c>
      <c r="S854">
        <v>23</v>
      </c>
      <c r="T854">
        <v>1</v>
      </c>
      <c r="U854" s="3">
        <f t="shared" si="101"/>
        <v>0.98684210526315785</v>
      </c>
      <c r="V854" s="3">
        <f t="shared" si="102"/>
        <v>0.98734177215189878</v>
      </c>
    </row>
    <row r="855" spans="1:22" x14ac:dyDescent="0.25">
      <c r="A855" s="2">
        <v>2017</v>
      </c>
      <c r="B855" t="s">
        <v>45</v>
      </c>
      <c r="C855" t="s">
        <v>24</v>
      </c>
      <c r="D855" s="2">
        <v>138</v>
      </c>
      <c r="E855" s="2" t="s">
        <v>212</v>
      </c>
      <c r="F855" t="s">
        <v>406</v>
      </c>
      <c r="G855">
        <v>16</v>
      </c>
      <c r="H855">
        <v>16</v>
      </c>
      <c r="I855">
        <v>0</v>
      </c>
      <c r="J855">
        <v>0</v>
      </c>
      <c r="K855">
        <v>0</v>
      </c>
      <c r="L855" s="6">
        <f t="shared" si="100"/>
        <v>1</v>
      </c>
      <c r="M855">
        <v>250</v>
      </c>
      <c r="N855">
        <v>45</v>
      </c>
      <c r="O855" s="9">
        <v>0</v>
      </c>
      <c r="P855">
        <v>0</v>
      </c>
      <c r="Q855">
        <v>99</v>
      </c>
      <c r="R855">
        <v>0</v>
      </c>
      <c r="S855">
        <v>104</v>
      </c>
      <c r="T855">
        <v>2</v>
      </c>
      <c r="U855" s="3">
        <f t="shared" si="101"/>
        <v>1</v>
      </c>
      <c r="V855" s="3">
        <f t="shared" si="102"/>
        <v>1</v>
      </c>
    </row>
    <row r="856" spans="1:22" x14ac:dyDescent="0.25">
      <c r="A856" s="2">
        <v>2017</v>
      </c>
      <c r="B856" t="s">
        <v>45</v>
      </c>
      <c r="C856" t="s">
        <v>24</v>
      </c>
      <c r="D856" s="2">
        <v>150</v>
      </c>
      <c r="E856" s="2" t="s">
        <v>214</v>
      </c>
      <c r="F856" t="s">
        <v>30</v>
      </c>
      <c r="G856">
        <v>7</v>
      </c>
      <c r="H856">
        <v>7</v>
      </c>
      <c r="I856">
        <v>0</v>
      </c>
      <c r="J856">
        <v>0</v>
      </c>
      <c r="K856">
        <v>0</v>
      </c>
      <c r="L856" s="6">
        <f t="shared" si="100"/>
        <v>1</v>
      </c>
      <c r="M856">
        <v>171</v>
      </c>
      <c r="N856">
        <v>37</v>
      </c>
      <c r="O856" s="9">
        <v>0</v>
      </c>
      <c r="P856">
        <v>0</v>
      </c>
      <c r="Q856">
        <v>75</v>
      </c>
      <c r="R856">
        <v>0</v>
      </c>
      <c r="S856">
        <v>59</v>
      </c>
      <c r="T856">
        <v>0</v>
      </c>
      <c r="U856" s="3">
        <f t="shared" si="101"/>
        <v>1</v>
      </c>
      <c r="V856" s="3">
        <f t="shared" si="102"/>
        <v>1</v>
      </c>
    </row>
    <row r="857" spans="1:22" x14ac:dyDescent="0.25">
      <c r="A857" s="2">
        <v>2017</v>
      </c>
      <c r="B857" t="s">
        <v>45</v>
      </c>
      <c r="C857" t="s">
        <v>24</v>
      </c>
      <c r="D857" s="2">
        <v>151</v>
      </c>
      <c r="E857" s="2" t="s">
        <v>216</v>
      </c>
      <c r="F857" t="s">
        <v>424</v>
      </c>
      <c r="G857">
        <v>10</v>
      </c>
      <c r="H857">
        <v>10</v>
      </c>
      <c r="I857">
        <v>0</v>
      </c>
      <c r="J857">
        <v>0</v>
      </c>
      <c r="K857">
        <v>0</v>
      </c>
      <c r="L857" s="6">
        <f t="shared" si="100"/>
        <v>1</v>
      </c>
      <c r="M857">
        <v>179</v>
      </c>
      <c r="N857">
        <v>31</v>
      </c>
      <c r="O857" s="9">
        <v>0</v>
      </c>
      <c r="P857">
        <v>0</v>
      </c>
      <c r="Q857">
        <v>83</v>
      </c>
      <c r="R857">
        <v>0</v>
      </c>
      <c r="S857">
        <v>64</v>
      </c>
      <c r="T857">
        <v>1</v>
      </c>
      <c r="U857" s="3">
        <f t="shared" si="101"/>
        <v>1</v>
      </c>
      <c r="V857" s="3">
        <f t="shared" si="102"/>
        <v>1</v>
      </c>
    </row>
    <row r="858" spans="1:22" x14ac:dyDescent="0.25">
      <c r="A858" s="2">
        <v>2017</v>
      </c>
      <c r="B858" t="s">
        <v>45</v>
      </c>
      <c r="C858" t="s">
        <v>24</v>
      </c>
      <c r="D858" s="2">
        <v>39</v>
      </c>
      <c r="E858" s="2" t="s">
        <v>218</v>
      </c>
      <c r="F858" t="s">
        <v>407</v>
      </c>
      <c r="G858">
        <v>10</v>
      </c>
      <c r="H858">
        <v>10</v>
      </c>
      <c r="I858">
        <v>0</v>
      </c>
      <c r="J858">
        <v>0</v>
      </c>
      <c r="K858">
        <v>0</v>
      </c>
      <c r="L858" s="6">
        <f t="shared" si="100"/>
        <v>1</v>
      </c>
      <c r="M858">
        <v>216</v>
      </c>
      <c r="N858">
        <v>46</v>
      </c>
      <c r="O858" s="9">
        <v>0</v>
      </c>
      <c r="P858">
        <v>1</v>
      </c>
      <c r="Q858">
        <v>91</v>
      </c>
      <c r="R858">
        <v>0</v>
      </c>
      <c r="S858">
        <v>78</v>
      </c>
      <c r="T858">
        <v>0</v>
      </c>
      <c r="U858" s="3">
        <f t="shared" si="101"/>
        <v>0.99537037037037035</v>
      </c>
      <c r="V858" s="3">
        <f t="shared" si="102"/>
        <v>0.99557522123893805</v>
      </c>
    </row>
    <row r="859" spans="1:22" x14ac:dyDescent="0.25">
      <c r="A859" s="2">
        <v>2017</v>
      </c>
      <c r="B859" t="s">
        <v>45</v>
      </c>
      <c r="C859" t="s">
        <v>24</v>
      </c>
      <c r="D859" s="2">
        <v>78</v>
      </c>
      <c r="E859" s="2" t="s">
        <v>220</v>
      </c>
      <c r="F859" t="s">
        <v>408</v>
      </c>
      <c r="G859">
        <v>11</v>
      </c>
      <c r="H859">
        <v>11</v>
      </c>
      <c r="I859">
        <v>0</v>
      </c>
      <c r="J859">
        <v>0</v>
      </c>
      <c r="K859">
        <v>0</v>
      </c>
      <c r="L859" s="6">
        <f t="shared" si="100"/>
        <v>1</v>
      </c>
      <c r="M859">
        <v>188</v>
      </c>
      <c r="N859">
        <v>36</v>
      </c>
      <c r="O859" s="9">
        <v>0</v>
      </c>
      <c r="P859">
        <v>0</v>
      </c>
      <c r="Q859">
        <v>87</v>
      </c>
      <c r="R859">
        <v>0</v>
      </c>
      <c r="S859">
        <v>64</v>
      </c>
      <c r="T859">
        <v>1</v>
      </c>
      <c r="U859" s="3">
        <f t="shared" si="101"/>
        <v>1</v>
      </c>
      <c r="V859" s="3">
        <f t="shared" si="102"/>
        <v>1</v>
      </c>
    </row>
    <row r="860" spans="1:22" x14ac:dyDescent="0.25">
      <c r="A860" s="2">
        <v>2017</v>
      </c>
      <c r="B860" t="s">
        <v>45</v>
      </c>
      <c r="C860" t="s">
        <v>20</v>
      </c>
      <c r="D860" s="2">
        <v>578</v>
      </c>
      <c r="E860" s="2" t="s">
        <v>303</v>
      </c>
      <c r="F860" t="s">
        <v>43</v>
      </c>
      <c r="G860">
        <v>12</v>
      </c>
      <c r="H860">
        <v>12</v>
      </c>
      <c r="I860">
        <v>0</v>
      </c>
      <c r="J860">
        <v>0</v>
      </c>
      <c r="K860">
        <v>0</v>
      </c>
      <c r="L860" s="6">
        <f t="shared" si="100"/>
        <v>1</v>
      </c>
      <c r="M860">
        <v>165</v>
      </c>
      <c r="N860">
        <v>25</v>
      </c>
      <c r="O860" s="9">
        <v>0</v>
      </c>
      <c r="P860">
        <v>0</v>
      </c>
      <c r="Q860">
        <v>79</v>
      </c>
      <c r="R860">
        <v>0</v>
      </c>
      <c r="S860">
        <v>60</v>
      </c>
      <c r="T860">
        <v>1</v>
      </c>
      <c r="U860" s="3">
        <f t="shared" si="101"/>
        <v>1</v>
      </c>
      <c r="V860" s="3">
        <f t="shared" si="102"/>
        <v>1</v>
      </c>
    </row>
    <row r="861" spans="1:22" x14ac:dyDescent="0.25">
      <c r="A861" s="2">
        <v>2017</v>
      </c>
      <c r="B861" t="s">
        <v>45</v>
      </c>
      <c r="C861" t="s">
        <v>20</v>
      </c>
      <c r="D861" s="2">
        <v>772</v>
      </c>
      <c r="E861" s="2" t="s">
        <v>304</v>
      </c>
      <c r="F861" t="s">
        <v>331</v>
      </c>
      <c r="G861">
        <v>9</v>
      </c>
      <c r="H861">
        <v>9</v>
      </c>
      <c r="I861">
        <v>0</v>
      </c>
      <c r="J861">
        <v>0</v>
      </c>
      <c r="K861">
        <v>0</v>
      </c>
      <c r="L861" s="6">
        <f t="shared" si="100"/>
        <v>1</v>
      </c>
      <c r="M861">
        <v>42</v>
      </c>
      <c r="N861">
        <v>8</v>
      </c>
      <c r="O861" s="9">
        <v>0</v>
      </c>
      <c r="P861">
        <v>0</v>
      </c>
      <c r="Q861">
        <v>16</v>
      </c>
      <c r="R861">
        <v>0</v>
      </c>
      <c r="S861">
        <v>18</v>
      </c>
      <c r="T861">
        <v>0</v>
      </c>
      <c r="U861" s="3">
        <f t="shared" si="101"/>
        <v>1</v>
      </c>
      <c r="V861" s="3">
        <f t="shared" si="102"/>
        <v>1</v>
      </c>
    </row>
    <row r="862" spans="1:22" x14ac:dyDescent="0.25">
      <c r="A862" s="2">
        <v>2017</v>
      </c>
      <c r="B862" t="s">
        <v>45</v>
      </c>
      <c r="C862" t="s">
        <v>20</v>
      </c>
      <c r="D862" s="2">
        <v>590</v>
      </c>
      <c r="E862" s="2" t="s">
        <v>305</v>
      </c>
      <c r="F862" t="s">
        <v>334</v>
      </c>
      <c r="G862">
        <v>10</v>
      </c>
      <c r="H862">
        <v>10</v>
      </c>
      <c r="I862">
        <v>0</v>
      </c>
      <c r="J862">
        <v>0</v>
      </c>
      <c r="K862">
        <v>0</v>
      </c>
      <c r="L862" s="6">
        <f t="shared" si="100"/>
        <v>1</v>
      </c>
      <c r="M862">
        <v>137</v>
      </c>
      <c r="N862">
        <v>17</v>
      </c>
      <c r="O862" s="9">
        <v>0</v>
      </c>
      <c r="P862">
        <v>0</v>
      </c>
      <c r="Q862">
        <v>62</v>
      </c>
      <c r="R862">
        <v>0</v>
      </c>
      <c r="S862">
        <v>57</v>
      </c>
      <c r="T862">
        <v>1</v>
      </c>
      <c r="U862" s="3">
        <f t="shared" si="101"/>
        <v>1</v>
      </c>
      <c r="V862" s="3">
        <f t="shared" si="102"/>
        <v>1</v>
      </c>
    </row>
    <row r="863" spans="1:22" x14ac:dyDescent="0.25">
      <c r="A863" s="2">
        <v>2017</v>
      </c>
      <c r="B863" t="s">
        <v>45</v>
      </c>
      <c r="C863" t="s">
        <v>20</v>
      </c>
      <c r="D863" s="2">
        <v>586</v>
      </c>
      <c r="E863" s="2" t="s">
        <v>306</v>
      </c>
      <c r="F863" t="s">
        <v>335</v>
      </c>
      <c r="G863">
        <v>14</v>
      </c>
      <c r="H863">
        <v>14</v>
      </c>
      <c r="I863">
        <v>0</v>
      </c>
      <c r="J863">
        <v>0</v>
      </c>
      <c r="K863">
        <v>0</v>
      </c>
      <c r="L863" s="6">
        <f t="shared" si="100"/>
        <v>1</v>
      </c>
      <c r="M863">
        <v>135</v>
      </c>
      <c r="N863">
        <v>15</v>
      </c>
      <c r="O863" s="9">
        <v>0</v>
      </c>
      <c r="P863">
        <v>0</v>
      </c>
      <c r="Q863">
        <v>65</v>
      </c>
      <c r="R863">
        <v>0</v>
      </c>
      <c r="S863">
        <v>55</v>
      </c>
      <c r="T863">
        <v>0</v>
      </c>
      <c r="U863" s="3">
        <f t="shared" si="101"/>
        <v>1</v>
      </c>
      <c r="V863" s="3">
        <f t="shared" si="102"/>
        <v>1</v>
      </c>
    </row>
    <row r="864" spans="1:22" x14ac:dyDescent="0.25">
      <c r="A864" s="2">
        <v>2017</v>
      </c>
      <c r="B864" t="s">
        <v>45</v>
      </c>
      <c r="C864" t="s">
        <v>20</v>
      </c>
      <c r="D864" s="2">
        <v>527</v>
      </c>
      <c r="E864" s="2" t="s">
        <v>307</v>
      </c>
      <c r="F864" t="s">
        <v>337</v>
      </c>
      <c r="G864">
        <v>54</v>
      </c>
      <c r="H864">
        <v>54</v>
      </c>
      <c r="I864">
        <v>0</v>
      </c>
      <c r="J864">
        <v>0</v>
      </c>
      <c r="K864">
        <v>0</v>
      </c>
      <c r="L864" s="6">
        <f t="shared" si="100"/>
        <v>1</v>
      </c>
      <c r="M864">
        <v>565</v>
      </c>
      <c r="N864">
        <v>76</v>
      </c>
      <c r="O864" s="9">
        <v>0</v>
      </c>
      <c r="P864">
        <v>0</v>
      </c>
      <c r="Q864">
        <v>279</v>
      </c>
      <c r="R864">
        <v>1</v>
      </c>
      <c r="S864">
        <v>209</v>
      </c>
      <c r="T864">
        <v>0</v>
      </c>
      <c r="U864" s="3">
        <f t="shared" si="101"/>
        <v>0.99823008849557526</v>
      </c>
      <c r="V864" s="3">
        <f t="shared" si="102"/>
        <v>0.99838449111470118</v>
      </c>
    </row>
    <row r="865" spans="1:22" x14ac:dyDescent="0.25">
      <c r="A865" s="2">
        <v>2017</v>
      </c>
      <c r="B865" t="s">
        <v>45</v>
      </c>
      <c r="C865" t="s">
        <v>20</v>
      </c>
      <c r="D865" s="2">
        <v>548</v>
      </c>
      <c r="E865" s="2" t="s">
        <v>308</v>
      </c>
      <c r="F865" t="s">
        <v>338</v>
      </c>
      <c r="G865">
        <v>13</v>
      </c>
      <c r="H865">
        <v>13</v>
      </c>
      <c r="I865">
        <v>0</v>
      </c>
      <c r="J865">
        <v>0</v>
      </c>
      <c r="K865">
        <v>0</v>
      </c>
      <c r="L865" s="6">
        <f t="shared" si="100"/>
        <v>1</v>
      </c>
      <c r="M865">
        <v>78</v>
      </c>
      <c r="N865">
        <v>6</v>
      </c>
      <c r="O865" s="9">
        <v>0</v>
      </c>
      <c r="P865">
        <v>1</v>
      </c>
      <c r="Q865">
        <v>37</v>
      </c>
      <c r="R865">
        <v>0</v>
      </c>
      <c r="S865">
        <v>34</v>
      </c>
      <c r="T865">
        <v>0</v>
      </c>
      <c r="U865" s="3">
        <f t="shared" si="101"/>
        <v>0.98717948717948723</v>
      </c>
      <c r="V865" s="3">
        <f t="shared" si="102"/>
        <v>0.98901098901098905</v>
      </c>
    </row>
    <row r="866" spans="1:22" x14ac:dyDescent="0.25">
      <c r="A866" s="2">
        <v>2017</v>
      </c>
      <c r="B866" t="s">
        <v>45</v>
      </c>
      <c r="C866" t="s">
        <v>20</v>
      </c>
      <c r="D866" s="2">
        <v>587</v>
      </c>
      <c r="E866" s="2" t="s">
        <v>309</v>
      </c>
      <c r="F866" t="s">
        <v>33</v>
      </c>
      <c r="G866">
        <v>8</v>
      </c>
      <c r="H866">
        <v>8</v>
      </c>
      <c r="I866">
        <v>0</v>
      </c>
      <c r="J866">
        <v>0</v>
      </c>
      <c r="K866">
        <v>0</v>
      </c>
      <c r="L866" s="6">
        <f t="shared" si="100"/>
        <v>1</v>
      </c>
      <c r="M866">
        <v>133</v>
      </c>
      <c r="N866">
        <v>18</v>
      </c>
      <c r="O866" s="9">
        <v>0</v>
      </c>
      <c r="P866">
        <v>0</v>
      </c>
      <c r="Q866">
        <v>68</v>
      </c>
      <c r="R866">
        <v>0</v>
      </c>
      <c r="S866">
        <v>47</v>
      </c>
      <c r="T866">
        <v>0</v>
      </c>
      <c r="U866" s="3">
        <f t="shared" si="101"/>
        <v>1</v>
      </c>
      <c r="V866" s="3">
        <f t="shared" si="102"/>
        <v>1</v>
      </c>
    </row>
    <row r="867" spans="1:22" x14ac:dyDescent="0.25">
      <c r="A867" s="2">
        <v>2017</v>
      </c>
      <c r="B867" t="s">
        <v>45</v>
      </c>
      <c r="C867" t="s">
        <v>20</v>
      </c>
      <c r="D867" s="2">
        <v>404</v>
      </c>
      <c r="E867" s="2" t="s">
        <v>137</v>
      </c>
      <c r="F867" t="s">
        <v>34</v>
      </c>
      <c r="G867">
        <v>4</v>
      </c>
      <c r="H867">
        <v>4</v>
      </c>
      <c r="I867">
        <v>0</v>
      </c>
      <c r="J867">
        <v>0</v>
      </c>
      <c r="K867">
        <v>0</v>
      </c>
      <c r="L867" s="6">
        <f t="shared" si="100"/>
        <v>1</v>
      </c>
      <c r="M867">
        <v>83</v>
      </c>
      <c r="N867">
        <v>7</v>
      </c>
      <c r="O867" s="9">
        <v>0</v>
      </c>
      <c r="P867">
        <v>0</v>
      </c>
      <c r="Q867">
        <v>40</v>
      </c>
      <c r="R867">
        <v>0</v>
      </c>
      <c r="S867">
        <v>35</v>
      </c>
      <c r="T867">
        <v>1</v>
      </c>
      <c r="U867" s="3">
        <f t="shared" si="101"/>
        <v>1</v>
      </c>
      <c r="V867" s="3">
        <f t="shared" si="102"/>
        <v>1</v>
      </c>
    </row>
    <row r="868" spans="1:22" x14ac:dyDescent="0.25">
      <c r="A868" s="2">
        <v>2017</v>
      </c>
      <c r="B868" t="s">
        <v>45</v>
      </c>
      <c r="C868" t="s">
        <v>20</v>
      </c>
      <c r="D868" s="2">
        <v>455</v>
      </c>
      <c r="E868" s="2" t="s">
        <v>236</v>
      </c>
      <c r="F868" t="s">
        <v>36</v>
      </c>
      <c r="G868">
        <v>5</v>
      </c>
      <c r="H868">
        <v>5</v>
      </c>
      <c r="I868">
        <v>0</v>
      </c>
      <c r="J868">
        <v>0</v>
      </c>
      <c r="K868">
        <v>0</v>
      </c>
      <c r="L868" s="6">
        <f t="shared" si="100"/>
        <v>1</v>
      </c>
      <c r="M868">
        <v>105</v>
      </c>
      <c r="N868">
        <v>13</v>
      </c>
      <c r="O868" s="9">
        <v>0</v>
      </c>
      <c r="P868">
        <v>0</v>
      </c>
      <c r="Q868">
        <v>56</v>
      </c>
      <c r="R868">
        <v>0</v>
      </c>
      <c r="S868">
        <v>36</v>
      </c>
      <c r="T868">
        <v>0</v>
      </c>
      <c r="U868" s="3">
        <f t="shared" si="101"/>
        <v>1</v>
      </c>
      <c r="V868" s="3">
        <f t="shared" si="102"/>
        <v>1</v>
      </c>
    </row>
    <row r="869" spans="1:22" x14ac:dyDescent="0.25">
      <c r="A869" s="2">
        <v>2017</v>
      </c>
      <c r="B869" t="s">
        <v>45</v>
      </c>
      <c r="C869" t="s">
        <v>20</v>
      </c>
      <c r="D869" s="2">
        <v>356</v>
      </c>
      <c r="E869" s="2" t="s">
        <v>238</v>
      </c>
      <c r="F869" t="s">
        <v>340</v>
      </c>
      <c r="G869">
        <v>1</v>
      </c>
      <c r="H869">
        <v>1</v>
      </c>
      <c r="I869">
        <v>0</v>
      </c>
      <c r="J869">
        <v>0</v>
      </c>
      <c r="K869">
        <v>0</v>
      </c>
      <c r="L869" s="6">
        <f t="shared" si="100"/>
        <v>1</v>
      </c>
      <c r="M869">
        <v>38</v>
      </c>
      <c r="N869">
        <v>6</v>
      </c>
      <c r="O869" s="9">
        <v>0</v>
      </c>
      <c r="P869">
        <v>0</v>
      </c>
      <c r="Q869">
        <v>20</v>
      </c>
      <c r="R869">
        <v>0</v>
      </c>
      <c r="S869">
        <v>12</v>
      </c>
      <c r="T869">
        <v>0</v>
      </c>
      <c r="U869" s="3">
        <f t="shared" si="101"/>
        <v>1</v>
      </c>
      <c r="V869" s="3">
        <f t="shared" si="102"/>
        <v>1</v>
      </c>
    </row>
    <row r="870" spans="1:22" x14ac:dyDescent="0.25">
      <c r="A870" s="2">
        <v>2017</v>
      </c>
      <c r="B870" t="s">
        <v>45</v>
      </c>
      <c r="C870" t="s">
        <v>20</v>
      </c>
      <c r="D870" s="2">
        <v>600</v>
      </c>
      <c r="E870" s="2" t="s">
        <v>81</v>
      </c>
      <c r="F870" t="s">
        <v>435</v>
      </c>
      <c r="G870">
        <v>4</v>
      </c>
      <c r="H870">
        <v>4</v>
      </c>
      <c r="I870">
        <v>0</v>
      </c>
      <c r="J870">
        <v>0</v>
      </c>
      <c r="K870">
        <v>0</v>
      </c>
      <c r="L870" s="6">
        <f t="shared" ref="L870:L884" si="103">IF(G870=0,0,SUM(H870:J870)/G870)</f>
        <v>1</v>
      </c>
      <c r="M870">
        <v>93</v>
      </c>
      <c r="N870">
        <v>11</v>
      </c>
      <c r="O870" s="9">
        <v>0</v>
      </c>
      <c r="P870">
        <v>0</v>
      </c>
      <c r="Q870">
        <v>59</v>
      </c>
      <c r="R870">
        <v>0</v>
      </c>
      <c r="S870">
        <v>23</v>
      </c>
      <c r="T870">
        <v>0</v>
      </c>
      <c r="U870" s="3">
        <f t="shared" ref="U870:U880" si="104">IF(M870=0,0,((N870+O870+Q870+S870+T870)/M870))</f>
        <v>1</v>
      </c>
      <c r="V870" s="3">
        <f t="shared" ref="V870:V880" si="105">IF(AND(G870=0,M870=0),0,(H870+I870+J870+N870+Q870+S870+T870)/(G870+M870))</f>
        <v>1</v>
      </c>
    </row>
    <row r="871" spans="1:22" x14ac:dyDescent="0.25">
      <c r="A871" s="2">
        <v>2017</v>
      </c>
      <c r="B871" t="s">
        <v>45</v>
      </c>
      <c r="C871" t="s">
        <v>20</v>
      </c>
      <c r="D871" s="2">
        <v>777</v>
      </c>
      <c r="E871" s="2" t="s">
        <v>310</v>
      </c>
      <c r="F871" t="s">
        <v>350</v>
      </c>
      <c r="G871">
        <v>0</v>
      </c>
      <c r="H871">
        <v>0</v>
      </c>
      <c r="I871">
        <v>0</v>
      </c>
      <c r="J871">
        <v>0</v>
      </c>
      <c r="K871">
        <v>0</v>
      </c>
      <c r="L871" s="6">
        <f t="shared" si="103"/>
        <v>0</v>
      </c>
      <c r="M871">
        <v>1</v>
      </c>
      <c r="N871">
        <v>0</v>
      </c>
      <c r="O871" s="9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 s="3">
        <f t="shared" si="104"/>
        <v>1</v>
      </c>
      <c r="V871" s="3">
        <f t="shared" si="105"/>
        <v>1</v>
      </c>
    </row>
    <row r="872" spans="1:22" x14ac:dyDescent="0.25">
      <c r="A872" s="2">
        <v>2017</v>
      </c>
      <c r="B872" t="s">
        <v>45</v>
      </c>
      <c r="C872" t="s">
        <v>20</v>
      </c>
      <c r="D872" s="2">
        <v>543</v>
      </c>
      <c r="E872" s="2" t="s">
        <v>311</v>
      </c>
      <c r="F872" t="s">
        <v>341</v>
      </c>
      <c r="G872">
        <v>9</v>
      </c>
      <c r="H872">
        <v>8</v>
      </c>
      <c r="I872">
        <v>0</v>
      </c>
      <c r="J872">
        <v>0</v>
      </c>
      <c r="K872">
        <v>1</v>
      </c>
      <c r="L872" s="6">
        <f t="shared" si="103"/>
        <v>0.88888888888888884</v>
      </c>
      <c r="M872">
        <v>184</v>
      </c>
      <c r="N872">
        <v>25</v>
      </c>
      <c r="O872" s="9">
        <v>0</v>
      </c>
      <c r="P872">
        <v>0</v>
      </c>
      <c r="Q872">
        <v>97</v>
      </c>
      <c r="R872">
        <v>0</v>
      </c>
      <c r="S872">
        <v>62</v>
      </c>
      <c r="T872">
        <v>0</v>
      </c>
      <c r="U872" s="3">
        <f t="shared" si="104"/>
        <v>1</v>
      </c>
      <c r="V872" s="3">
        <f t="shared" si="105"/>
        <v>0.99481865284974091</v>
      </c>
    </row>
    <row r="873" spans="1:22" x14ac:dyDescent="0.25">
      <c r="A873" s="2">
        <v>2017</v>
      </c>
      <c r="B873" t="s">
        <v>45</v>
      </c>
      <c r="C873" t="s">
        <v>20</v>
      </c>
      <c r="D873" s="2">
        <v>565</v>
      </c>
      <c r="E873" s="2" t="s">
        <v>312</v>
      </c>
      <c r="F873" t="s">
        <v>432</v>
      </c>
      <c r="G873">
        <v>2</v>
      </c>
      <c r="H873">
        <v>2</v>
      </c>
      <c r="I873">
        <v>0</v>
      </c>
      <c r="J873">
        <v>0</v>
      </c>
      <c r="K873">
        <v>0</v>
      </c>
      <c r="L873" s="6">
        <f t="shared" si="103"/>
        <v>1</v>
      </c>
      <c r="M873">
        <v>115</v>
      </c>
      <c r="N873">
        <v>17</v>
      </c>
      <c r="O873" s="9">
        <v>0</v>
      </c>
      <c r="P873">
        <v>0</v>
      </c>
      <c r="Q873">
        <v>73</v>
      </c>
      <c r="R873">
        <v>0</v>
      </c>
      <c r="S873">
        <v>24</v>
      </c>
      <c r="T873">
        <v>1</v>
      </c>
      <c r="U873" s="3">
        <f t="shared" si="104"/>
        <v>1</v>
      </c>
      <c r="V873" s="3">
        <f t="shared" si="105"/>
        <v>1</v>
      </c>
    </row>
    <row r="874" spans="1:22" x14ac:dyDescent="0.25">
      <c r="A874" s="2">
        <v>2017</v>
      </c>
      <c r="B874" t="s">
        <v>45</v>
      </c>
      <c r="C874" t="s">
        <v>20</v>
      </c>
      <c r="D874" s="2">
        <v>576</v>
      </c>
      <c r="E874" s="2" t="s">
        <v>313</v>
      </c>
      <c r="F874" t="s">
        <v>342</v>
      </c>
      <c r="G874">
        <v>3</v>
      </c>
      <c r="H874">
        <v>3</v>
      </c>
      <c r="I874">
        <v>0</v>
      </c>
      <c r="J874">
        <v>0</v>
      </c>
      <c r="K874">
        <v>0</v>
      </c>
      <c r="L874" s="6">
        <f t="shared" si="103"/>
        <v>1</v>
      </c>
      <c r="M874">
        <v>67</v>
      </c>
      <c r="N874">
        <v>14</v>
      </c>
      <c r="O874" s="9">
        <v>0</v>
      </c>
      <c r="P874">
        <v>0</v>
      </c>
      <c r="Q874">
        <v>32</v>
      </c>
      <c r="R874">
        <v>0</v>
      </c>
      <c r="S874">
        <v>21</v>
      </c>
      <c r="T874">
        <v>0</v>
      </c>
      <c r="U874" s="3">
        <f t="shared" si="104"/>
        <v>1</v>
      </c>
      <c r="V874" s="3">
        <f t="shared" si="105"/>
        <v>1</v>
      </c>
    </row>
    <row r="875" spans="1:22" x14ac:dyDescent="0.25">
      <c r="A875" s="2">
        <v>2017</v>
      </c>
      <c r="B875" t="s">
        <v>45</v>
      </c>
      <c r="C875" t="s">
        <v>20</v>
      </c>
      <c r="D875" s="2">
        <v>525</v>
      </c>
      <c r="E875" s="2" t="s">
        <v>314</v>
      </c>
      <c r="F875" t="s">
        <v>343</v>
      </c>
      <c r="G875">
        <v>46</v>
      </c>
      <c r="H875">
        <v>46</v>
      </c>
      <c r="I875">
        <v>0</v>
      </c>
      <c r="J875">
        <v>0</v>
      </c>
      <c r="K875">
        <v>0</v>
      </c>
      <c r="L875" s="6">
        <f t="shared" si="103"/>
        <v>1</v>
      </c>
      <c r="M875">
        <v>300</v>
      </c>
      <c r="N875">
        <v>29</v>
      </c>
      <c r="O875" s="9">
        <v>0</v>
      </c>
      <c r="P875">
        <v>2</v>
      </c>
      <c r="Q875">
        <v>136</v>
      </c>
      <c r="R875">
        <v>2</v>
      </c>
      <c r="S875">
        <v>131</v>
      </c>
      <c r="T875">
        <v>0</v>
      </c>
      <c r="U875" s="3">
        <f t="shared" si="104"/>
        <v>0.98666666666666669</v>
      </c>
      <c r="V875" s="3">
        <f t="shared" si="105"/>
        <v>0.98843930635838151</v>
      </c>
    </row>
    <row r="876" spans="1:22" x14ac:dyDescent="0.25">
      <c r="A876" s="2">
        <v>2017</v>
      </c>
      <c r="B876" t="s">
        <v>45</v>
      </c>
      <c r="C876" t="s">
        <v>20</v>
      </c>
      <c r="D876" s="2">
        <v>588</v>
      </c>
      <c r="E876" s="2" t="s">
        <v>315</v>
      </c>
      <c r="F876" t="s">
        <v>352</v>
      </c>
      <c r="G876">
        <v>1</v>
      </c>
      <c r="H876">
        <v>1</v>
      </c>
      <c r="I876">
        <v>0</v>
      </c>
      <c r="J876">
        <v>0</v>
      </c>
      <c r="K876">
        <v>0</v>
      </c>
      <c r="L876" s="6">
        <f t="shared" si="103"/>
        <v>1</v>
      </c>
      <c r="M876">
        <v>88</v>
      </c>
      <c r="N876">
        <v>16</v>
      </c>
      <c r="O876" s="9">
        <v>0</v>
      </c>
      <c r="P876">
        <v>0</v>
      </c>
      <c r="Q876">
        <v>60</v>
      </c>
      <c r="R876">
        <v>0</v>
      </c>
      <c r="S876">
        <v>12</v>
      </c>
      <c r="T876">
        <v>0</v>
      </c>
      <c r="U876" s="3">
        <f t="shared" si="104"/>
        <v>1</v>
      </c>
      <c r="V876" s="3">
        <f t="shared" si="105"/>
        <v>1</v>
      </c>
    </row>
    <row r="877" spans="1:22" x14ac:dyDescent="0.25">
      <c r="A877" s="2">
        <v>2017</v>
      </c>
      <c r="B877" t="s">
        <v>45</v>
      </c>
      <c r="C877" t="s">
        <v>20</v>
      </c>
      <c r="D877" s="2">
        <v>550</v>
      </c>
      <c r="E877" s="2" t="s">
        <v>316</v>
      </c>
      <c r="F877" t="s">
        <v>344</v>
      </c>
      <c r="G877">
        <v>4</v>
      </c>
      <c r="H877">
        <v>4</v>
      </c>
      <c r="I877">
        <v>0</v>
      </c>
      <c r="J877">
        <v>0</v>
      </c>
      <c r="K877">
        <v>0</v>
      </c>
      <c r="L877" s="6">
        <f t="shared" si="103"/>
        <v>1</v>
      </c>
      <c r="M877">
        <v>97</v>
      </c>
      <c r="N877">
        <v>14</v>
      </c>
      <c r="O877" s="9">
        <v>0</v>
      </c>
      <c r="P877">
        <v>0</v>
      </c>
      <c r="Q877">
        <v>48</v>
      </c>
      <c r="R877">
        <v>0</v>
      </c>
      <c r="S877">
        <v>35</v>
      </c>
      <c r="T877">
        <v>0</v>
      </c>
      <c r="U877" s="3">
        <f t="shared" si="104"/>
        <v>1</v>
      </c>
      <c r="V877" s="3">
        <f t="shared" si="105"/>
        <v>1</v>
      </c>
    </row>
    <row r="878" spans="1:22" x14ac:dyDescent="0.25">
      <c r="A878" s="2">
        <v>2017</v>
      </c>
      <c r="B878" t="s">
        <v>45</v>
      </c>
      <c r="C878" t="s">
        <v>20</v>
      </c>
      <c r="D878" s="2">
        <v>546</v>
      </c>
      <c r="E878" s="2" t="s">
        <v>317</v>
      </c>
      <c r="F878" t="s">
        <v>345</v>
      </c>
      <c r="G878">
        <v>4</v>
      </c>
      <c r="H878">
        <v>4</v>
      </c>
      <c r="I878">
        <v>0</v>
      </c>
      <c r="J878">
        <v>0</v>
      </c>
      <c r="K878">
        <v>0</v>
      </c>
      <c r="L878" s="6">
        <f t="shared" ref="L878" si="106">IF(G878=0,0,SUM(H878:J878)/G878)</f>
        <v>1</v>
      </c>
      <c r="M878">
        <v>199</v>
      </c>
      <c r="N878">
        <v>25</v>
      </c>
      <c r="O878" s="9">
        <v>0</v>
      </c>
      <c r="P878">
        <v>0</v>
      </c>
      <c r="Q878">
        <v>125</v>
      </c>
      <c r="R878">
        <v>0</v>
      </c>
      <c r="S878">
        <v>49</v>
      </c>
      <c r="T878">
        <v>0</v>
      </c>
      <c r="U878" s="3">
        <f t="shared" ref="U878" si="107">IF(M878=0,0,((N878+O878+Q878+S878+T878)/M878))</f>
        <v>1</v>
      </c>
      <c r="V878" s="3">
        <f t="shared" ref="V878" si="108">IF(AND(G878=0,M878=0),0,(H878+I878+J878+N878+Q878+S878+T878)/(G878+M878))</f>
        <v>1</v>
      </c>
    </row>
    <row r="879" spans="1:22" x14ac:dyDescent="0.25">
      <c r="A879" s="2">
        <v>2017</v>
      </c>
      <c r="B879" t="s">
        <v>45</v>
      </c>
      <c r="C879" t="s">
        <v>20</v>
      </c>
      <c r="D879" s="2">
        <v>520</v>
      </c>
      <c r="E879" s="2" t="s">
        <v>318</v>
      </c>
      <c r="F879" t="s">
        <v>346</v>
      </c>
      <c r="G879">
        <v>7</v>
      </c>
      <c r="H879">
        <v>7</v>
      </c>
      <c r="I879">
        <v>0</v>
      </c>
      <c r="J879">
        <v>0</v>
      </c>
      <c r="K879">
        <v>0</v>
      </c>
      <c r="L879" s="6">
        <f t="shared" si="103"/>
        <v>1</v>
      </c>
      <c r="M879">
        <v>314</v>
      </c>
      <c r="N879">
        <v>37</v>
      </c>
      <c r="O879" s="9">
        <v>0</v>
      </c>
      <c r="P879">
        <v>1</v>
      </c>
      <c r="Q879">
        <v>179</v>
      </c>
      <c r="R879">
        <v>2</v>
      </c>
      <c r="S879">
        <v>93</v>
      </c>
      <c r="T879">
        <v>2</v>
      </c>
      <c r="U879" s="3">
        <f t="shared" si="104"/>
        <v>0.99044585987261147</v>
      </c>
      <c r="V879" s="3">
        <f t="shared" si="105"/>
        <v>0.99065420560747663</v>
      </c>
    </row>
    <row r="880" spans="1:22" x14ac:dyDescent="0.25">
      <c r="A880" s="2">
        <v>2017</v>
      </c>
      <c r="B880" t="s">
        <v>45</v>
      </c>
      <c r="C880" t="s">
        <v>20</v>
      </c>
      <c r="D880" s="2">
        <v>563</v>
      </c>
      <c r="E880" s="2" t="s">
        <v>87</v>
      </c>
      <c r="F880" t="s">
        <v>347</v>
      </c>
      <c r="G880">
        <v>6</v>
      </c>
      <c r="H880">
        <v>6</v>
      </c>
      <c r="I880">
        <v>0</v>
      </c>
      <c r="J880">
        <v>0</v>
      </c>
      <c r="K880">
        <v>0</v>
      </c>
      <c r="L880" s="6">
        <f t="shared" si="103"/>
        <v>1</v>
      </c>
      <c r="M880">
        <v>75</v>
      </c>
      <c r="N880">
        <v>18</v>
      </c>
      <c r="O880" s="9">
        <v>0</v>
      </c>
      <c r="P880">
        <v>0</v>
      </c>
      <c r="Q880">
        <v>31</v>
      </c>
      <c r="R880">
        <v>1</v>
      </c>
      <c r="S880">
        <v>25</v>
      </c>
      <c r="T880">
        <v>0</v>
      </c>
      <c r="U880" s="3">
        <f t="shared" si="104"/>
        <v>0.98666666666666669</v>
      </c>
      <c r="V880" s="3">
        <f t="shared" si="105"/>
        <v>0.98765432098765427</v>
      </c>
    </row>
    <row r="881" spans="1:22" x14ac:dyDescent="0.25">
      <c r="A881" s="2">
        <v>2017</v>
      </c>
      <c r="B881" t="s">
        <v>45</v>
      </c>
      <c r="C881" t="s">
        <v>21</v>
      </c>
      <c r="D881" s="2">
        <v>528</v>
      </c>
      <c r="E881" s="2" t="s">
        <v>319</v>
      </c>
      <c r="F881" t="s">
        <v>42</v>
      </c>
      <c r="G881">
        <v>0</v>
      </c>
      <c r="H881">
        <v>0</v>
      </c>
      <c r="I881">
        <v>0</v>
      </c>
      <c r="J881">
        <v>0</v>
      </c>
      <c r="K881">
        <v>0</v>
      </c>
      <c r="L881" s="6">
        <f t="shared" si="103"/>
        <v>0</v>
      </c>
      <c r="M881">
        <v>165</v>
      </c>
      <c r="N881">
        <v>15</v>
      </c>
      <c r="O881" s="9">
        <v>0</v>
      </c>
      <c r="P881">
        <v>0</v>
      </c>
      <c r="Q881">
        <v>101</v>
      </c>
      <c r="R881">
        <v>0</v>
      </c>
      <c r="S881">
        <v>49</v>
      </c>
      <c r="T881">
        <v>0</v>
      </c>
      <c r="U881" s="3">
        <f t="shared" ref="U881:U884" si="109">IF(M881=0,0,((N881+O881+Q881+S881+T881)/M881))</f>
        <v>1</v>
      </c>
      <c r="V881" s="3">
        <f t="shared" ref="V881:V884" si="110">IF(AND(G881=0,M881=0),0,(H881+I881+J881+N881+Q881+S881+T881)/(G881+M881))</f>
        <v>1</v>
      </c>
    </row>
    <row r="882" spans="1:22" x14ac:dyDescent="0.25">
      <c r="A882" s="2">
        <v>2017</v>
      </c>
      <c r="B882" t="s">
        <v>45</v>
      </c>
      <c r="C882" t="s">
        <v>21</v>
      </c>
      <c r="D882" s="2">
        <v>772</v>
      </c>
      <c r="E882" s="2" t="s">
        <v>304</v>
      </c>
      <c r="F882" t="s">
        <v>331</v>
      </c>
      <c r="G882">
        <v>7</v>
      </c>
      <c r="H882">
        <v>7</v>
      </c>
      <c r="I882">
        <v>0</v>
      </c>
      <c r="J882">
        <v>0</v>
      </c>
      <c r="K882">
        <v>0</v>
      </c>
      <c r="L882" s="6">
        <f t="shared" si="103"/>
        <v>1</v>
      </c>
      <c r="M882">
        <v>20</v>
      </c>
      <c r="N882">
        <v>4</v>
      </c>
      <c r="O882" s="9">
        <v>0</v>
      </c>
      <c r="P882">
        <v>0</v>
      </c>
      <c r="Q882">
        <v>7</v>
      </c>
      <c r="R882">
        <v>0</v>
      </c>
      <c r="S882">
        <v>9</v>
      </c>
      <c r="T882">
        <v>0</v>
      </c>
      <c r="U882" s="3">
        <f t="shared" si="109"/>
        <v>1</v>
      </c>
      <c r="V882" s="3">
        <f t="shared" si="110"/>
        <v>1</v>
      </c>
    </row>
    <row r="883" spans="1:22" x14ac:dyDescent="0.25">
      <c r="A883" s="2">
        <v>2017</v>
      </c>
      <c r="B883" t="s">
        <v>45</v>
      </c>
      <c r="C883" t="s">
        <v>21</v>
      </c>
      <c r="D883" s="2">
        <v>555</v>
      </c>
      <c r="E883" s="2" t="s">
        <v>291</v>
      </c>
      <c r="F883" t="s">
        <v>375</v>
      </c>
      <c r="G883">
        <v>0</v>
      </c>
      <c r="H883">
        <v>0</v>
      </c>
      <c r="I883">
        <v>0</v>
      </c>
      <c r="J883">
        <v>0</v>
      </c>
      <c r="K883">
        <v>0</v>
      </c>
      <c r="L883" s="6">
        <f t="shared" si="103"/>
        <v>0</v>
      </c>
      <c r="M883">
        <v>1</v>
      </c>
      <c r="N883">
        <v>1</v>
      </c>
      <c r="O883" s="9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 s="3">
        <f t="shared" si="109"/>
        <v>1</v>
      </c>
      <c r="V883" s="3">
        <f t="shared" si="110"/>
        <v>1</v>
      </c>
    </row>
    <row r="884" spans="1:22" x14ac:dyDescent="0.25">
      <c r="A884" s="2">
        <v>2017</v>
      </c>
      <c r="B884" t="s">
        <v>45</v>
      </c>
      <c r="C884" t="s">
        <v>21</v>
      </c>
      <c r="D884" s="2">
        <v>586</v>
      </c>
      <c r="E884" s="2" t="s">
        <v>306</v>
      </c>
      <c r="F884" t="s">
        <v>335</v>
      </c>
      <c r="G884">
        <v>5</v>
      </c>
      <c r="H884">
        <v>5</v>
      </c>
      <c r="I884">
        <v>0</v>
      </c>
      <c r="J884">
        <v>0</v>
      </c>
      <c r="K884">
        <v>0</v>
      </c>
      <c r="L884" s="6">
        <f t="shared" si="103"/>
        <v>1</v>
      </c>
      <c r="M884">
        <v>80</v>
      </c>
      <c r="N884">
        <v>14</v>
      </c>
      <c r="O884" s="9">
        <v>0</v>
      </c>
      <c r="P884">
        <v>0</v>
      </c>
      <c r="Q884">
        <v>41</v>
      </c>
      <c r="R884">
        <v>0</v>
      </c>
      <c r="S884">
        <v>24</v>
      </c>
      <c r="T884">
        <v>1</v>
      </c>
      <c r="U884" s="3">
        <f t="shared" si="109"/>
        <v>1</v>
      </c>
      <c r="V884" s="3">
        <f t="shared" si="110"/>
        <v>1</v>
      </c>
    </row>
    <row r="885" spans="1:22" x14ac:dyDescent="0.25">
      <c r="A885" s="2">
        <v>2017</v>
      </c>
      <c r="B885" t="s">
        <v>45</v>
      </c>
      <c r="C885" t="s">
        <v>21</v>
      </c>
      <c r="D885" s="2">
        <v>403</v>
      </c>
      <c r="E885" s="2" t="s">
        <v>320</v>
      </c>
      <c r="F885" t="s">
        <v>348</v>
      </c>
      <c r="G885">
        <v>10</v>
      </c>
      <c r="H885">
        <v>9</v>
      </c>
      <c r="I885">
        <v>0</v>
      </c>
      <c r="J885">
        <v>0</v>
      </c>
      <c r="K885">
        <v>1</v>
      </c>
      <c r="L885" s="6">
        <f t="shared" ref="L885:L892" si="111">IF(G885=0,0,SUM(H885:J885)/G885)</f>
        <v>0.9</v>
      </c>
      <c r="M885">
        <v>377</v>
      </c>
      <c r="N885">
        <v>49</v>
      </c>
      <c r="O885" s="9">
        <v>0</v>
      </c>
      <c r="P885">
        <v>0</v>
      </c>
      <c r="Q885">
        <v>236</v>
      </c>
      <c r="R885">
        <v>1</v>
      </c>
      <c r="S885">
        <v>91</v>
      </c>
      <c r="T885">
        <v>0</v>
      </c>
      <c r="U885" s="3">
        <f t="shared" ref="U885:U892" si="112">IF(M885=0,0,((N885+O885+Q885+S885+T885)/M885))</f>
        <v>0.99734748010610075</v>
      </c>
      <c r="V885" s="3">
        <f t="shared" ref="V885:V892" si="113">IF(AND(G885=0,M885=0),0,(H885+I885+J885+N885+Q885+S885+T885)/(G885+M885))</f>
        <v>0.9948320413436692</v>
      </c>
    </row>
    <row r="886" spans="1:22" x14ac:dyDescent="0.25">
      <c r="A886" s="2">
        <v>2017</v>
      </c>
      <c r="B886" t="s">
        <v>45</v>
      </c>
      <c r="C886" t="s">
        <v>21</v>
      </c>
      <c r="D886" s="2">
        <v>548</v>
      </c>
      <c r="E886" s="2" t="s">
        <v>308</v>
      </c>
      <c r="F886" t="s">
        <v>338</v>
      </c>
      <c r="G886">
        <v>19</v>
      </c>
      <c r="H886">
        <v>19</v>
      </c>
      <c r="I886">
        <v>0</v>
      </c>
      <c r="J886">
        <v>0</v>
      </c>
      <c r="K886">
        <v>0</v>
      </c>
      <c r="L886" s="6">
        <f t="shared" si="111"/>
        <v>1</v>
      </c>
      <c r="M886">
        <v>189</v>
      </c>
      <c r="N886">
        <v>21</v>
      </c>
      <c r="O886" s="9">
        <v>0</v>
      </c>
      <c r="P886">
        <v>0</v>
      </c>
      <c r="Q886">
        <v>85</v>
      </c>
      <c r="R886">
        <v>0</v>
      </c>
      <c r="S886">
        <v>80</v>
      </c>
      <c r="T886">
        <v>3</v>
      </c>
      <c r="U886" s="3">
        <f t="shared" si="112"/>
        <v>1</v>
      </c>
      <c r="V886" s="3">
        <f t="shared" si="113"/>
        <v>1</v>
      </c>
    </row>
    <row r="887" spans="1:22" x14ac:dyDescent="0.25">
      <c r="A887" s="2">
        <v>2017</v>
      </c>
      <c r="B887" t="s">
        <v>45</v>
      </c>
      <c r="C887" t="s">
        <v>21</v>
      </c>
      <c r="D887" s="2">
        <v>587</v>
      </c>
      <c r="E887" s="2" t="s">
        <v>309</v>
      </c>
      <c r="F887" t="s">
        <v>33</v>
      </c>
      <c r="G887">
        <v>0</v>
      </c>
      <c r="H887">
        <v>0</v>
      </c>
      <c r="I887">
        <v>0</v>
      </c>
      <c r="J887">
        <v>0</v>
      </c>
      <c r="K887">
        <v>0</v>
      </c>
      <c r="L887" s="6">
        <f t="shared" si="111"/>
        <v>0</v>
      </c>
      <c r="M887">
        <v>1</v>
      </c>
      <c r="N887">
        <v>0</v>
      </c>
      <c r="O887" s="9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 s="3">
        <f t="shared" si="112"/>
        <v>1</v>
      </c>
      <c r="V887" s="3">
        <f t="shared" si="113"/>
        <v>1</v>
      </c>
    </row>
    <row r="888" spans="1:22" x14ac:dyDescent="0.25">
      <c r="A888" s="2">
        <v>2017</v>
      </c>
      <c r="B888" t="s">
        <v>45</v>
      </c>
      <c r="C888" t="s">
        <v>21</v>
      </c>
      <c r="D888" s="2">
        <v>595</v>
      </c>
      <c r="E888" s="2" t="s">
        <v>321</v>
      </c>
      <c r="F888" t="s">
        <v>35</v>
      </c>
      <c r="G888">
        <v>0</v>
      </c>
      <c r="H888">
        <v>0</v>
      </c>
      <c r="I888">
        <v>0</v>
      </c>
      <c r="J888">
        <v>0</v>
      </c>
      <c r="K888">
        <v>0</v>
      </c>
      <c r="L888" s="6">
        <f t="shared" si="111"/>
        <v>0</v>
      </c>
      <c r="M888">
        <v>270</v>
      </c>
      <c r="N888">
        <v>33</v>
      </c>
      <c r="O888" s="9">
        <v>0</v>
      </c>
      <c r="P888">
        <v>0</v>
      </c>
      <c r="Q888">
        <v>195</v>
      </c>
      <c r="R888">
        <v>0</v>
      </c>
      <c r="S888">
        <v>41</v>
      </c>
      <c r="T888">
        <v>1</v>
      </c>
      <c r="U888" s="3">
        <f t="shared" si="112"/>
        <v>1</v>
      </c>
      <c r="V888" s="3">
        <f t="shared" si="113"/>
        <v>1</v>
      </c>
    </row>
    <row r="889" spans="1:22" x14ac:dyDescent="0.25">
      <c r="A889" s="2">
        <v>2017</v>
      </c>
      <c r="B889" t="s">
        <v>45</v>
      </c>
      <c r="C889" t="s">
        <v>21</v>
      </c>
      <c r="D889" s="2">
        <v>455</v>
      </c>
      <c r="E889" s="2" t="s">
        <v>236</v>
      </c>
      <c r="F889" t="s">
        <v>36</v>
      </c>
      <c r="G889">
        <v>0</v>
      </c>
      <c r="H889">
        <v>0</v>
      </c>
      <c r="I889">
        <v>0</v>
      </c>
      <c r="J889">
        <v>0</v>
      </c>
      <c r="K889">
        <v>0</v>
      </c>
      <c r="L889" s="6">
        <f t="shared" si="111"/>
        <v>0</v>
      </c>
      <c r="M889">
        <v>18</v>
      </c>
      <c r="N889">
        <v>1</v>
      </c>
      <c r="O889" s="9">
        <v>0</v>
      </c>
      <c r="P889">
        <v>0</v>
      </c>
      <c r="Q889">
        <v>7</v>
      </c>
      <c r="R889">
        <v>0</v>
      </c>
      <c r="S889">
        <v>10</v>
      </c>
      <c r="T889">
        <v>0</v>
      </c>
      <c r="U889" s="3">
        <f t="shared" si="112"/>
        <v>1</v>
      </c>
      <c r="V889" s="3">
        <f t="shared" si="113"/>
        <v>1</v>
      </c>
    </row>
    <row r="890" spans="1:22" x14ac:dyDescent="0.25">
      <c r="A890" s="2">
        <v>2017</v>
      </c>
      <c r="B890" t="s">
        <v>45</v>
      </c>
      <c r="C890" t="s">
        <v>21</v>
      </c>
      <c r="D890" s="2">
        <v>842</v>
      </c>
      <c r="E890" s="2" t="s">
        <v>322</v>
      </c>
      <c r="F890" t="s">
        <v>37</v>
      </c>
      <c r="G890">
        <v>0</v>
      </c>
      <c r="H890">
        <v>0</v>
      </c>
      <c r="I890">
        <v>0</v>
      </c>
      <c r="J890">
        <v>0</v>
      </c>
      <c r="K890">
        <v>0</v>
      </c>
      <c r="L890" s="6">
        <f t="shared" si="111"/>
        <v>0</v>
      </c>
      <c r="M890">
        <v>1</v>
      </c>
      <c r="N890">
        <v>0</v>
      </c>
      <c r="O890" s="9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 s="3">
        <f t="shared" si="112"/>
        <v>1</v>
      </c>
      <c r="V890" s="3">
        <f t="shared" si="113"/>
        <v>1</v>
      </c>
    </row>
    <row r="891" spans="1:22" x14ac:dyDescent="0.25">
      <c r="A891" s="2">
        <v>2017</v>
      </c>
      <c r="B891" t="s">
        <v>45</v>
      </c>
      <c r="C891" t="s">
        <v>21</v>
      </c>
      <c r="D891" s="2">
        <v>554</v>
      </c>
      <c r="E891" s="2" t="s">
        <v>323</v>
      </c>
      <c r="F891" t="s">
        <v>502</v>
      </c>
      <c r="G891">
        <v>2</v>
      </c>
      <c r="H891">
        <v>2</v>
      </c>
      <c r="I891">
        <v>0</v>
      </c>
      <c r="J891">
        <v>0</v>
      </c>
      <c r="K891">
        <v>0</v>
      </c>
      <c r="L891" s="6">
        <f t="shared" si="111"/>
        <v>1</v>
      </c>
      <c r="M891">
        <v>85</v>
      </c>
      <c r="N891">
        <v>13</v>
      </c>
      <c r="O891" s="9">
        <v>0</v>
      </c>
      <c r="P891">
        <v>0</v>
      </c>
      <c r="Q891">
        <v>60</v>
      </c>
      <c r="R891">
        <v>1</v>
      </c>
      <c r="S891">
        <v>11</v>
      </c>
      <c r="T891">
        <v>0</v>
      </c>
      <c r="U891" s="3">
        <f t="shared" si="112"/>
        <v>0.9882352941176471</v>
      </c>
      <c r="V891" s="3">
        <f t="shared" si="113"/>
        <v>0.9885057471264368</v>
      </c>
    </row>
    <row r="892" spans="1:22" x14ac:dyDescent="0.25">
      <c r="A892" s="2">
        <v>2017</v>
      </c>
      <c r="B892" t="s">
        <v>45</v>
      </c>
      <c r="C892" t="s">
        <v>21</v>
      </c>
      <c r="D892" s="2">
        <v>766</v>
      </c>
      <c r="E892" s="2" t="s">
        <v>266</v>
      </c>
      <c r="F892" t="s">
        <v>349</v>
      </c>
      <c r="G892">
        <v>43</v>
      </c>
      <c r="H892">
        <v>43</v>
      </c>
      <c r="I892">
        <v>0</v>
      </c>
      <c r="J892">
        <v>0</v>
      </c>
      <c r="K892">
        <v>0</v>
      </c>
      <c r="L892" s="6">
        <f t="shared" si="111"/>
        <v>1</v>
      </c>
      <c r="M892">
        <v>373</v>
      </c>
      <c r="N892">
        <v>40</v>
      </c>
      <c r="O892" s="9">
        <v>0</v>
      </c>
      <c r="P892">
        <v>0</v>
      </c>
      <c r="Q892">
        <v>160</v>
      </c>
      <c r="R892">
        <v>1</v>
      </c>
      <c r="S892">
        <v>172</v>
      </c>
      <c r="T892">
        <v>0</v>
      </c>
      <c r="U892" s="3">
        <f t="shared" si="112"/>
        <v>0.99731903485254692</v>
      </c>
      <c r="V892" s="3">
        <f t="shared" si="113"/>
        <v>0.99759615384615385</v>
      </c>
    </row>
    <row r="893" spans="1:22" x14ac:dyDescent="0.25">
      <c r="A893" s="2">
        <v>2017</v>
      </c>
      <c r="B893" t="s">
        <v>45</v>
      </c>
      <c r="C893" t="s">
        <v>21</v>
      </c>
      <c r="D893" s="2">
        <v>777</v>
      </c>
      <c r="E893" s="2" t="s">
        <v>310</v>
      </c>
      <c r="F893" t="s">
        <v>350</v>
      </c>
      <c r="G893">
        <v>31</v>
      </c>
      <c r="H893">
        <v>31</v>
      </c>
      <c r="I893">
        <v>0</v>
      </c>
      <c r="J893">
        <v>0</v>
      </c>
      <c r="K893">
        <v>0</v>
      </c>
      <c r="L893" s="6">
        <f t="shared" ref="L893:L900" si="114">IF(G893=0,0,SUM(H893:J893)/G893)</f>
        <v>1</v>
      </c>
      <c r="M893">
        <v>388</v>
      </c>
      <c r="N893">
        <v>49</v>
      </c>
      <c r="O893" s="9">
        <v>0</v>
      </c>
      <c r="P893">
        <v>0</v>
      </c>
      <c r="Q893">
        <v>162</v>
      </c>
      <c r="R893">
        <v>0</v>
      </c>
      <c r="S893">
        <v>177</v>
      </c>
      <c r="T893">
        <v>0</v>
      </c>
      <c r="U893" s="3">
        <f t="shared" ref="U893:U900" si="115">IF(M893=0,0,((N893+O893+Q893+S893+T893)/M893))</f>
        <v>1</v>
      </c>
      <c r="V893" s="3">
        <f t="shared" ref="V893:V900" si="116">IF(AND(G893=0,M893=0),0,(H893+I893+J893+N893+Q893+S893+T893)/(G893+M893))</f>
        <v>1</v>
      </c>
    </row>
    <row r="894" spans="1:22" x14ac:dyDescent="0.25">
      <c r="A894" s="2">
        <v>2017</v>
      </c>
      <c r="B894" t="s">
        <v>45</v>
      </c>
      <c r="C894" t="s">
        <v>21</v>
      </c>
      <c r="D894" s="2">
        <v>543</v>
      </c>
      <c r="E894" s="2" t="s">
        <v>311</v>
      </c>
      <c r="F894" t="s">
        <v>341</v>
      </c>
      <c r="G894">
        <v>6</v>
      </c>
      <c r="H894">
        <v>6</v>
      </c>
      <c r="I894">
        <v>0</v>
      </c>
      <c r="J894">
        <v>0</v>
      </c>
      <c r="K894">
        <v>0</v>
      </c>
      <c r="L894" s="6">
        <f t="shared" si="114"/>
        <v>1</v>
      </c>
      <c r="M894">
        <v>126</v>
      </c>
      <c r="N894">
        <v>16</v>
      </c>
      <c r="O894" s="9">
        <v>0</v>
      </c>
      <c r="P894">
        <v>1</v>
      </c>
      <c r="Q894">
        <v>63</v>
      </c>
      <c r="R894">
        <v>0</v>
      </c>
      <c r="S894">
        <v>45</v>
      </c>
      <c r="T894">
        <v>1</v>
      </c>
      <c r="U894" s="3">
        <f t="shared" si="115"/>
        <v>0.99206349206349209</v>
      </c>
      <c r="V894" s="3">
        <f t="shared" si="116"/>
        <v>0.99242424242424243</v>
      </c>
    </row>
    <row r="895" spans="1:22" x14ac:dyDescent="0.25">
      <c r="A895" s="2">
        <v>2017</v>
      </c>
      <c r="B895" t="s">
        <v>45</v>
      </c>
      <c r="C895" t="s">
        <v>21</v>
      </c>
      <c r="D895" s="2">
        <v>576</v>
      </c>
      <c r="E895" s="2" t="s">
        <v>313</v>
      </c>
      <c r="F895" t="s">
        <v>342</v>
      </c>
      <c r="G895">
        <v>1</v>
      </c>
      <c r="H895">
        <v>1</v>
      </c>
      <c r="I895">
        <v>0</v>
      </c>
      <c r="J895">
        <v>0</v>
      </c>
      <c r="K895">
        <v>0</v>
      </c>
      <c r="L895" s="6">
        <f t="shared" si="114"/>
        <v>1</v>
      </c>
      <c r="M895">
        <v>44</v>
      </c>
      <c r="N895">
        <v>4</v>
      </c>
      <c r="O895" s="9">
        <v>0</v>
      </c>
      <c r="P895">
        <v>0</v>
      </c>
      <c r="Q895">
        <v>16</v>
      </c>
      <c r="R895">
        <v>0</v>
      </c>
      <c r="S895">
        <v>23</v>
      </c>
      <c r="T895">
        <v>1</v>
      </c>
      <c r="U895" s="3">
        <f t="shared" si="115"/>
        <v>1</v>
      </c>
      <c r="V895" s="3">
        <f t="shared" si="116"/>
        <v>1</v>
      </c>
    </row>
    <row r="896" spans="1:22" x14ac:dyDescent="0.25">
      <c r="A896" s="2">
        <v>2017</v>
      </c>
      <c r="B896" t="s">
        <v>45</v>
      </c>
      <c r="C896" t="s">
        <v>21</v>
      </c>
      <c r="D896" s="2">
        <v>536</v>
      </c>
      <c r="E896" s="2" t="s">
        <v>270</v>
      </c>
      <c r="F896" t="s">
        <v>351</v>
      </c>
      <c r="G896">
        <v>0</v>
      </c>
      <c r="H896">
        <v>0</v>
      </c>
      <c r="I896">
        <v>0</v>
      </c>
      <c r="J896">
        <v>0</v>
      </c>
      <c r="K896">
        <v>0</v>
      </c>
      <c r="L896" s="6">
        <f t="shared" si="114"/>
        <v>0</v>
      </c>
      <c r="M896">
        <v>270</v>
      </c>
      <c r="N896">
        <v>44</v>
      </c>
      <c r="O896" s="9">
        <v>0</v>
      </c>
      <c r="P896">
        <v>0</v>
      </c>
      <c r="Q896">
        <v>165</v>
      </c>
      <c r="R896">
        <v>0</v>
      </c>
      <c r="S896">
        <v>59</v>
      </c>
      <c r="T896">
        <v>2</v>
      </c>
      <c r="U896" s="3">
        <f t="shared" si="115"/>
        <v>1</v>
      </c>
      <c r="V896" s="3">
        <f t="shared" si="116"/>
        <v>1</v>
      </c>
    </row>
    <row r="897" spans="1:22" x14ac:dyDescent="0.25">
      <c r="A897" s="2">
        <v>2017</v>
      </c>
      <c r="B897" t="s">
        <v>45</v>
      </c>
      <c r="C897" t="s">
        <v>21</v>
      </c>
      <c r="D897" s="2">
        <v>588</v>
      </c>
      <c r="E897" s="2" t="s">
        <v>315</v>
      </c>
      <c r="F897" t="s">
        <v>352</v>
      </c>
      <c r="G897">
        <v>0</v>
      </c>
      <c r="H897">
        <v>0</v>
      </c>
      <c r="I897">
        <v>0</v>
      </c>
      <c r="J897">
        <v>0</v>
      </c>
      <c r="K897">
        <v>0</v>
      </c>
      <c r="L897" s="6">
        <f t="shared" si="114"/>
        <v>0</v>
      </c>
      <c r="M897">
        <v>29</v>
      </c>
      <c r="N897">
        <v>1</v>
      </c>
      <c r="O897" s="9">
        <v>0</v>
      </c>
      <c r="P897">
        <v>0</v>
      </c>
      <c r="Q897">
        <v>23</v>
      </c>
      <c r="R897">
        <v>0</v>
      </c>
      <c r="S897">
        <v>5</v>
      </c>
      <c r="T897">
        <v>0</v>
      </c>
      <c r="U897" s="3">
        <f t="shared" si="115"/>
        <v>1</v>
      </c>
      <c r="V897" s="3">
        <f t="shared" si="116"/>
        <v>1</v>
      </c>
    </row>
    <row r="898" spans="1:22" x14ac:dyDescent="0.25">
      <c r="A898" s="2">
        <v>2017</v>
      </c>
      <c r="B898" t="s">
        <v>45</v>
      </c>
      <c r="C898" t="s">
        <v>21</v>
      </c>
      <c r="D898" s="2">
        <v>550</v>
      </c>
      <c r="E898" s="2" t="s">
        <v>316</v>
      </c>
      <c r="F898" t="s">
        <v>344</v>
      </c>
      <c r="G898">
        <v>13</v>
      </c>
      <c r="H898">
        <v>13</v>
      </c>
      <c r="I898">
        <v>0</v>
      </c>
      <c r="J898">
        <v>0</v>
      </c>
      <c r="K898">
        <v>0</v>
      </c>
      <c r="L898" s="6">
        <f t="shared" si="114"/>
        <v>1</v>
      </c>
      <c r="M898">
        <v>189</v>
      </c>
      <c r="N898">
        <v>26</v>
      </c>
      <c r="O898" s="9">
        <v>0</v>
      </c>
      <c r="P898">
        <v>0</v>
      </c>
      <c r="Q898">
        <v>71</v>
      </c>
      <c r="R898">
        <v>0</v>
      </c>
      <c r="S898">
        <v>91</v>
      </c>
      <c r="T898">
        <v>1</v>
      </c>
      <c r="U898" s="3">
        <f t="shared" si="115"/>
        <v>1</v>
      </c>
      <c r="V898" s="3">
        <f t="shared" si="116"/>
        <v>1</v>
      </c>
    </row>
    <row r="899" spans="1:22" x14ac:dyDescent="0.25">
      <c r="A899" s="2">
        <v>2017</v>
      </c>
      <c r="B899" t="s">
        <v>45</v>
      </c>
      <c r="C899" t="s">
        <v>21</v>
      </c>
      <c r="D899" s="2">
        <v>546</v>
      </c>
      <c r="E899" s="2" t="s">
        <v>317</v>
      </c>
      <c r="F899" t="s">
        <v>345</v>
      </c>
      <c r="G899">
        <v>5</v>
      </c>
      <c r="H899">
        <v>5</v>
      </c>
      <c r="I899">
        <v>0</v>
      </c>
      <c r="J899">
        <v>0</v>
      </c>
      <c r="K899">
        <v>0</v>
      </c>
      <c r="L899" s="6">
        <f t="shared" si="114"/>
        <v>1</v>
      </c>
      <c r="M899">
        <v>99</v>
      </c>
      <c r="N899">
        <v>17</v>
      </c>
      <c r="O899" s="9">
        <v>0</v>
      </c>
      <c r="P899">
        <v>0</v>
      </c>
      <c r="Q899">
        <v>46</v>
      </c>
      <c r="R899">
        <v>0</v>
      </c>
      <c r="S899">
        <v>36</v>
      </c>
      <c r="T899">
        <v>0</v>
      </c>
      <c r="U899" s="3">
        <f t="shared" si="115"/>
        <v>1</v>
      </c>
      <c r="V899" s="3">
        <f t="shared" si="116"/>
        <v>1</v>
      </c>
    </row>
    <row r="900" spans="1:22" x14ac:dyDescent="0.25">
      <c r="A900" s="2">
        <v>2017</v>
      </c>
      <c r="B900" t="s">
        <v>45</v>
      </c>
      <c r="C900" t="s">
        <v>21</v>
      </c>
      <c r="D900" s="2">
        <v>563</v>
      </c>
      <c r="E900" s="2" t="s">
        <v>87</v>
      </c>
      <c r="F900" t="s">
        <v>347</v>
      </c>
      <c r="G900">
        <v>10</v>
      </c>
      <c r="H900">
        <v>10</v>
      </c>
      <c r="I900">
        <v>0</v>
      </c>
      <c r="J900">
        <v>0</v>
      </c>
      <c r="K900">
        <v>0</v>
      </c>
      <c r="L900" s="6">
        <f t="shared" si="114"/>
        <v>1</v>
      </c>
      <c r="M900">
        <v>102</v>
      </c>
      <c r="N900">
        <v>13</v>
      </c>
      <c r="O900" s="9">
        <v>0</v>
      </c>
      <c r="P900">
        <v>0</v>
      </c>
      <c r="Q900">
        <v>37</v>
      </c>
      <c r="R900">
        <v>2</v>
      </c>
      <c r="S900">
        <v>49</v>
      </c>
      <c r="T900">
        <v>1</v>
      </c>
      <c r="U900" s="3">
        <f t="shared" si="115"/>
        <v>0.98039215686274506</v>
      </c>
      <c r="V900" s="3">
        <f t="shared" si="116"/>
        <v>0.9821428571428571</v>
      </c>
    </row>
    <row r="901" spans="1:22" x14ac:dyDescent="0.25">
      <c r="A901" s="2">
        <v>2017</v>
      </c>
      <c r="B901" t="s">
        <v>46</v>
      </c>
      <c r="C901" t="s">
        <v>1</v>
      </c>
      <c r="D901" s="2">
        <v>53</v>
      </c>
      <c r="E901" s="2">
        <v>4713</v>
      </c>
      <c r="F901" t="s">
        <v>470</v>
      </c>
      <c r="G901">
        <v>12</v>
      </c>
      <c r="H901">
        <v>12</v>
      </c>
      <c r="I901">
        <v>0</v>
      </c>
      <c r="J901">
        <v>0</v>
      </c>
      <c r="K901">
        <v>0</v>
      </c>
      <c r="L901" s="6">
        <f t="shared" si="94"/>
        <v>1</v>
      </c>
      <c r="M901">
        <v>193</v>
      </c>
      <c r="N901">
        <v>22</v>
      </c>
      <c r="O901" s="9">
        <v>0</v>
      </c>
      <c r="P901">
        <v>0</v>
      </c>
      <c r="Q901">
        <v>80</v>
      </c>
      <c r="R901">
        <v>0</v>
      </c>
      <c r="S901">
        <v>91</v>
      </c>
      <c r="T901">
        <v>0</v>
      </c>
      <c r="U901" s="3">
        <v>1</v>
      </c>
      <c r="V901" s="3">
        <v>1</v>
      </c>
    </row>
    <row r="902" spans="1:22" x14ac:dyDescent="0.25">
      <c r="A902" s="2">
        <v>2017</v>
      </c>
      <c r="B902" t="s">
        <v>46</v>
      </c>
      <c r="C902" t="s">
        <v>1</v>
      </c>
      <c r="D902" s="2">
        <v>243</v>
      </c>
      <c r="E902" s="2">
        <v>4498</v>
      </c>
      <c r="F902" t="s">
        <v>471</v>
      </c>
      <c r="G902">
        <v>12</v>
      </c>
      <c r="H902">
        <v>12</v>
      </c>
      <c r="I902">
        <v>0</v>
      </c>
      <c r="J902">
        <v>0</v>
      </c>
      <c r="K902">
        <v>0</v>
      </c>
      <c r="L902" s="6">
        <f t="shared" si="94"/>
        <v>1</v>
      </c>
      <c r="M902">
        <v>226</v>
      </c>
      <c r="N902">
        <v>50</v>
      </c>
      <c r="O902" s="9">
        <v>0</v>
      </c>
      <c r="P902">
        <v>0</v>
      </c>
      <c r="Q902">
        <v>117</v>
      </c>
      <c r="R902">
        <v>0</v>
      </c>
      <c r="S902">
        <v>59</v>
      </c>
      <c r="T902">
        <v>0</v>
      </c>
      <c r="U902" s="3">
        <v>1</v>
      </c>
      <c r="V902" s="3">
        <v>1</v>
      </c>
    </row>
    <row r="903" spans="1:22" x14ac:dyDescent="0.25">
      <c r="A903" s="2">
        <v>2017</v>
      </c>
      <c r="B903" t="s">
        <v>46</v>
      </c>
      <c r="C903" t="s">
        <v>1</v>
      </c>
      <c r="D903" s="2">
        <v>16594</v>
      </c>
      <c r="E903" s="2">
        <v>119329</v>
      </c>
      <c r="F903" t="s">
        <v>472</v>
      </c>
      <c r="G903">
        <v>21</v>
      </c>
      <c r="H903">
        <v>21</v>
      </c>
      <c r="I903">
        <v>0</v>
      </c>
      <c r="J903">
        <v>0</v>
      </c>
      <c r="K903">
        <v>0</v>
      </c>
      <c r="L903" s="6">
        <f t="shared" si="94"/>
        <v>1</v>
      </c>
      <c r="M903">
        <v>307</v>
      </c>
      <c r="N903">
        <v>53</v>
      </c>
      <c r="O903" s="9">
        <v>0</v>
      </c>
      <c r="P903">
        <v>0</v>
      </c>
      <c r="Q903">
        <v>141</v>
      </c>
      <c r="R903">
        <v>0</v>
      </c>
      <c r="S903">
        <v>113</v>
      </c>
      <c r="T903">
        <v>0</v>
      </c>
      <c r="U903" s="3">
        <v>1</v>
      </c>
      <c r="V903" s="3">
        <v>1</v>
      </c>
    </row>
    <row r="904" spans="1:22" x14ac:dyDescent="0.25">
      <c r="A904" s="2">
        <v>2017</v>
      </c>
      <c r="B904" t="s">
        <v>46</v>
      </c>
      <c r="C904" t="s">
        <v>1</v>
      </c>
      <c r="D904" s="2">
        <v>335</v>
      </c>
      <c r="E904" s="2">
        <v>2726</v>
      </c>
      <c r="F904" t="s">
        <v>473</v>
      </c>
      <c r="G904">
        <v>30</v>
      </c>
      <c r="H904">
        <v>29</v>
      </c>
      <c r="I904">
        <v>0</v>
      </c>
      <c r="J904">
        <v>0</v>
      </c>
      <c r="K904">
        <v>1</v>
      </c>
      <c r="L904" s="6">
        <f t="shared" si="94"/>
        <v>0.96666666666666667</v>
      </c>
      <c r="M904">
        <v>334</v>
      </c>
      <c r="N904">
        <v>48</v>
      </c>
      <c r="O904" s="9">
        <v>0</v>
      </c>
      <c r="P904">
        <v>1</v>
      </c>
      <c r="Q904">
        <v>113</v>
      </c>
      <c r="R904">
        <v>0</v>
      </c>
      <c r="S904">
        <v>172</v>
      </c>
      <c r="T904">
        <v>0</v>
      </c>
      <c r="U904" s="3">
        <v>0.99700598802395213</v>
      </c>
      <c r="V904" s="3">
        <v>0.99450549450549453</v>
      </c>
    </row>
    <row r="905" spans="1:22" x14ac:dyDescent="0.25">
      <c r="A905" s="2">
        <v>2017</v>
      </c>
      <c r="B905" t="s">
        <v>46</v>
      </c>
      <c r="C905" t="s">
        <v>1</v>
      </c>
      <c r="D905" s="2">
        <v>473</v>
      </c>
      <c r="E905" s="2">
        <v>5243</v>
      </c>
      <c r="F905" t="s">
        <v>474</v>
      </c>
      <c r="G905">
        <v>21</v>
      </c>
      <c r="H905">
        <v>21</v>
      </c>
      <c r="I905">
        <v>0</v>
      </c>
      <c r="J905">
        <v>0</v>
      </c>
      <c r="K905">
        <v>0</v>
      </c>
      <c r="L905" s="6">
        <f t="shared" si="94"/>
        <v>1</v>
      </c>
      <c r="M905">
        <v>289</v>
      </c>
      <c r="N905">
        <v>35</v>
      </c>
      <c r="O905" s="9">
        <v>0</v>
      </c>
      <c r="P905">
        <v>0</v>
      </c>
      <c r="Q905">
        <v>126</v>
      </c>
      <c r="R905">
        <v>1</v>
      </c>
      <c r="S905">
        <v>126</v>
      </c>
      <c r="T905">
        <v>1</v>
      </c>
      <c r="U905" s="3">
        <v>0.9965397923875432</v>
      </c>
      <c r="V905" s="3">
        <v>0.99677419354838714</v>
      </c>
    </row>
    <row r="906" spans="1:22" x14ac:dyDescent="0.25">
      <c r="A906" s="2">
        <v>2017</v>
      </c>
      <c r="B906" t="s">
        <v>46</v>
      </c>
      <c r="C906" t="s">
        <v>1</v>
      </c>
      <c r="D906" s="2">
        <v>67</v>
      </c>
      <c r="E906" s="2">
        <v>2833</v>
      </c>
      <c r="F906" t="s">
        <v>475</v>
      </c>
      <c r="G906">
        <v>13</v>
      </c>
      <c r="H906">
        <v>13</v>
      </c>
      <c r="I906">
        <v>0</v>
      </c>
      <c r="J906">
        <v>0</v>
      </c>
      <c r="K906">
        <v>0</v>
      </c>
      <c r="L906" s="6">
        <f t="shared" si="94"/>
        <v>1</v>
      </c>
      <c r="M906">
        <v>160</v>
      </c>
      <c r="N906">
        <v>23</v>
      </c>
      <c r="O906" s="9">
        <v>0</v>
      </c>
      <c r="P906">
        <v>0</v>
      </c>
      <c r="Q906">
        <v>54</v>
      </c>
      <c r="R906">
        <v>0</v>
      </c>
      <c r="S906">
        <v>83</v>
      </c>
      <c r="T906">
        <v>0</v>
      </c>
      <c r="U906" s="3">
        <v>1</v>
      </c>
      <c r="V906" s="3">
        <v>1</v>
      </c>
    </row>
    <row r="907" spans="1:22" x14ac:dyDescent="0.25">
      <c r="A907" s="2">
        <v>2017</v>
      </c>
      <c r="B907" t="s">
        <v>46</v>
      </c>
      <c r="C907" t="s">
        <v>1</v>
      </c>
      <c r="D907" s="2">
        <v>3621</v>
      </c>
      <c r="E907" s="2">
        <v>9748</v>
      </c>
      <c r="F907" t="s">
        <v>476</v>
      </c>
      <c r="G907">
        <v>17</v>
      </c>
      <c r="H907">
        <v>17</v>
      </c>
      <c r="I907">
        <v>0</v>
      </c>
      <c r="J907">
        <v>0</v>
      </c>
      <c r="K907">
        <v>0</v>
      </c>
      <c r="L907" s="6">
        <f t="shared" si="94"/>
        <v>1</v>
      </c>
      <c r="M907">
        <v>191</v>
      </c>
      <c r="N907">
        <v>29</v>
      </c>
      <c r="O907" s="9">
        <v>0</v>
      </c>
      <c r="P907">
        <v>0</v>
      </c>
      <c r="Q907">
        <v>73</v>
      </c>
      <c r="R907">
        <v>0</v>
      </c>
      <c r="S907">
        <v>89</v>
      </c>
      <c r="T907">
        <v>0</v>
      </c>
      <c r="U907" s="3">
        <v>1</v>
      </c>
      <c r="V907" s="3">
        <v>1</v>
      </c>
    </row>
    <row r="908" spans="1:22" x14ac:dyDescent="0.25">
      <c r="A908" s="2">
        <v>2017</v>
      </c>
      <c r="B908" t="s">
        <v>46</v>
      </c>
      <c r="C908" t="s">
        <v>1</v>
      </c>
      <c r="D908" s="2">
        <v>567</v>
      </c>
      <c r="E908" s="2">
        <v>3218</v>
      </c>
      <c r="F908" t="s">
        <v>477</v>
      </c>
      <c r="G908">
        <v>10</v>
      </c>
      <c r="H908">
        <v>10</v>
      </c>
      <c r="I908">
        <v>0</v>
      </c>
      <c r="J908">
        <v>0</v>
      </c>
      <c r="K908">
        <v>0</v>
      </c>
      <c r="L908" s="6">
        <f t="shared" si="94"/>
        <v>1</v>
      </c>
      <c r="M908">
        <v>368</v>
      </c>
      <c r="N908">
        <v>50</v>
      </c>
      <c r="O908" s="9">
        <v>0</v>
      </c>
      <c r="P908">
        <v>0</v>
      </c>
      <c r="Q908">
        <v>154</v>
      </c>
      <c r="R908">
        <v>0</v>
      </c>
      <c r="S908">
        <v>163</v>
      </c>
      <c r="T908">
        <v>1</v>
      </c>
      <c r="U908" s="3">
        <v>1</v>
      </c>
      <c r="V908" s="3">
        <v>1</v>
      </c>
    </row>
    <row r="909" spans="1:22" x14ac:dyDescent="0.25">
      <c r="A909" s="2">
        <v>2017</v>
      </c>
      <c r="B909" t="s">
        <v>46</v>
      </c>
      <c r="C909" t="s">
        <v>1</v>
      </c>
      <c r="D909" s="2">
        <v>20430</v>
      </c>
      <c r="E909" s="2">
        <v>120449</v>
      </c>
      <c r="F909" t="s">
        <v>505</v>
      </c>
      <c r="G909">
        <v>3</v>
      </c>
      <c r="H909">
        <v>3</v>
      </c>
      <c r="I909">
        <v>0</v>
      </c>
      <c r="J909">
        <v>0</v>
      </c>
      <c r="K909">
        <v>0</v>
      </c>
      <c r="L909" s="6">
        <f t="shared" si="94"/>
        <v>1</v>
      </c>
      <c r="M909">
        <v>93</v>
      </c>
      <c r="N909">
        <v>12</v>
      </c>
      <c r="O909" s="9">
        <v>0</v>
      </c>
      <c r="P909">
        <v>0</v>
      </c>
      <c r="Q909">
        <v>58</v>
      </c>
      <c r="R909">
        <v>0</v>
      </c>
      <c r="S909">
        <v>21</v>
      </c>
      <c r="T909">
        <v>2</v>
      </c>
      <c r="U909" s="3">
        <v>1</v>
      </c>
      <c r="V909" s="3">
        <v>1</v>
      </c>
    </row>
    <row r="910" spans="1:22" x14ac:dyDescent="0.25">
      <c r="A910" s="2">
        <v>2017</v>
      </c>
      <c r="B910" t="s">
        <v>46</v>
      </c>
      <c r="C910" t="s">
        <v>1</v>
      </c>
      <c r="D910" s="2">
        <v>627</v>
      </c>
      <c r="E910" s="2">
        <v>3693</v>
      </c>
      <c r="F910" t="s">
        <v>478</v>
      </c>
      <c r="G910">
        <v>9</v>
      </c>
      <c r="H910">
        <v>9</v>
      </c>
      <c r="I910">
        <v>0</v>
      </c>
      <c r="J910">
        <v>0</v>
      </c>
      <c r="K910">
        <v>0</v>
      </c>
      <c r="L910" s="6">
        <f t="shared" si="94"/>
        <v>1</v>
      </c>
      <c r="M910">
        <v>140</v>
      </c>
      <c r="N910">
        <v>14</v>
      </c>
      <c r="O910" s="9">
        <v>0</v>
      </c>
      <c r="P910">
        <v>1</v>
      </c>
      <c r="Q910">
        <v>64</v>
      </c>
      <c r="R910">
        <v>0</v>
      </c>
      <c r="S910">
        <v>60</v>
      </c>
      <c r="T910">
        <v>1</v>
      </c>
      <c r="U910" s="3">
        <v>0.99285714285714288</v>
      </c>
      <c r="V910" s="3">
        <v>0.99328859060402686</v>
      </c>
    </row>
    <row r="911" spans="1:22" x14ac:dyDescent="0.25">
      <c r="A911" s="2">
        <v>2017</v>
      </c>
      <c r="B911" t="s">
        <v>46</v>
      </c>
      <c r="C911" t="s">
        <v>1</v>
      </c>
      <c r="D911" s="2">
        <v>130</v>
      </c>
      <c r="E911" s="2">
        <v>5419</v>
      </c>
      <c r="F911" t="s">
        <v>479</v>
      </c>
      <c r="G911">
        <v>16</v>
      </c>
      <c r="H911">
        <v>16</v>
      </c>
      <c r="I911">
        <v>0</v>
      </c>
      <c r="J911">
        <v>0</v>
      </c>
      <c r="K911">
        <v>0</v>
      </c>
      <c r="L911" s="6">
        <f t="shared" si="94"/>
        <v>1</v>
      </c>
      <c r="M911">
        <v>270</v>
      </c>
      <c r="N911">
        <v>28</v>
      </c>
      <c r="O911" s="9">
        <v>0</v>
      </c>
      <c r="P911">
        <v>1</v>
      </c>
      <c r="Q911">
        <v>132</v>
      </c>
      <c r="R911">
        <v>0</v>
      </c>
      <c r="S911">
        <v>108</v>
      </c>
      <c r="T911">
        <v>1</v>
      </c>
      <c r="U911" s="3">
        <v>0.99629629629629635</v>
      </c>
      <c r="V911" s="3">
        <v>0.99650349650349646</v>
      </c>
    </row>
    <row r="912" spans="1:22" x14ac:dyDescent="0.25">
      <c r="A912" s="2">
        <v>2017</v>
      </c>
      <c r="B912" t="s">
        <v>46</v>
      </c>
      <c r="C912" t="s">
        <v>1</v>
      </c>
      <c r="D912" s="2">
        <v>1397</v>
      </c>
      <c r="E912" s="2">
        <v>3661</v>
      </c>
      <c r="F912" t="s">
        <v>480</v>
      </c>
      <c r="G912">
        <v>21</v>
      </c>
      <c r="H912">
        <v>21</v>
      </c>
      <c r="I912">
        <v>0</v>
      </c>
      <c r="J912">
        <v>0</v>
      </c>
      <c r="K912">
        <v>0</v>
      </c>
      <c r="L912" s="6">
        <f t="shared" si="94"/>
        <v>1</v>
      </c>
      <c r="M912">
        <v>198</v>
      </c>
      <c r="N912">
        <v>25</v>
      </c>
      <c r="O912" s="9">
        <v>0</v>
      </c>
      <c r="P912">
        <v>0</v>
      </c>
      <c r="Q912">
        <v>86</v>
      </c>
      <c r="R912">
        <v>0</v>
      </c>
      <c r="S912">
        <v>86</v>
      </c>
      <c r="T912">
        <v>1</v>
      </c>
      <c r="U912" s="3">
        <v>1</v>
      </c>
      <c r="V912" s="3">
        <v>1</v>
      </c>
    </row>
    <row r="913" spans="1:22" x14ac:dyDescent="0.25">
      <c r="A913" s="2">
        <v>2017</v>
      </c>
      <c r="B913" t="s">
        <v>46</v>
      </c>
      <c r="C913" t="s">
        <v>1</v>
      </c>
      <c r="D913" s="2">
        <v>1508</v>
      </c>
      <c r="E913" s="2">
        <v>3157</v>
      </c>
      <c r="F913" t="s">
        <v>481</v>
      </c>
      <c r="G913">
        <v>6</v>
      </c>
      <c r="H913">
        <v>6</v>
      </c>
      <c r="I913">
        <v>0</v>
      </c>
      <c r="J913">
        <v>0</v>
      </c>
      <c r="K913">
        <v>0</v>
      </c>
      <c r="L913" s="6">
        <f t="shared" si="94"/>
        <v>1</v>
      </c>
      <c r="M913">
        <v>234</v>
      </c>
      <c r="N913">
        <v>44</v>
      </c>
      <c r="O913" s="9">
        <v>0</v>
      </c>
      <c r="P913">
        <v>0</v>
      </c>
      <c r="Q913">
        <v>150</v>
      </c>
      <c r="R913">
        <v>0</v>
      </c>
      <c r="S913">
        <v>39</v>
      </c>
      <c r="T913">
        <v>1</v>
      </c>
      <c r="U913" s="3">
        <v>1</v>
      </c>
      <c r="V913" s="3">
        <v>1</v>
      </c>
    </row>
    <row r="914" spans="1:22" x14ac:dyDescent="0.25">
      <c r="A914" s="2">
        <v>2017</v>
      </c>
      <c r="B914" t="s">
        <v>46</v>
      </c>
      <c r="C914" t="s">
        <v>1</v>
      </c>
      <c r="D914" s="2">
        <v>136</v>
      </c>
      <c r="E914" s="2">
        <v>2834</v>
      </c>
      <c r="F914" t="s">
        <v>482</v>
      </c>
      <c r="G914">
        <v>12</v>
      </c>
      <c r="H914">
        <v>12</v>
      </c>
      <c r="I914">
        <v>0</v>
      </c>
      <c r="J914">
        <v>0</v>
      </c>
      <c r="K914">
        <v>0</v>
      </c>
      <c r="L914" s="6">
        <f t="shared" ref="L914:L977" si="117">IF(G914=0,0,SUM(H914:J914)/G914)</f>
        <v>1</v>
      </c>
      <c r="M914">
        <v>118</v>
      </c>
      <c r="N914">
        <v>13</v>
      </c>
      <c r="O914" s="9">
        <v>0</v>
      </c>
      <c r="P914">
        <v>0</v>
      </c>
      <c r="Q914">
        <v>57</v>
      </c>
      <c r="R914">
        <v>0</v>
      </c>
      <c r="S914">
        <v>48</v>
      </c>
      <c r="T914">
        <v>0</v>
      </c>
      <c r="U914" s="3">
        <v>1</v>
      </c>
      <c r="V914" s="3">
        <v>1</v>
      </c>
    </row>
    <row r="915" spans="1:22" x14ac:dyDescent="0.25">
      <c r="A915" s="2">
        <v>2017</v>
      </c>
      <c r="B915" t="s">
        <v>46</v>
      </c>
      <c r="C915" t="s">
        <v>1</v>
      </c>
      <c r="D915" s="2">
        <v>138</v>
      </c>
      <c r="E915" s="2">
        <v>2741</v>
      </c>
      <c r="F915" t="s">
        <v>483</v>
      </c>
      <c r="G915">
        <v>21</v>
      </c>
      <c r="H915">
        <v>21</v>
      </c>
      <c r="I915">
        <v>0</v>
      </c>
      <c r="J915">
        <v>0</v>
      </c>
      <c r="K915">
        <v>0</v>
      </c>
      <c r="L915" s="6">
        <f t="shared" si="117"/>
        <v>1</v>
      </c>
      <c r="M915">
        <v>180</v>
      </c>
      <c r="N915">
        <v>21</v>
      </c>
      <c r="O915" s="9">
        <v>0</v>
      </c>
      <c r="P915">
        <v>0</v>
      </c>
      <c r="Q915">
        <v>62</v>
      </c>
      <c r="R915">
        <v>0</v>
      </c>
      <c r="S915">
        <v>95</v>
      </c>
      <c r="T915">
        <v>2</v>
      </c>
      <c r="U915" s="3">
        <v>1</v>
      </c>
      <c r="V915" s="3">
        <v>1</v>
      </c>
    </row>
    <row r="916" spans="1:22" x14ac:dyDescent="0.25">
      <c r="A916" s="2">
        <v>2017</v>
      </c>
      <c r="B916" t="s">
        <v>46</v>
      </c>
      <c r="C916" t="s">
        <v>1</v>
      </c>
      <c r="D916" s="2">
        <v>19352</v>
      </c>
      <c r="E916" s="2">
        <v>122191</v>
      </c>
      <c r="F916" t="s">
        <v>484</v>
      </c>
      <c r="G916">
        <v>20</v>
      </c>
      <c r="H916">
        <v>20</v>
      </c>
      <c r="I916">
        <v>0</v>
      </c>
      <c r="J916">
        <v>0</v>
      </c>
      <c r="K916">
        <v>0</v>
      </c>
      <c r="L916" s="6">
        <f t="shared" si="117"/>
        <v>1</v>
      </c>
      <c r="M916">
        <v>270</v>
      </c>
      <c r="N916">
        <v>52</v>
      </c>
      <c r="O916" s="9">
        <v>0</v>
      </c>
      <c r="P916">
        <v>0</v>
      </c>
      <c r="Q916">
        <v>138</v>
      </c>
      <c r="R916">
        <v>0</v>
      </c>
      <c r="S916">
        <v>80</v>
      </c>
      <c r="T916">
        <v>0</v>
      </c>
      <c r="U916" s="3">
        <v>1</v>
      </c>
      <c r="V916" s="3">
        <v>1</v>
      </c>
    </row>
    <row r="917" spans="1:22" x14ac:dyDescent="0.25">
      <c r="A917" s="2">
        <v>2017</v>
      </c>
      <c r="B917" t="s">
        <v>46</v>
      </c>
      <c r="C917" t="s">
        <v>1</v>
      </c>
      <c r="D917" s="2">
        <v>1632</v>
      </c>
      <c r="E917" s="2">
        <v>2953</v>
      </c>
      <c r="F917" t="s">
        <v>485</v>
      </c>
      <c r="G917">
        <v>10</v>
      </c>
      <c r="H917">
        <v>10</v>
      </c>
      <c r="I917">
        <v>0</v>
      </c>
      <c r="J917">
        <v>0</v>
      </c>
      <c r="K917">
        <v>0</v>
      </c>
      <c r="L917" s="6">
        <f t="shared" si="117"/>
        <v>1</v>
      </c>
      <c r="M917">
        <v>194</v>
      </c>
      <c r="N917">
        <v>28</v>
      </c>
      <c r="O917" s="9">
        <v>0</v>
      </c>
      <c r="P917">
        <v>0</v>
      </c>
      <c r="Q917">
        <v>90</v>
      </c>
      <c r="R917">
        <v>0</v>
      </c>
      <c r="S917">
        <v>76</v>
      </c>
      <c r="T917">
        <v>0</v>
      </c>
      <c r="U917" s="3">
        <v>1</v>
      </c>
      <c r="V917" s="3">
        <v>1</v>
      </c>
    </row>
    <row r="918" spans="1:22" x14ac:dyDescent="0.25">
      <c r="A918" s="2">
        <v>2017</v>
      </c>
      <c r="B918" t="s">
        <v>46</v>
      </c>
      <c r="C918" t="s">
        <v>1</v>
      </c>
      <c r="D918" s="2">
        <v>1667</v>
      </c>
      <c r="E918" s="2">
        <v>4727</v>
      </c>
      <c r="F918" t="s">
        <v>487</v>
      </c>
      <c r="G918">
        <v>17</v>
      </c>
      <c r="H918">
        <v>17</v>
      </c>
      <c r="I918">
        <v>0</v>
      </c>
      <c r="J918">
        <v>0</v>
      </c>
      <c r="K918">
        <v>0</v>
      </c>
      <c r="L918" s="6">
        <f t="shared" si="117"/>
        <v>1</v>
      </c>
      <c r="M918">
        <v>178</v>
      </c>
      <c r="N918">
        <v>25</v>
      </c>
      <c r="O918" s="9">
        <v>0</v>
      </c>
      <c r="P918">
        <v>0</v>
      </c>
      <c r="Q918">
        <v>72</v>
      </c>
      <c r="R918">
        <v>0</v>
      </c>
      <c r="S918">
        <v>80</v>
      </c>
      <c r="T918">
        <v>1</v>
      </c>
      <c r="U918" s="3">
        <v>1</v>
      </c>
      <c r="V918" s="3">
        <v>1</v>
      </c>
    </row>
    <row r="919" spans="1:22" x14ac:dyDescent="0.25">
      <c r="A919" s="2">
        <v>2017</v>
      </c>
      <c r="B919" t="s">
        <v>46</v>
      </c>
      <c r="C919" t="s">
        <v>1</v>
      </c>
      <c r="D919" s="2">
        <v>20010</v>
      </c>
      <c r="E919" s="2">
        <v>119432</v>
      </c>
      <c r="F919" t="s">
        <v>488</v>
      </c>
      <c r="G919">
        <v>16</v>
      </c>
      <c r="H919">
        <v>16</v>
      </c>
      <c r="I919">
        <v>0</v>
      </c>
      <c r="J919">
        <v>0</v>
      </c>
      <c r="K919">
        <v>0</v>
      </c>
      <c r="L919" s="6">
        <f t="shared" si="117"/>
        <v>1</v>
      </c>
      <c r="M919">
        <v>240</v>
      </c>
      <c r="N919">
        <v>30</v>
      </c>
      <c r="O919" s="9">
        <v>0</v>
      </c>
      <c r="P919">
        <v>0</v>
      </c>
      <c r="Q919">
        <v>113</v>
      </c>
      <c r="R919">
        <v>0</v>
      </c>
      <c r="S919">
        <v>97</v>
      </c>
      <c r="T919">
        <v>0</v>
      </c>
      <c r="U919" s="3">
        <v>1</v>
      </c>
      <c r="V919" s="3">
        <v>1</v>
      </c>
    </row>
    <row r="920" spans="1:22" x14ac:dyDescent="0.25">
      <c r="A920" s="2">
        <v>2017</v>
      </c>
      <c r="B920" t="s">
        <v>46</v>
      </c>
      <c r="C920" t="s">
        <v>1</v>
      </c>
      <c r="D920" s="2">
        <v>639</v>
      </c>
      <c r="E920" s="2">
        <v>4723</v>
      </c>
      <c r="F920" t="s">
        <v>489</v>
      </c>
      <c r="G920">
        <v>18</v>
      </c>
      <c r="H920">
        <v>17</v>
      </c>
      <c r="I920">
        <v>0</v>
      </c>
      <c r="J920">
        <v>0</v>
      </c>
      <c r="K920">
        <v>1</v>
      </c>
      <c r="L920" s="6">
        <f t="shared" si="117"/>
        <v>0.94444444444444442</v>
      </c>
      <c r="M920">
        <v>263</v>
      </c>
      <c r="N920">
        <v>38</v>
      </c>
      <c r="O920" s="9">
        <v>0</v>
      </c>
      <c r="P920">
        <v>0</v>
      </c>
      <c r="Q920">
        <v>125</v>
      </c>
      <c r="R920">
        <v>0</v>
      </c>
      <c r="S920">
        <v>100</v>
      </c>
      <c r="T920">
        <v>0</v>
      </c>
      <c r="U920" s="3">
        <v>1</v>
      </c>
      <c r="V920" s="3">
        <v>0.99644128113879005</v>
      </c>
    </row>
    <row r="921" spans="1:22" x14ac:dyDescent="0.25">
      <c r="A921" s="2">
        <v>2017</v>
      </c>
      <c r="B921" t="s">
        <v>46</v>
      </c>
      <c r="C921" t="s">
        <v>1</v>
      </c>
      <c r="D921" s="2">
        <v>1909</v>
      </c>
      <c r="E921" s="2">
        <v>5437</v>
      </c>
      <c r="F921" t="s">
        <v>490</v>
      </c>
      <c r="G921">
        <v>21</v>
      </c>
      <c r="H921">
        <v>21</v>
      </c>
      <c r="I921">
        <v>0</v>
      </c>
      <c r="J921">
        <v>0</v>
      </c>
      <c r="K921">
        <v>0</v>
      </c>
      <c r="L921" s="6">
        <f t="shared" si="117"/>
        <v>1</v>
      </c>
      <c r="M921">
        <v>257</v>
      </c>
      <c r="N921">
        <v>33</v>
      </c>
      <c r="O921" s="9">
        <v>0</v>
      </c>
      <c r="P921">
        <v>0</v>
      </c>
      <c r="Q921">
        <v>114</v>
      </c>
      <c r="R921">
        <v>0</v>
      </c>
      <c r="S921">
        <v>108</v>
      </c>
      <c r="T921">
        <v>2</v>
      </c>
      <c r="U921" s="3">
        <v>1</v>
      </c>
      <c r="V921" s="3">
        <v>1</v>
      </c>
    </row>
    <row r="922" spans="1:22" x14ac:dyDescent="0.25">
      <c r="A922" s="2">
        <v>2017</v>
      </c>
      <c r="B922" t="s">
        <v>46</v>
      </c>
      <c r="C922" t="s">
        <v>1</v>
      </c>
      <c r="D922" s="2">
        <v>3622</v>
      </c>
      <c r="E922" s="2">
        <v>5670</v>
      </c>
      <c r="F922" t="s">
        <v>491</v>
      </c>
      <c r="G922">
        <v>13</v>
      </c>
      <c r="H922">
        <v>13</v>
      </c>
      <c r="I922">
        <v>0</v>
      </c>
      <c r="J922">
        <v>0</v>
      </c>
      <c r="K922">
        <v>0</v>
      </c>
      <c r="L922" s="6">
        <f t="shared" si="117"/>
        <v>1</v>
      </c>
      <c r="M922">
        <v>270</v>
      </c>
      <c r="N922">
        <v>46</v>
      </c>
      <c r="O922" s="9">
        <v>0</v>
      </c>
      <c r="P922">
        <v>0</v>
      </c>
      <c r="Q922">
        <v>118</v>
      </c>
      <c r="R922">
        <v>0</v>
      </c>
      <c r="S922">
        <v>106</v>
      </c>
      <c r="T922">
        <v>0</v>
      </c>
      <c r="U922" s="3">
        <v>1</v>
      </c>
      <c r="V922" s="3">
        <v>1</v>
      </c>
    </row>
    <row r="923" spans="1:22" x14ac:dyDescent="0.25">
      <c r="A923" s="2">
        <v>2017</v>
      </c>
      <c r="B923" t="s">
        <v>46</v>
      </c>
      <c r="C923" t="s">
        <v>1</v>
      </c>
      <c r="D923" s="2">
        <v>15555</v>
      </c>
      <c r="E923" s="2">
        <v>9514</v>
      </c>
      <c r="F923" t="s">
        <v>492</v>
      </c>
      <c r="G923">
        <v>20</v>
      </c>
      <c r="H923">
        <v>20</v>
      </c>
      <c r="I923">
        <v>0</v>
      </c>
      <c r="J923">
        <v>0</v>
      </c>
      <c r="K923">
        <v>0</v>
      </c>
      <c r="L923" s="6">
        <f t="shared" si="117"/>
        <v>1</v>
      </c>
      <c r="M923">
        <v>247</v>
      </c>
      <c r="N923">
        <v>31</v>
      </c>
      <c r="O923" s="9">
        <v>0</v>
      </c>
      <c r="P923">
        <v>0</v>
      </c>
      <c r="Q923">
        <v>110</v>
      </c>
      <c r="R923">
        <v>0</v>
      </c>
      <c r="S923">
        <v>105</v>
      </c>
      <c r="T923">
        <v>1</v>
      </c>
      <c r="U923" s="3">
        <v>1</v>
      </c>
      <c r="V923" s="3">
        <v>1</v>
      </c>
    </row>
    <row r="924" spans="1:22" x14ac:dyDescent="0.25">
      <c r="A924" s="2">
        <v>2017</v>
      </c>
      <c r="B924" t="s">
        <v>46</v>
      </c>
      <c r="C924" t="s">
        <v>1</v>
      </c>
      <c r="D924" s="2">
        <v>820</v>
      </c>
      <c r="E924" s="2">
        <v>5431</v>
      </c>
      <c r="F924" t="s">
        <v>493</v>
      </c>
      <c r="G924">
        <v>14</v>
      </c>
      <c r="H924">
        <v>14</v>
      </c>
      <c r="I924">
        <v>0</v>
      </c>
      <c r="J924">
        <v>0</v>
      </c>
      <c r="K924">
        <v>0</v>
      </c>
      <c r="L924" s="6">
        <f t="shared" si="117"/>
        <v>1</v>
      </c>
      <c r="M924">
        <v>282</v>
      </c>
      <c r="N924">
        <v>44</v>
      </c>
      <c r="O924" s="9">
        <v>0</v>
      </c>
      <c r="P924">
        <v>0</v>
      </c>
      <c r="Q924">
        <v>156</v>
      </c>
      <c r="R924">
        <v>0</v>
      </c>
      <c r="S924">
        <v>82</v>
      </c>
      <c r="T924">
        <v>0</v>
      </c>
      <c r="U924" s="3">
        <v>1</v>
      </c>
      <c r="V924" s="3">
        <v>1</v>
      </c>
    </row>
    <row r="925" spans="1:22" x14ac:dyDescent="0.25">
      <c r="A925" s="2">
        <v>2017</v>
      </c>
      <c r="B925" t="s">
        <v>46</v>
      </c>
      <c r="C925" t="s">
        <v>1</v>
      </c>
      <c r="D925" s="2">
        <v>3595</v>
      </c>
      <c r="E925" s="2">
        <v>9918</v>
      </c>
      <c r="F925" t="s">
        <v>495</v>
      </c>
      <c r="G925">
        <v>19</v>
      </c>
      <c r="H925">
        <v>19</v>
      </c>
      <c r="I925">
        <v>0</v>
      </c>
      <c r="J925">
        <v>0</v>
      </c>
      <c r="K925">
        <v>0</v>
      </c>
      <c r="L925" s="6">
        <f t="shared" si="117"/>
        <v>1</v>
      </c>
      <c r="M925">
        <v>204</v>
      </c>
      <c r="N925">
        <v>26</v>
      </c>
      <c r="O925" s="9">
        <v>0</v>
      </c>
      <c r="P925">
        <v>1</v>
      </c>
      <c r="Q925">
        <v>100</v>
      </c>
      <c r="R925">
        <v>0</v>
      </c>
      <c r="S925">
        <v>77</v>
      </c>
      <c r="T925">
        <v>0</v>
      </c>
      <c r="U925" s="3">
        <v>0.99509803921568629</v>
      </c>
      <c r="V925" s="3">
        <v>0.99551569506726456</v>
      </c>
    </row>
    <row r="926" spans="1:22" x14ac:dyDescent="0.25">
      <c r="A926" s="2">
        <v>2017</v>
      </c>
      <c r="B926" t="s">
        <v>46</v>
      </c>
      <c r="C926" t="s">
        <v>1</v>
      </c>
      <c r="D926" s="2">
        <v>1016</v>
      </c>
      <c r="E926" s="2">
        <v>2749</v>
      </c>
      <c r="F926" t="s">
        <v>496</v>
      </c>
      <c r="G926">
        <v>17</v>
      </c>
      <c r="H926">
        <v>17</v>
      </c>
      <c r="I926">
        <v>0</v>
      </c>
      <c r="J926">
        <v>0</v>
      </c>
      <c r="K926">
        <v>0</v>
      </c>
      <c r="L926" s="6">
        <f t="shared" si="117"/>
        <v>1</v>
      </c>
      <c r="M926">
        <v>252</v>
      </c>
      <c r="N926">
        <v>30</v>
      </c>
      <c r="O926" s="9">
        <v>0</v>
      </c>
      <c r="P926">
        <v>1</v>
      </c>
      <c r="Q926">
        <v>105</v>
      </c>
      <c r="R926">
        <v>1</v>
      </c>
      <c r="S926">
        <v>115</v>
      </c>
      <c r="T926">
        <v>0</v>
      </c>
      <c r="U926" s="3">
        <v>0.99206349206349209</v>
      </c>
      <c r="V926" s="3">
        <v>0.99256505576208176</v>
      </c>
    </row>
    <row r="927" spans="1:22" x14ac:dyDescent="0.25">
      <c r="A927" s="2">
        <v>2017</v>
      </c>
      <c r="B927" t="s">
        <v>46</v>
      </c>
      <c r="C927" t="s">
        <v>1</v>
      </c>
      <c r="D927" s="2">
        <v>1108</v>
      </c>
      <c r="E927" s="2">
        <v>4332</v>
      </c>
      <c r="F927" t="s">
        <v>498</v>
      </c>
      <c r="G927">
        <v>17</v>
      </c>
      <c r="H927">
        <v>17</v>
      </c>
      <c r="I927">
        <v>0</v>
      </c>
      <c r="J927">
        <v>0</v>
      </c>
      <c r="K927">
        <v>0</v>
      </c>
      <c r="L927" s="6">
        <f t="shared" si="117"/>
        <v>1</v>
      </c>
      <c r="M927">
        <v>283</v>
      </c>
      <c r="N927">
        <v>53</v>
      </c>
      <c r="O927" s="9">
        <v>0</v>
      </c>
      <c r="P927">
        <v>0</v>
      </c>
      <c r="Q927">
        <v>116</v>
      </c>
      <c r="R927">
        <v>0</v>
      </c>
      <c r="S927">
        <v>114</v>
      </c>
      <c r="T927">
        <v>0</v>
      </c>
      <c r="U927" s="3">
        <v>1</v>
      </c>
      <c r="V927" s="3">
        <v>1</v>
      </c>
    </row>
    <row r="928" spans="1:22" x14ac:dyDescent="0.25">
      <c r="A928" s="2">
        <v>2017</v>
      </c>
      <c r="B928" t="s">
        <v>46</v>
      </c>
      <c r="C928" t="s">
        <v>1</v>
      </c>
      <c r="D928" s="2">
        <v>3623</v>
      </c>
      <c r="E928" s="2">
        <v>6046</v>
      </c>
      <c r="F928" t="s">
        <v>499</v>
      </c>
      <c r="G928">
        <v>20</v>
      </c>
      <c r="H928">
        <v>20</v>
      </c>
      <c r="I928">
        <v>0</v>
      </c>
      <c r="J928">
        <v>0</v>
      </c>
      <c r="K928">
        <v>0</v>
      </c>
      <c r="L928" s="6">
        <f t="shared" si="117"/>
        <v>1</v>
      </c>
      <c r="M928">
        <v>283</v>
      </c>
      <c r="N928">
        <v>37</v>
      </c>
      <c r="O928" s="9">
        <v>0</v>
      </c>
      <c r="P928">
        <v>0</v>
      </c>
      <c r="Q928">
        <v>139</v>
      </c>
      <c r="R928">
        <v>0</v>
      </c>
      <c r="S928">
        <v>106</v>
      </c>
      <c r="T928">
        <v>1</v>
      </c>
      <c r="U928" s="3">
        <v>1</v>
      </c>
      <c r="V928" s="3">
        <v>1</v>
      </c>
    </row>
    <row r="929" spans="1:22" x14ac:dyDescent="0.25">
      <c r="A929" s="2">
        <v>2017</v>
      </c>
      <c r="B929" t="s">
        <v>46</v>
      </c>
      <c r="C929" t="s">
        <v>1</v>
      </c>
      <c r="D929" s="2">
        <v>14791</v>
      </c>
      <c r="E929" s="2">
        <v>118895</v>
      </c>
      <c r="F929" t="s">
        <v>500</v>
      </c>
      <c r="G929">
        <v>2</v>
      </c>
      <c r="H929">
        <v>2</v>
      </c>
      <c r="I929">
        <v>0</v>
      </c>
      <c r="J929">
        <v>0</v>
      </c>
      <c r="K929">
        <v>0</v>
      </c>
      <c r="L929" s="6">
        <f t="shared" si="117"/>
        <v>1</v>
      </c>
      <c r="M929">
        <v>42</v>
      </c>
      <c r="N929">
        <v>9</v>
      </c>
      <c r="O929" s="9">
        <v>0</v>
      </c>
      <c r="P929">
        <v>0</v>
      </c>
      <c r="Q929">
        <v>11</v>
      </c>
      <c r="R929">
        <v>0</v>
      </c>
      <c r="S929">
        <v>22</v>
      </c>
      <c r="T929">
        <v>0</v>
      </c>
      <c r="U929" s="3">
        <v>1</v>
      </c>
      <c r="V929" s="3">
        <v>1</v>
      </c>
    </row>
    <row r="930" spans="1:22" x14ac:dyDescent="0.25">
      <c r="A930" s="2">
        <v>2017</v>
      </c>
      <c r="B930" t="s">
        <v>46</v>
      </c>
      <c r="C930" t="s">
        <v>1</v>
      </c>
      <c r="D930" s="2">
        <v>15880</v>
      </c>
      <c r="E930" s="2">
        <v>9708</v>
      </c>
      <c r="F930" t="s">
        <v>501</v>
      </c>
      <c r="G930">
        <v>23</v>
      </c>
      <c r="H930">
        <v>22</v>
      </c>
      <c r="I930">
        <v>0</v>
      </c>
      <c r="J930">
        <v>0</v>
      </c>
      <c r="K930">
        <v>1</v>
      </c>
      <c r="L930" s="6">
        <f t="shared" si="117"/>
        <v>0.95652173913043481</v>
      </c>
      <c r="M930">
        <v>238</v>
      </c>
      <c r="N930">
        <v>24</v>
      </c>
      <c r="O930" s="9">
        <v>0</v>
      </c>
      <c r="P930">
        <v>0</v>
      </c>
      <c r="Q930">
        <v>101</v>
      </c>
      <c r="R930">
        <v>0</v>
      </c>
      <c r="S930">
        <v>113</v>
      </c>
      <c r="T930">
        <v>0</v>
      </c>
      <c r="U930" s="3">
        <v>1</v>
      </c>
      <c r="V930" s="3">
        <v>0.99616858237547889</v>
      </c>
    </row>
    <row r="931" spans="1:22" x14ac:dyDescent="0.25">
      <c r="A931" s="2">
        <v>2017</v>
      </c>
      <c r="B931" t="s">
        <v>46</v>
      </c>
      <c r="C931" t="s">
        <v>24</v>
      </c>
      <c r="D931" s="2">
        <v>13</v>
      </c>
      <c r="E931" s="2">
        <v>5621</v>
      </c>
      <c r="F931" t="s">
        <v>390</v>
      </c>
      <c r="G931">
        <v>10</v>
      </c>
      <c r="H931">
        <v>10</v>
      </c>
      <c r="I931">
        <v>0</v>
      </c>
      <c r="J931">
        <v>0</v>
      </c>
      <c r="K931">
        <v>0</v>
      </c>
      <c r="L931" s="6">
        <f t="shared" si="117"/>
        <v>1</v>
      </c>
      <c r="M931">
        <v>298</v>
      </c>
      <c r="N931">
        <v>53</v>
      </c>
      <c r="O931" s="9">
        <v>0</v>
      </c>
      <c r="P931">
        <v>2</v>
      </c>
      <c r="Q931">
        <v>137</v>
      </c>
      <c r="R931">
        <v>3</v>
      </c>
      <c r="S931">
        <v>103</v>
      </c>
      <c r="T931">
        <v>0</v>
      </c>
      <c r="U931" s="3">
        <v>0.98322147651006708</v>
      </c>
      <c r="V931" s="3">
        <v>0.98376623376623373</v>
      </c>
    </row>
    <row r="932" spans="1:22" x14ac:dyDescent="0.25">
      <c r="A932" s="2">
        <v>2017</v>
      </c>
      <c r="B932" t="s">
        <v>46</v>
      </c>
      <c r="C932" t="s">
        <v>24</v>
      </c>
      <c r="D932" s="2">
        <v>115</v>
      </c>
      <c r="E932" s="2">
        <v>119430</v>
      </c>
      <c r="F932" t="s">
        <v>391</v>
      </c>
      <c r="G932">
        <v>10</v>
      </c>
      <c r="H932">
        <v>10</v>
      </c>
      <c r="I932">
        <v>0</v>
      </c>
      <c r="J932">
        <v>0</v>
      </c>
      <c r="K932">
        <v>0</v>
      </c>
      <c r="L932" s="6">
        <f t="shared" si="117"/>
        <v>1</v>
      </c>
      <c r="M932">
        <v>181</v>
      </c>
      <c r="N932">
        <v>42</v>
      </c>
      <c r="O932" s="9">
        <v>0</v>
      </c>
      <c r="P932">
        <v>0</v>
      </c>
      <c r="Q932">
        <v>72</v>
      </c>
      <c r="R932">
        <v>0</v>
      </c>
      <c r="S932">
        <v>67</v>
      </c>
      <c r="T932">
        <v>0</v>
      </c>
      <c r="U932" s="3">
        <v>1</v>
      </c>
      <c r="V932" s="3">
        <v>1</v>
      </c>
    </row>
    <row r="933" spans="1:22" x14ac:dyDescent="0.25">
      <c r="A933" s="2">
        <v>2017</v>
      </c>
      <c r="B933" t="s">
        <v>46</v>
      </c>
      <c r="C933" t="s">
        <v>24</v>
      </c>
      <c r="D933" s="2">
        <v>122</v>
      </c>
      <c r="E933" s="2">
        <v>111111111</v>
      </c>
      <c r="F933" t="s">
        <v>436</v>
      </c>
      <c r="G933">
        <v>0</v>
      </c>
      <c r="H933">
        <v>0</v>
      </c>
      <c r="I933">
        <v>0</v>
      </c>
      <c r="J933">
        <v>0</v>
      </c>
      <c r="K933">
        <v>0</v>
      </c>
      <c r="L933" s="6">
        <f t="shared" si="117"/>
        <v>0</v>
      </c>
      <c r="M933">
        <v>1</v>
      </c>
      <c r="N933">
        <v>0</v>
      </c>
      <c r="O933" s="9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 s="3">
        <v>1</v>
      </c>
      <c r="V933" s="3">
        <v>1</v>
      </c>
    </row>
    <row r="934" spans="1:22" x14ac:dyDescent="0.25">
      <c r="A934" s="2">
        <v>2017</v>
      </c>
      <c r="B934" t="s">
        <v>46</v>
      </c>
      <c r="C934" t="s">
        <v>24</v>
      </c>
      <c r="D934" s="2">
        <v>16</v>
      </c>
      <c r="E934" s="2">
        <v>5774</v>
      </c>
      <c r="F934" t="s">
        <v>392</v>
      </c>
      <c r="G934">
        <v>6</v>
      </c>
      <c r="H934">
        <v>6</v>
      </c>
      <c r="I934">
        <v>0</v>
      </c>
      <c r="J934">
        <v>0</v>
      </c>
      <c r="K934">
        <v>0</v>
      </c>
      <c r="L934" s="6">
        <f t="shared" si="117"/>
        <v>1</v>
      </c>
      <c r="M934">
        <v>95</v>
      </c>
      <c r="N934">
        <v>22</v>
      </c>
      <c r="O934" s="9">
        <v>0</v>
      </c>
      <c r="P934">
        <v>0</v>
      </c>
      <c r="Q934">
        <v>37</v>
      </c>
      <c r="R934">
        <v>1</v>
      </c>
      <c r="S934">
        <v>35</v>
      </c>
      <c r="T934">
        <v>0</v>
      </c>
      <c r="U934" s="3">
        <v>0.98947368421052628</v>
      </c>
      <c r="V934" s="3">
        <v>0.99009900990099009</v>
      </c>
    </row>
    <row r="935" spans="1:22" x14ac:dyDescent="0.25">
      <c r="A935" s="2">
        <v>2017</v>
      </c>
      <c r="B935" t="s">
        <v>46</v>
      </c>
      <c r="C935" t="s">
        <v>24</v>
      </c>
      <c r="D935" s="2">
        <v>107</v>
      </c>
      <c r="E935" s="2">
        <v>119171</v>
      </c>
      <c r="F935" t="s">
        <v>393</v>
      </c>
      <c r="G935">
        <v>9</v>
      </c>
      <c r="H935">
        <v>9</v>
      </c>
      <c r="I935">
        <v>0</v>
      </c>
      <c r="J935">
        <v>0</v>
      </c>
      <c r="K935">
        <v>0</v>
      </c>
      <c r="L935" s="6">
        <f t="shared" si="117"/>
        <v>1</v>
      </c>
      <c r="M935">
        <v>186</v>
      </c>
      <c r="N935">
        <v>28</v>
      </c>
      <c r="O935" s="9">
        <v>0</v>
      </c>
      <c r="P935">
        <v>0</v>
      </c>
      <c r="Q935">
        <v>96</v>
      </c>
      <c r="R935">
        <v>1</v>
      </c>
      <c r="S935">
        <v>60</v>
      </c>
      <c r="T935">
        <v>1</v>
      </c>
      <c r="U935" s="3">
        <v>0.9946236559139785</v>
      </c>
      <c r="V935" s="3">
        <v>0.99487179487179489</v>
      </c>
    </row>
    <row r="936" spans="1:22" x14ac:dyDescent="0.25">
      <c r="A936" s="2">
        <v>2017</v>
      </c>
      <c r="B936" t="s">
        <v>46</v>
      </c>
      <c r="C936" t="s">
        <v>24</v>
      </c>
      <c r="D936" s="2">
        <v>58</v>
      </c>
      <c r="E936" s="2">
        <v>7621</v>
      </c>
      <c r="F936" t="s">
        <v>355</v>
      </c>
      <c r="G936">
        <v>0</v>
      </c>
      <c r="H936">
        <v>0</v>
      </c>
      <c r="I936">
        <v>0</v>
      </c>
      <c r="J936">
        <v>0</v>
      </c>
      <c r="K936">
        <v>0</v>
      </c>
      <c r="L936" s="6">
        <f t="shared" si="117"/>
        <v>0</v>
      </c>
      <c r="M936">
        <v>4</v>
      </c>
      <c r="N936">
        <v>1</v>
      </c>
      <c r="O936" s="9">
        <v>0</v>
      </c>
      <c r="P936">
        <v>0</v>
      </c>
      <c r="Q936">
        <v>1</v>
      </c>
      <c r="R936">
        <v>0</v>
      </c>
      <c r="S936">
        <v>2</v>
      </c>
      <c r="T936">
        <v>0</v>
      </c>
      <c r="U936" s="3">
        <v>1</v>
      </c>
      <c r="V936" s="3">
        <v>1</v>
      </c>
    </row>
    <row r="937" spans="1:22" x14ac:dyDescent="0.25">
      <c r="A937" s="2">
        <v>2017</v>
      </c>
      <c r="B937" t="s">
        <v>46</v>
      </c>
      <c r="C937" t="s">
        <v>24</v>
      </c>
      <c r="D937" s="2">
        <v>104</v>
      </c>
      <c r="E937" s="2">
        <v>118880</v>
      </c>
      <c r="F937" t="s">
        <v>394</v>
      </c>
      <c r="G937">
        <v>16</v>
      </c>
      <c r="H937">
        <v>16</v>
      </c>
      <c r="I937">
        <v>0</v>
      </c>
      <c r="J937">
        <v>0</v>
      </c>
      <c r="K937">
        <v>0</v>
      </c>
      <c r="L937" s="6">
        <f t="shared" si="117"/>
        <v>1</v>
      </c>
      <c r="M937">
        <v>268</v>
      </c>
      <c r="N937">
        <v>49</v>
      </c>
      <c r="O937" s="9">
        <v>0</v>
      </c>
      <c r="P937">
        <v>0</v>
      </c>
      <c r="Q937">
        <v>128</v>
      </c>
      <c r="R937">
        <v>2</v>
      </c>
      <c r="S937">
        <v>88</v>
      </c>
      <c r="T937">
        <v>1</v>
      </c>
      <c r="U937" s="3">
        <v>0.9925373134328358</v>
      </c>
      <c r="V937" s="3">
        <v>0.99295774647887325</v>
      </c>
    </row>
    <row r="938" spans="1:22" x14ac:dyDescent="0.25">
      <c r="A938" s="2">
        <v>2017</v>
      </c>
      <c r="B938" t="s">
        <v>46</v>
      </c>
      <c r="C938" t="s">
        <v>24</v>
      </c>
      <c r="D938" s="2">
        <v>132</v>
      </c>
      <c r="E938" s="2">
        <v>121352</v>
      </c>
      <c r="F938" t="s">
        <v>395</v>
      </c>
      <c r="G938">
        <v>12</v>
      </c>
      <c r="H938">
        <v>12</v>
      </c>
      <c r="I938">
        <v>0</v>
      </c>
      <c r="J938">
        <v>0</v>
      </c>
      <c r="K938">
        <v>0</v>
      </c>
      <c r="L938" s="6">
        <f t="shared" si="117"/>
        <v>1</v>
      </c>
      <c r="M938">
        <v>314</v>
      </c>
      <c r="N938">
        <v>52</v>
      </c>
      <c r="O938" s="9">
        <v>0</v>
      </c>
      <c r="P938">
        <v>0</v>
      </c>
      <c r="Q938">
        <v>141</v>
      </c>
      <c r="R938">
        <v>2</v>
      </c>
      <c r="S938">
        <v>119</v>
      </c>
      <c r="T938">
        <v>0</v>
      </c>
      <c r="U938" s="3">
        <v>0.99363057324840764</v>
      </c>
      <c r="V938" s="3">
        <v>0.99386503067484666</v>
      </c>
    </row>
    <row r="939" spans="1:22" x14ac:dyDescent="0.25">
      <c r="A939" s="2">
        <v>2017</v>
      </c>
      <c r="B939" t="s">
        <v>46</v>
      </c>
      <c r="C939" t="s">
        <v>24</v>
      </c>
      <c r="D939" s="2">
        <v>84</v>
      </c>
      <c r="E939" s="2">
        <v>9529</v>
      </c>
      <c r="F939" t="s">
        <v>396</v>
      </c>
      <c r="G939">
        <v>9</v>
      </c>
      <c r="H939">
        <v>9</v>
      </c>
      <c r="I939">
        <v>0</v>
      </c>
      <c r="J939">
        <v>0</v>
      </c>
      <c r="K939">
        <v>0</v>
      </c>
      <c r="L939" s="6">
        <f t="shared" si="117"/>
        <v>1</v>
      </c>
      <c r="M939">
        <v>147</v>
      </c>
      <c r="N939">
        <v>24</v>
      </c>
      <c r="O939" s="9">
        <v>0</v>
      </c>
      <c r="P939">
        <v>0</v>
      </c>
      <c r="Q939">
        <v>64</v>
      </c>
      <c r="R939">
        <v>0</v>
      </c>
      <c r="S939">
        <v>58</v>
      </c>
      <c r="T939">
        <v>1</v>
      </c>
      <c r="U939" s="3">
        <v>1</v>
      </c>
      <c r="V939" s="3">
        <v>1</v>
      </c>
    </row>
    <row r="940" spans="1:22" x14ac:dyDescent="0.25">
      <c r="A940" s="2">
        <v>2017</v>
      </c>
      <c r="B940" t="s">
        <v>46</v>
      </c>
      <c r="C940" t="s">
        <v>24</v>
      </c>
      <c r="D940" s="2">
        <v>135</v>
      </c>
      <c r="E940" s="2">
        <v>121924</v>
      </c>
      <c r="F940" t="s">
        <v>398</v>
      </c>
      <c r="G940">
        <v>12</v>
      </c>
      <c r="H940">
        <v>12</v>
      </c>
      <c r="I940">
        <v>0</v>
      </c>
      <c r="J940">
        <v>0</v>
      </c>
      <c r="K940">
        <v>0</v>
      </c>
      <c r="L940" s="6">
        <f t="shared" si="117"/>
        <v>1</v>
      </c>
      <c r="M940">
        <v>179</v>
      </c>
      <c r="N940">
        <v>35</v>
      </c>
      <c r="O940" s="9">
        <v>0</v>
      </c>
      <c r="P940">
        <v>0</v>
      </c>
      <c r="Q940">
        <v>79</v>
      </c>
      <c r="R940">
        <v>0</v>
      </c>
      <c r="S940">
        <v>65</v>
      </c>
      <c r="T940">
        <v>0</v>
      </c>
      <c r="U940" s="3">
        <v>1</v>
      </c>
      <c r="V940" s="3">
        <v>1</v>
      </c>
    </row>
    <row r="941" spans="1:22" x14ac:dyDescent="0.25">
      <c r="A941" s="2">
        <v>2017</v>
      </c>
      <c r="B941" t="s">
        <v>46</v>
      </c>
      <c r="C941" t="s">
        <v>24</v>
      </c>
      <c r="D941" s="2">
        <v>28</v>
      </c>
      <c r="E941" s="2">
        <v>4356</v>
      </c>
      <c r="F941" t="s">
        <v>360</v>
      </c>
      <c r="G941">
        <v>0</v>
      </c>
      <c r="H941">
        <v>0</v>
      </c>
      <c r="I941">
        <v>0</v>
      </c>
      <c r="J941">
        <v>0</v>
      </c>
      <c r="K941">
        <v>0</v>
      </c>
      <c r="L941" s="6">
        <f t="shared" si="117"/>
        <v>0</v>
      </c>
      <c r="M941">
        <v>1</v>
      </c>
      <c r="N941">
        <v>0</v>
      </c>
      <c r="O941" s="9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 s="3">
        <v>1</v>
      </c>
      <c r="V941" s="3">
        <v>1</v>
      </c>
    </row>
    <row r="942" spans="1:22" x14ac:dyDescent="0.25">
      <c r="A942" s="2">
        <v>2017</v>
      </c>
      <c r="B942" t="s">
        <v>46</v>
      </c>
      <c r="C942" t="s">
        <v>24</v>
      </c>
      <c r="D942" s="2">
        <v>85</v>
      </c>
      <c r="E942" s="2">
        <v>10528</v>
      </c>
      <c r="F942" t="s">
        <v>400</v>
      </c>
      <c r="G942">
        <v>8</v>
      </c>
      <c r="H942">
        <v>8</v>
      </c>
      <c r="I942">
        <v>0</v>
      </c>
      <c r="J942">
        <v>0</v>
      </c>
      <c r="K942">
        <v>0</v>
      </c>
      <c r="L942" s="6">
        <f t="shared" si="117"/>
        <v>1</v>
      </c>
      <c r="M942">
        <v>89</v>
      </c>
      <c r="N942">
        <v>15</v>
      </c>
      <c r="O942" s="9">
        <v>0</v>
      </c>
      <c r="P942">
        <v>0</v>
      </c>
      <c r="Q942">
        <v>46</v>
      </c>
      <c r="R942">
        <v>0</v>
      </c>
      <c r="S942">
        <v>28</v>
      </c>
      <c r="T942">
        <v>0</v>
      </c>
      <c r="U942" s="3">
        <v>1</v>
      </c>
      <c r="V942" s="3">
        <v>1</v>
      </c>
    </row>
    <row r="943" spans="1:22" x14ac:dyDescent="0.25">
      <c r="A943" s="2">
        <v>2017</v>
      </c>
      <c r="B943" t="s">
        <v>46</v>
      </c>
      <c r="C943" t="s">
        <v>24</v>
      </c>
      <c r="D943" s="2">
        <v>93</v>
      </c>
      <c r="E943" s="2">
        <v>118657</v>
      </c>
      <c r="F943" t="s">
        <v>401</v>
      </c>
      <c r="G943">
        <v>16</v>
      </c>
      <c r="H943">
        <v>16</v>
      </c>
      <c r="I943">
        <v>0</v>
      </c>
      <c r="J943">
        <v>0</v>
      </c>
      <c r="K943">
        <v>0</v>
      </c>
      <c r="L943" s="6">
        <f t="shared" si="117"/>
        <v>1</v>
      </c>
      <c r="M943">
        <v>265</v>
      </c>
      <c r="N943">
        <v>46</v>
      </c>
      <c r="O943" s="9">
        <v>0</v>
      </c>
      <c r="P943">
        <v>0</v>
      </c>
      <c r="Q943">
        <v>107</v>
      </c>
      <c r="R943">
        <v>0</v>
      </c>
      <c r="S943">
        <v>111</v>
      </c>
      <c r="T943">
        <v>1</v>
      </c>
      <c r="U943" s="3">
        <v>1</v>
      </c>
      <c r="V943" s="3">
        <v>1</v>
      </c>
    </row>
    <row r="944" spans="1:22" x14ac:dyDescent="0.25">
      <c r="A944" s="2">
        <v>2017</v>
      </c>
      <c r="B944" t="s">
        <v>46</v>
      </c>
      <c r="C944" t="s">
        <v>24</v>
      </c>
      <c r="D944" s="2">
        <v>36</v>
      </c>
      <c r="E944" s="2">
        <v>118472</v>
      </c>
      <c r="F944" t="s">
        <v>503</v>
      </c>
      <c r="G944">
        <v>13</v>
      </c>
      <c r="H944">
        <v>13</v>
      </c>
      <c r="I944">
        <v>0</v>
      </c>
      <c r="J944">
        <v>0</v>
      </c>
      <c r="K944">
        <v>0</v>
      </c>
      <c r="L944" s="6">
        <f t="shared" si="117"/>
        <v>1</v>
      </c>
      <c r="M944">
        <v>265</v>
      </c>
      <c r="N944">
        <v>43</v>
      </c>
      <c r="O944" s="9">
        <v>0</v>
      </c>
      <c r="P944">
        <v>0</v>
      </c>
      <c r="Q944">
        <v>109</v>
      </c>
      <c r="R944">
        <v>0</v>
      </c>
      <c r="S944">
        <v>113</v>
      </c>
      <c r="T944">
        <v>0</v>
      </c>
      <c r="U944" s="3">
        <v>1</v>
      </c>
      <c r="V944" s="3">
        <v>1</v>
      </c>
    </row>
    <row r="945" spans="1:22" x14ac:dyDescent="0.25">
      <c r="A945" s="2">
        <v>2017</v>
      </c>
      <c r="B945" t="s">
        <v>46</v>
      </c>
      <c r="C945" t="s">
        <v>24</v>
      </c>
      <c r="D945" s="2">
        <v>133</v>
      </c>
      <c r="E945" s="2">
        <v>120862</v>
      </c>
      <c r="F945" t="s">
        <v>48</v>
      </c>
      <c r="G945">
        <v>0</v>
      </c>
      <c r="H945">
        <v>0</v>
      </c>
      <c r="I945">
        <v>0</v>
      </c>
      <c r="J945">
        <v>0</v>
      </c>
      <c r="K945">
        <v>0</v>
      </c>
      <c r="L945" s="6">
        <f t="shared" si="117"/>
        <v>0</v>
      </c>
      <c r="M945">
        <v>20</v>
      </c>
      <c r="N945">
        <v>5</v>
      </c>
      <c r="O945" s="9">
        <v>0</v>
      </c>
      <c r="P945">
        <v>0</v>
      </c>
      <c r="Q945">
        <v>6</v>
      </c>
      <c r="R945">
        <v>0</v>
      </c>
      <c r="S945">
        <v>9</v>
      </c>
      <c r="T945">
        <v>0</v>
      </c>
      <c r="U945" s="3">
        <v>1</v>
      </c>
      <c r="V945" s="3">
        <v>1</v>
      </c>
    </row>
    <row r="946" spans="1:22" x14ac:dyDescent="0.25">
      <c r="A946" s="2">
        <v>2017</v>
      </c>
      <c r="B946" t="s">
        <v>46</v>
      </c>
      <c r="C946" t="s">
        <v>24</v>
      </c>
      <c r="D946" s="2">
        <v>102</v>
      </c>
      <c r="E946" s="2">
        <v>119090</v>
      </c>
      <c r="F946" t="s">
        <v>402</v>
      </c>
      <c r="G946">
        <v>6</v>
      </c>
      <c r="H946">
        <v>6</v>
      </c>
      <c r="I946">
        <v>0</v>
      </c>
      <c r="J946">
        <v>0</v>
      </c>
      <c r="K946">
        <v>0</v>
      </c>
      <c r="L946" s="6">
        <f t="shared" si="117"/>
        <v>1</v>
      </c>
      <c r="M946">
        <v>200</v>
      </c>
      <c r="N946">
        <v>37</v>
      </c>
      <c r="O946" s="9">
        <v>0</v>
      </c>
      <c r="P946">
        <v>0</v>
      </c>
      <c r="Q946">
        <v>80</v>
      </c>
      <c r="R946">
        <v>0</v>
      </c>
      <c r="S946">
        <v>83</v>
      </c>
      <c r="T946">
        <v>0</v>
      </c>
      <c r="U946" s="3">
        <v>1</v>
      </c>
      <c r="V946" s="3">
        <v>1</v>
      </c>
    </row>
    <row r="947" spans="1:22" x14ac:dyDescent="0.25">
      <c r="A947" s="2">
        <v>2017</v>
      </c>
      <c r="B947" t="s">
        <v>46</v>
      </c>
      <c r="C947" t="s">
        <v>24</v>
      </c>
      <c r="D947" s="2">
        <v>40</v>
      </c>
      <c r="E947" s="2">
        <v>6831</v>
      </c>
      <c r="F947" t="s">
        <v>28</v>
      </c>
      <c r="G947">
        <v>15</v>
      </c>
      <c r="H947">
        <v>15</v>
      </c>
      <c r="I947">
        <v>0</v>
      </c>
      <c r="J947">
        <v>0</v>
      </c>
      <c r="K947">
        <v>0</v>
      </c>
      <c r="L947" s="6">
        <f t="shared" si="117"/>
        <v>1</v>
      </c>
      <c r="M947">
        <v>409</v>
      </c>
      <c r="N947">
        <v>64</v>
      </c>
      <c r="O947" s="9">
        <v>0</v>
      </c>
      <c r="P947">
        <v>2</v>
      </c>
      <c r="Q947">
        <v>181</v>
      </c>
      <c r="R947">
        <v>0</v>
      </c>
      <c r="S947">
        <v>162</v>
      </c>
      <c r="T947">
        <v>0</v>
      </c>
      <c r="U947" s="3">
        <v>0.99511002444987773</v>
      </c>
      <c r="V947" s="3">
        <v>0.99528301886792447</v>
      </c>
    </row>
    <row r="948" spans="1:22" x14ac:dyDescent="0.25">
      <c r="A948" s="2">
        <v>2017</v>
      </c>
      <c r="B948" t="s">
        <v>46</v>
      </c>
      <c r="C948" t="s">
        <v>24</v>
      </c>
      <c r="D948" s="2">
        <v>139</v>
      </c>
      <c r="E948" s="2">
        <v>122085</v>
      </c>
      <c r="F948" t="s">
        <v>405</v>
      </c>
      <c r="G948">
        <v>6</v>
      </c>
      <c r="H948">
        <v>6</v>
      </c>
      <c r="I948">
        <v>0</v>
      </c>
      <c r="J948">
        <v>0</v>
      </c>
      <c r="K948">
        <v>0</v>
      </c>
      <c r="L948" s="6">
        <f t="shared" si="117"/>
        <v>1</v>
      </c>
      <c r="M948">
        <v>180</v>
      </c>
      <c r="N948">
        <v>29</v>
      </c>
      <c r="O948" s="9">
        <v>0</v>
      </c>
      <c r="P948">
        <v>0</v>
      </c>
      <c r="Q948">
        <v>74</v>
      </c>
      <c r="R948">
        <v>0</v>
      </c>
      <c r="S948">
        <v>77</v>
      </c>
      <c r="T948">
        <v>0</v>
      </c>
      <c r="U948" s="3">
        <v>1</v>
      </c>
      <c r="V948" s="3">
        <v>1</v>
      </c>
    </row>
    <row r="949" spans="1:22" x14ac:dyDescent="0.25">
      <c r="A949" s="2">
        <v>2017</v>
      </c>
      <c r="B949" t="s">
        <v>46</v>
      </c>
      <c r="C949" t="s">
        <v>24</v>
      </c>
      <c r="D949" s="2">
        <v>134</v>
      </c>
      <c r="E949" s="2">
        <v>4968</v>
      </c>
      <c r="F949" t="s">
        <v>29</v>
      </c>
      <c r="G949">
        <v>20</v>
      </c>
      <c r="H949">
        <v>20</v>
      </c>
      <c r="I949">
        <v>0</v>
      </c>
      <c r="J949">
        <v>0</v>
      </c>
      <c r="K949">
        <v>0</v>
      </c>
      <c r="L949" s="6">
        <f t="shared" si="117"/>
        <v>1</v>
      </c>
      <c r="M949">
        <v>309</v>
      </c>
      <c r="N949">
        <v>52</v>
      </c>
      <c r="O949" s="9">
        <v>0</v>
      </c>
      <c r="P949">
        <v>0</v>
      </c>
      <c r="Q949">
        <v>126</v>
      </c>
      <c r="R949">
        <v>0</v>
      </c>
      <c r="S949">
        <v>130</v>
      </c>
      <c r="T949">
        <v>1</v>
      </c>
      <c r="U949" s="3">
        <v>1</v>
      </c>
      <c r="V949" s="3">
        <v>1</v>
      </c>
    </row>
    <row r="950" spans="1:22" x14ac:dyDescent="0.25">
      <c r="A950" s="2">
        <v>2017</v>
      </c>
      <c r="B950" t="s">
        <v>46</v>
      </c>
      <c r="C950" t="s">
        <v>24</v>
      </c>
      <c r="D950" s="2">
        <v>131</v>
      </c>
      <c r="E950" s="2">
        <v>121355</v>
      </c>
      <c r="F950" t="s">
        <v>504</v>
      </c>
      <c r="G950">
        <v>6</v>
      </c>
      <c r="H950">
        <v>6</v>
      </c>
      <c r="I950">
        <v>0</v>
      </c>
      <c r="J950">
        <v>0</v>
      </c>
      <c r="K950">
        <v>0</v>
      </c>
      <c r="L950" s="6">
        <f t="shared" si="117"/>
        <v>1</v>
      </c>
      <c r="M950">
        <v>74</v>
      </c>
      <c r="N950">
        <v>10</v>
      </c>
      <c r="O950" s="9">
        <v>0</v>
      </c>
      <c r="P950">
        <v>2</v>
      </c>
      <c r="Q950">
        <v>39</v>
      </c>
      <c r="R950">
        <v>0</v>
      </c>
      <c r="S950">
        <v>23</v>
      </c>
      <c r="T950">
        <v>0</v>
      </c>
      <c r="U950" s="3">
        <v>0.97297297297297303</v>
      </c>
      <c r="V950" s="3">
        <v>0.97499999999999998</v>
      </c>
    </row>
    <row r="951" spans="1:22" x14ac:dyDescent="0.25">
      <c r="A951" s="2">
        <v>2017</v>
      </c>
      <c r="B951" t="s">
        <v>46</v>
      </c>
      <c r="C951" t="s">
        <v>24</v>
      </c>
      <c r="D951" s="2">
        <v>138</v>
      </c>
      <c r="E951" s="2">
        <v>122073</v>
      </c>
      <c r="F951" t="s">
        <v>406</v>
      </c>
      <c r="G951">
        <v>21</v>
      </c>
      <c r="H951">
        <v>21</v>
      </c>
      <c r="I951">
        <v>0</v>
      </c>
      <c r="J951">
        <v>0</v>
      </c>
      <c r="K951">
        <v>0</v>
      </c>
      <c r="L951" s="6">
        <f t="shared" si="117"/>
        <v>1</v>
      </c>
      <c r="M951">
        <v>318</v>
      </c>
      <c r="N951">
        <v>65</v>
      </c>
      <c r="O951" s="9">
        <v>0</v>
      </c>
      <c r="P951">
        <v>2</v>
      </c>
      <c r="Q951">
        <v>132</v>
      </c>
      <c r="R951">
        <v>2</v>
      </c>
      <c r="S951">
        <v>117</v>
      </c>
      <c r="T951">
        <v>0</v>
      </c>
      <c r="U951" s="3">
        <v>0.98742138364779874</v>
      </c>
      <c r="V951" s="3">
        <v>0.98820058997050142</v>
      </c>
    </row>
    <row r="952" spans="1:22" x14ac:dyDescent="0.25">
      <c r="A952" s="2">
        <v>2017</v>
      </c>
      <c r="B952" t="s">
        <v>46</v>
      </c>
      <c r="C952" t="s">
        <v>24</v>
      </c>
      <c r="D952" s="2">
        <v>150</v>
      </c>
      <c r="E952" s="2">
        <v>123118</v>
      </c>
      <c r="F952" t="s">
        <v>30</v>
      </c>
      <c r="G952">
        <v>9</v>
      </c>
      <c r="H952">
        <v>9</v>
      </c>
      <c r="I952">
        <v>0</v>
      </c>
      <c r="J952">
        <v>0</v>
      </c>
      <c r="K952">
        <v>0</v>
      </c>
      <c r="L952" s="6">
        <f t="shared" si="117"/>
        <v>1</v>
      </c>
      <c r="M952">
        <v>269</v>
      </c>
      <c r="N952">
        <v>50</v>
      </c>
      <c r="O952" s="9">
        <v>0</v>
      </c>
      <c r="P952">
        <v>0</v>
      </c>
      <c r="Q952">
        <v>133</v>
      </c>
      <c r="R952">
        <v>0</v>
      </c>
      <c r="S952">
        <v>85</v>
      </c>
      <c r="T952">
        <v>1</v>
      </c>
      <c r="U952" s="3">
        <v>1</v>
      </c>
      <c r="V952" s="3">
        <v>1</v>
      </c>
    </row>
    <row r="953" spans="1:22" x14ac:dyDescent="0.25">
      <c r="A953" s="2">
        <v>2017</v>
      </c>
      <c r="B953" t="s">
        <v>46</v>
      </c>
      <c r="C953" t="s">
        <v>24</v>
      </c>
      <c r="D953" s="2">
        <v>151</v>
      </c>
      <c r="E953" s="2">
        <v>123113</v>
      </c>
      <c r="F953" t="s">
        <v>424</v>
      </c>
      <c r="G953">
        <v>6</v>
      </c>
      <c r="H953">
        <v>6</v>
      </c>
      <c r="I953">
        <v>0</v>
      </c>
      <c r="J953">
        <v>0</v>
      </c>
      <c r="K953">
        <v>0</v>
      </c>
      <c r="L953" s="6">
        <f t="shared" si="117"/>
        <v>1</v>
      </c>
      <c r="M953">
        <v>215</v>
      </c>
      <c r="N953">
        <v>46</v>
      </c>
      <c r="O953" s="9">
        <v>0</v>
      </c>
      <c r="P953">
        <v>0</v>
      </c>
      <c r="Q953">
        <v>101</v>
      </c>
      <c r="R953">
        <v>0</v>
      </c>
      <c r="S953">
        <v>65</v>
      </c>
      <c r="T953">
        <v>3</v>
      </c>
      <c r="U953" s="3">
        <v>1</v>
      </c>
      <c r="V953" s="3">
        <v>1</v>
      </c>
    </row>
    <row r="954" spans="1:22" x14ac:dyDescent="0.25">
      <c r="A954" s="2">
        <v>2017</v>
      </c>
      <c r="B954" t="s">
        <v>46</v>
      </c>
      <c r="C954" t="s">
        <v>24</v>
      </c>
      <c r="D954" s="2">
        <v>39</v>
      </c>
      <c r="E954" s="2">
        <v>6832</v>
      </c>
      <c r="F954" t="s">
        <v>407</v>
      </c>
      <c r="G954">
        <v>22</v>
      </c>
      <c r="H954">
        <v>22</v>
      </c>
      <c r="I954">
        <v>0</v>
      </c>
      <c r="J954">
        <v>0</v>
      </c>
      <c r="K954">
        <v>0</v>
      </c>
      <c r="L954" s="6">
        <f t="shared" si="117"/>
        <v>1</v>
      </c>
      <c r="M954">
        <v>287</v>
      </c>
      <c r="N954">
        <v>53</v>
      </c>
      <c r="O954" s="9">
        <v>0</v>
      </c>
      <c r="P954">
        <v>0</v>
      </c>
      <c r="Q954">
        <v>119</v>
      </c>
      <c r="R954">
        <v>0</v>
      </c>
      <c r="S954">
        <v>114</v>
      </c>
      <c r="T954">
        <v>1</v>
      </c>
      <c r="U954" s="3">
        <v>1</v>
      </c>
      <c r="V954" s="3">
        <v>1</v>
      </c>
    </row>
    <row r="955" spans="1:22" x14ac:dyDescent="0.25">
      <c r="A955" s="2">
        <v>2017</v>
      </c>
      <c r="B955" t="s">
        <v>46</v>
      </c>
      <c r="C955" t="s">
        <v>24</v>
      </c>
      <c r="D955" s="2">
        <v>78</v>
      </c>
      <c r="E955" s="2">
        <v>8720</v>
      </c>
      <c r="F955" t="s">
        <v>408</v>
      </c>
      <c r="G955">
        <v>5</v>
      </c>
      <c r="H955">
        <v>5</v>
      </c>
      <c r="I955">
        <v>0</v>
      </c>
      <c r="J955">
        <v>0</v>
      </c>
      <c r="K955">
        <v>0</v>
      </c>
      <c r="L955" s="6">
        <f t="shared" si="117"/>
        <v>1</v>
      </c>
      <c r="M955">
        <v>231</v>
      </c>
      <c r="N955">
        <v>39</v>
      </c>
      <c r="O955" s="9">
        <v>0</v>
      </c>
      <c r="P955">
        <v>4</v>
      </c>
      <c r="Q955">
        <v>108</v>
      </c>
      <c r="R955">
        <v>1</v>
      </c>
      <c r="S955">
        <v>79</v>
      </c>
      <c r="T955">
        <v>0</v>
      </c>
      <c r="U955" s="3">
        <v>0.97835497835497831</v>
      </c>
      <c r="V955" s="3">
        <v>0.97881355932203384</v>
      </c>
    </row>
    <row r="956" spans="1:22" x14ac:dyDescent="0.25">
      <c r="A956" s="2">
        <v>2017</v>
      </c>
      <c r="B956" t="s">
        <v>46</v>
      </c>
      <c r="C956" t="s">
        <v>22</v>
      </c>
      <c r="D956" s="2">
        <v>136</v>
      </c>
      <c r="E956" s="2">
        <v>121923</v>
      </c>
      <c r="F956" t="s">
        <v>41</v>
      </c>
      <c r="G956">
        <v>11</v>
      </c>
      <c r="H956">
        <v>11</v>
      </c>
      <c r="I956">
        <v>0</v>
      </c>
      <c r="J956">
        <v>0</v>
      </c>
      <c r="K956">
        <v>0</v>
      </c>
      <c r="L956" s="6">
        <f t="shared" si="117"/>
        <v>1</v>
      </c>
      <c r="M956">
        <v>89</v>
      </c>
      <c r="N956">
        <v>19</v>
      </c>
      <c r="O956" s="9">
        <v>0</v>
      </c>
      <c r="P956">
        <v>0</v>
      </c>
      <c r="Q956">
        <v>31</v>
      </c>
      <c r="R956">
        <v>0</v>
      </c>
      <c r="S956">
        <v>36</v>
      </c>
      <c r="T956">
        <v>3</v>
      </c>
      <c r="U956" s="3">
        <v>1</v>
      </c>
      <c r="V956" s="3">
        <v>1</v>
      </c>
    </row>
    <row r="957" spans="1:22" x14ac:dyDescent="0.25">
      <c r="A957" s="2">
        <v>2017</v>
      </c>
      <c r="B957" t="s">
        <v>46</v>
      </c>
      <c r="C957" t="s">
        <v>22</v>
      </c>
      <c r="D957" s="2">
        <v>153</v>
      </c>
      <c r="E957" s="2">
        <v>222222222</v>
      </c>
      <c r="F957" t="s">
        <v>39</v>
      </c>
      <c r="G957">
        <v>1</v>
      </c>
      <c r="H957">
        <v>1</v>
      </c>
      <c r="I957">
        <v>0</v>
      </c>
      <c r="J957">
        <v>0</v>
      </c>
      <c r="K957">
        <v>0</v>
      </c>
      <c r="L957" s="6">
        <f t="shared" si="117"/>
        <v>1</v>
      </c>
      <c r="M957">
        <v>24</v>
      </c>
      <c r="N957">
        <v>3</v>
      </c>
      <c r="O957" s="9">
        <v>0</v>
      </c>
      <c r="P957">
        <v>0</v>
      </c>
      <c r="Q957">
        <v>18</v>
      </c>
      <c r="R957">
        <v>0</v>
      </c>
      <c r="S957">
        <v>3</v>
      </c>
      <c r="T957">
        <v>0</v>
      </c>
      <c r="U957" s="3">
        <v>1</v>
      </c>
      <c r="V957" s="3">
        <v>1</v>
      </c>
    </row>
    <row r="958" spans="1:22" x14ac:dyDescent="0.25">
      <c r="A958" s="2">
        <v>2017</v>
      </c>
      <c r="B958" t="s">
        <v>46</v>
      </c>
      <c r="C958" t="s">
        <v>22</v>
      </c>
      <c r="D958" s="2">
        <v>137</v>
      </c>
      <c r="E958" s="2">
        <v>5010</v>
      </c>
      <c r="F958" t="s">
        <v>27</v>
      </c>
      <c r="G958">
        <v>26</v>
      </c>
      <c r="H958">
        <v>26</v>
      </c>
      <c r="I958">
        <v>0</v>
      </c>
      <c r="J958">
        <v>0</v>
      </c>
      <c r="K958">
        <v>0</v>
      </c>
      <c r="L958" s="6">
        <f t="shared" si="117"/>
        <v>1</v>
      </c>
      <c r="M958">
        <v>246</v>
      </c>
      <c r="N958">
        <v>45</v>
      </c>
      <c r="O958" s="9">
        <v>0</v>
      </c>
      <c r="P958">
        <v>2</v>
      </c>
      <c r="Q958">
        <v>91</v>
      </c>
      <c r="R958">
        <v>10</v>
      </c>
      <c r="S958">
        <v>97</v>
      </c>
      <c r="T958">
        <v>1</v>
      </c>
      <c r="U958" s="3">
        <v>0.95121951219512191</v>
      </c>
      <c r="V958" s="3">
        <v>0.95588235294117652</v>
      </c>
    </row>
    <row r="959" spans="1:22" x14ac:dyDescent="0.25">
      <c r="A959" s="2">
        <v>2017</v>
      </c>
      <c r="B959" t="s">
        <v>46</v>
      </c>
      <c r="C959" t="s">
        <v>22</v>
      </c>
      <c r="D959" s="2">
        <v>29</v>
      </c>
      <c r="E959" s="2">
        <v>4489</v>
      </c>
      <c r="F959" t="s">
        <v>353</v>
      </c>
      <c r="G959">
        <v>26</v>
      </c>
      <c r="H959">
        <v>26</v>
      </c>
      <c r="I959">
        <v>0</v>
      </c>
      <c r="J959">
        <v>0</v>
      </c>
      <c r="K959">
        <v>0</v>
      </c>
      <c r="L959" s="6">
        <f t="shared" si="117"/>
        <v>1</v>
      </c>
      <c r="M959">
        <v>365</v>
      </c>
      <c r="N959">
        <v>67</v>
      </c>
      <c r="O959" s="9">
        <v>0</v>
      </c>
      <c r="P959">
        <v>0</v>
      </c>
      <c r="Q959">
        <v>181</v>
      </c>
      <c r="R959">
        <v>6</v>
      </c>
      <c r="S959">
        <v>110</v>
      </c>
      <c r="T959">
        <v>1</v>
      </c>
      <c r="U959" s="3">
        <v>0.98356164383561639</v>
      </c>
      <c r="V959" s="3">
        <v>0.98465473145780047</v>
      </c>
    </row>
    <row r="960" spans="1:22" x14ac:dyDescent="0.25">
      <c r="A960" s="2">
        <v>2017</v>
      </c>
      <c r="B960" t="s">
        <v>46</v>
      </c>
      <c r="C960" t="s">
        <v>22</v>
      </c>
      <c r="D960" s="2">
        <v>38</v>
      </c>
      <c r="E960" s="2">
        <v>7115</v>
      </c>
      <c r="F960" t="s">
        <v>354</v>
      </c>
      <c r="G960">
        <v>18</v>
      </c>
      <c r="H960">
        <v>18</v>
      </c>
      <c r="I960">
        <v>0</v>
      </c>
      <c r="J960">
        <v>0</v>
      </c>
      <c r="K960">
        <v>0</v>
      </c>
      <c r="L960" s="6">
        <f t="shared" si="117"/>
        <v>1</v>
      </c>
      <c r="M960">
        <v>169</v>
      </c>
      <c r="N960">
        <v>35</v>
      </c>
      <c r="O960" s="9">
        <v>0</v>
      </c>
      <c r="P960">
        <v>0</v>
      </c>
      <c r="Q960">
        <v>42</v>
      </c>
      <c r="R960">
        <v>10</v>
      </c>
      <c r="S960">
        <v>82</v>
      </c>
      <c r="T960">
        <v>0</v>
      </c>
      <c r="U960" s="3">
        <v>0.94082840236686394</v>
      </c>
      <c r="V960" s="3">
        <v>0.946524064171123</v>
      </c>
    </row>
    <row r="961" spans="1:22" x14ac:dyDescent="0.25">
      <c r="A961" s="2">
        <v>2017</v>
      </c>
      <c r="B961" t="s">
        <v>46</v>
      </c>
      <c r="C961" t="s">
        <v>22</v>
      </c>
      <c r="D961" s="2">
        <v>58</v>
      </c>
      <c r="E961" s="2">
        <v>7621</v>
      </c>
      <c r="F961" t="s">
        <v>355</v>
      </c>
      <c r="G961">
        <v>50</v>
      </c>
      <c r="H961">
        <v>50</v>
      </c>
      <c r="I961">
        <v>0</v>
      </c>
      <c r="J961">
        <v>0</v>
      </c>
      <c r="K961">
        <v>0</v>
      </c>
      <c r="L961" s="6">
        <f t="shared" si="117"/>
        <v>1</v>
      </c>
      <c r="M961">
        <v>571</v>
      </c>
      <c r="N961">
        <v>108</v>
      </c>
      <c r="O961" s="9">
        <v>0</v>
      </c>
      <c r="P961">
        <v>1</v>
      </c>
      <c r="Q961">
        <v>286</v>
      </c>
      <c r="R961">
        <v>0</v>
      </c>
      <c r="S961">
        <v>167</v>
      </c>
      <c r="T961">
        <v>9</v>
      </c>
      <c r="U961" s="3">
        <v>0.99824868651488619</v>
      </c>
      <c r="V961" s="3">
        <v>0.99838969404186795</v>
      </c>
    </row>
    <row r="962" spans="1:22" x14ac:dyDescent="0.25">
      <c r="A962" s="2">
        <v>2017</v>
      </c>
      <c r="B962" t="s">
        <v>46</v>
      </c>
      <c r="C962" t="s">
        <v>22</v>
      </c>
      <c r="D962" s="2">
        <v>14</v>
      </c>
      <c r="E962" s="2">
        <v>5614</v>
      </c>
      <c r="F962" t="s">
        <v>423</v>
      </c>
      <c r="G962">
        <v>0</v>
      </c>
      <c r="H962">
        <v>0</v>
      </c>
      <c r="I962">
        <v>0</v>
      </c>
      <c r="J962">
        <v>0</v>
      </c>
      <c r="K962">
        <v>0</v>
      </c>
      <c r="L962" s="6">
        <f t="shared" si="117"/>
        <v>0</v>
      </c>
      <c r="M962">
        <v>1</v>
      </c>
      <c r="N962">
        <v>0</v>
      </c>
      <c r="O962" s="9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 s="3">
        <v>1</v>
      </c>
      <c r="V962" s="3">
        <v>1</v>
      </c>
    </row>
    <row r="963" spans="1:22" x14ac:dyDescent="0.25">
      <c r="A963" s="2">
        <v>2017</v>
      </c>
      <c r="B963" t="s">
        <v>46</v>
      </c>
      <c r="C963" t="s">
        <v>22</v>
      </c>
      <c r="D963" s="2">
        <v>97</v>
      </c>
      <c r="E963" s="2">
        <v>119020</v>
      </c>
      <c r="F963" t="s">
        <v>409</v>
      </c>
      <c r="G963">
        <v>0</v>
      </c>
      <c r="H963">
        <v>0</v>
      </c>
      <c r="I963">
        <v>0</v>
      </c>
      <c r="J963">
        <v>0</v>
      </c>
      <c r="K963">
        <v>0</v>
      </c>
      <c r="L963" s="6">
        <f t="shared" si="117"/>
        <v>0</v>
      </c>
      <c r="M963">
        <v>1</v>
      </c>
      <c r="N963">
        <v>0</v>
      </c>
      <c r="O963" s="9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 s="3">
        <v>1</v>
      </c>
      <c r="V963" s="3">
        <v>1</v>
      </c>
    </row>
    <row r="964" spans="1:22" x14ac:dyDescent="0.25">
      <c r="A964" s="2">
        <v>2017</v>
      </c>
      <c r="B964" t="s">
        <v>46</v>
      </c>
      <c r="C964" t="s">
        <v>22</v>
      </c>
      <c r="D964" s="2">
        <v>159</v>
      </c>
      <c r="E964" s="2">
        <v>124091</v>
      </c>
      <c r="F964" t="s">
        <v>437</v>
      </c>
      <c r="G964">
        <v>4</v>
      </c>
      <c r="H964">
        <v>4</v>
      </c>
      <c r="I964">
        <v>0</v>
      </c>
      <c r="J964">
        <v>0</v>
      </c>
      <c r="K964">
        <v>0</v>
      </c>
      <c r="L964" s="6">
        <f t="shared" si="117"/>
        <v>1</v>
      </c>
      <c r="M964">
        <v>83</v>
      </c>
      <c r="N964">
        <v>18</v>
      </c>
      <c r="O964" s="9">
        <v>0</v>
      </c>
      <c r="P964">
        <v>0</v>
      </c>
      <c r="Q964">
        <v>34</v>
      </c>
      <c r="R964">
        <v>0</v>
      </c>
      <c r="S964">
        <v>30</v>
      </c>
      <c r="T964">
        <v>1</v>
      </c>
      <c r="U964" s="3">
        <v>1</v>
      </c>
      <c r="V964" s="3">
        <v>1</v>
      </c>
    </row>
    <row r="965" spans="1:22" x14ac:dyDescent="0.25">
      <c r="A965" s="2">
        <v>2017</v>
      </c>
      <c r="B965" t="s">
        <v>46</v>
      </c>
      <c r="C965" t="s">
        <v>22</v>
      </c>
      <c r="D965" s="2">
        <v>51</v>
      </c>
      <c r="E965" s="2">
        <v>7616</v>
      </c>
      <c r="F965" t="s">
        <v>410</v>
      </c>
      <c r="G965">
        <v>0</v>
      </c>
      <c r="H965">
        <v>0</v>
      </c>
      <c r="I965">
        <v>0</v>
      </c>
      <c r="J965">
        <v>0</v>
      </c>
      <c r="K965">
        <v>0</v>
      </c>
      <c r="L965" s="6">
        <f t="shared" si="117"/>
        <v>0</v>
      </c>
      <c r="M965">
        <v>1</v>
      </c>
      <c r="N965">
        <v>0</v>
      </c>
      <c r="O965" s="9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 s="3">
        <v>1</v>
      </c>
      <c r="V965" s="3">
        <v>1</v>
      </c>
    </row>
    <row r="966" spans="1:22" x14ac:dyDescent="0.25">
      <c r="A966" s="2">
        <v>2017</v>
      </c>
      <c r="B966" t="s">
        <v>46</v>
      </c>
      <c r="C966" t="s">
        <v>22</v>
      </c>
      <c r="D966" s="2">
        <v>23</v>
      </c>
      <c r="E966" s="2">
        <v>5832</v>
      </c>
      <c r="F966" t="s">
        <v>358</v>
      </c>
      <c r="G966">
        <v>1</v>
      </c>
      <c r="H966">
        <v>1</v>
      </c>
      <c r="I966">
        <v>0</v>
      </c>
      <c r="J966">
        <v>0</v>
      </c>
      <c r="K966">
        <v>0</v>
      </c>
      <c r="L966" s="6">
        <f t="shared" si="117"/>
        <v>1</v>
      </c>
      <c r="M966">
        <v>41</v>
      </c>
      <c r="N966">
        <v>6</v>
      </c>
      <c r="O966" s="9">
        <v>0</v>
      </c>
      <c r="P966">
        <v>0</v>
      </c>
      <c r="Q966">
        <v>17</v>
      </c>
      <c r="R966">
        <v>0</v>
      </c>
      <c r="S966">
        <v>18</v>
      </c>
      <c r="T966">
        <v>0</v>
      </c>
      <c r="U966" s="3">
        <v>1</v>
      </c>
      <c r="V966" s="3">
        <v>1</v>
      </c>
    </row>
    <row r="967" spans="1:22" x14ac:dyDescent="0.25">
      <c r="A967" s="2">
        <v>2017</v>
      </c>
      <c r="B967" t="s">
        <v>46</v>
      </c>
      <c r="C967" t="s">
        <v>22</v>
      </c>
      <c r="D967" s="2">
        <v>77</v>
      </c>
      <c r="E967" s="2">
        <v>9967</v>
      </c>
      <c r="F967" t="s">
        <v>359</v>
      </c>
      <c r="G967">
        <v>53</v>
      </c>
      <c r="H967">
        <v>53</v>
      </c>
      <c r="I967">
        <v>0</v>
      </c>
      <c r="J967">
        <v>0</v>
      </c>
      <c r="K967">
        <v>0</v>
      </c>
      <c r="L967" s="6">
        <f t="shared" si="117"/>
        <v>1</v>
      </c>
      <c r="M967">
        <v>456</v>
      </c>
      <c r="N967">
        <v>85</v>
      </c>
      <c r="O967" s="9">
        <v>0</v>
      </c>
      <c r="P967">
        <v>0</v>
      </c>
      <c r="Q967">
        <v>196</v>
      </c>
      <c r="R967">
        <v>0</v>
      </c>
      <c r="S967">
        <v>173</v>
      </c>
      <c r="T967">
        <v>2</v>
      </c>
      <c r="U967" s="3">
        <v>1</v>
      </c>
      <c r="V967" s="3">
        <v>1</v>
      </c>
    </row>
    <row r="968" spans="1:22" x14ac:dyDescent="0.25">
      <c r="A968" s="2">
        <v>2017</v>
      </c>
      <c r="B968" t="s">
        <v>46</v>
      </c>
      <c r="C968" t="s">
        <v>22</v>
      </c>
      <c r="D968" s="2">
        <v>72</v>
      </c>
      <c r="E968" s="2">
        <v>2531</v>
      </c>
      <c r="F968" t="s">
        <v>411</v>
      </c>
      <c r="G968">
        <v>0</v>
      </c>
      <c r="H968">
        <v>0</v>
      </c>
      <c r="I968">
        <v>0</v>
      </c>
      <c r="J968">
        <v>0</v>
      </c>
      <c r="K968">
        <v>0</v>
      </c>
      <c r="L968" s="6">
        <f t="shared" si="117"/>
        <v>0</v>
      </c>
      <c r="M968">
        <v>1</v>
      </c>
      <c r="N968">
        <v>1</v>
      </c>
      <c r="O968" s="9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 s="3">
        <v>1</v>
      </c>
      <c r="V968" s="3">
        <v>1</v>
      </c>
    </row>
    <row r="969" spans="1:22" x14ac:dyDescent="0.25">
      <c r="A969" s="2">
        <v>2017</v>
      </c>
      <c r="B969" t="s">
        <v>46</v>
      </c>
      <c r="C969" t="s">
        <v>22</v>
      </c>
      <c r="D969" s="2">
        <v>28</v>
      </c>
      <c r="E969" s="2">
        <v>4356</v>
      </c>
      <c r="F969" t="s">
        <v>360</v>
      </c>
      <c r="G969">
        <v>41</v>
      </c>
      <c r="H969">
        <v>40</v>
      </c>
      <c r="I969">
        <v>0</v>
      </c>
      <c r="J969">
        <v>0</v>
      </c>
      <c r="K969">
        <v>1</v>
      </c>
      <c r="L969" s="6">
        <f t="shared" si="117"/>
        <v>0.97560975609756095</v>
      </c>
      <c r="M969">
        <v>635</v>
      </c>
      <c r="N969">
        <v>127</v>
      </c>
      <c r="O969" s="9">
        <v>0</v>
      </c>
      <c r="P969">
        <v>4</v>
      </c>
      <c r="Q969">
        <v>271</v>
      </c>
      <c r="R969">
        <v>3</v>
      </c>
      <c r="S969">
        <v>224</v>
      </c>
      <c r="T969">
        <v>6</v>
      </c>
      <c r="U969" s="3">
        <v>0.98897637795275595</v>
      </c>
      <c r="V969" s="3">
        <v>0.98816568047337283</v>
      </c>
    </row>
    <row r="970" spans="1:22" x14ac:dyDescent="0.25">
      <c r="A970" s="2">
        <v>2017</v>
      </c>
      <c r="B970" t="s">
        <v>46</v>
      </c>
      <c r="C970" t="s">
        <v>22</v>
      </c>
      <c r="D970" s="2">
        <v>49</v>
      </c>
      <c r="E970" s="2">
        <v>222222222</v>
      </c>
      <c r="F970" t="s">
        <v>327</v>
      </c>
      <c r="G970">
        <v>0</v>
      </c>
      <c r="H970">
        <v>0</v>
      </c>
      <c r="I970">
        <v>0</v>
      </c>
      <c r="J970">
        <v>0</v>
      </c>
      <c r="K970">
        <v>0</v>
      </c>
      <c r="L970" s="6">
        <f t="shared" si="117"/>
        <v>0</v>
      </c>
      <c r="M970">
        <v>1</v>
      </c>
      <c r="N970">
        <v>0</v>
      </c>
      <c r="O970" s="9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 s="3">
        <v>1</v>
      </c>
      <c r="V970" s="3">
        <v>1</v>
      </c>
    </row>
    <row r="971" spans="1:22" x14ac:dyDescent="0.25">
      <c r="A971" s="2">
        <v>2017</v>
      </c>
      <c r="B971" t="s">
        <v>46</v>
      </c>
      <c r="C971" t="s">
        <v>22</v>
      </c>
      <c r="D971" s="2">
        <v>63</v>
      </c>
      <c r="E971" s="2">
        <v>7817</v>
      </c>
      <c r="F971" t="s">
        <v>361</v>
      </c>
      <c r="G971">
        <v>31</v>
      </c>
      <c r="H971">
        <v>31</v>
      </c>
      <c r="I971">
        <v>0</v>
      </c>
      <c r="J971">
        <v>0</v>
      </c>
      <c r="K971">
        <v>0</v>
      </c>
      <c r="L971" s="6">
        <f t="shared" si="117"/>
        <v>1</v>
      </c>
      <c r="M971">
        <v>437</v>
      </c>
      <c r="N971">
        <v>76</v>
      </c>
      <c r="O971" s="9">
        <v>0</v>
      </c>
      <c r="P971">
        <v>0</v>
      </c>
      <c r="Q971">
        <v>210</v>
      </c>
      <c r="R971">
        <v>0</v>
      </c>
      <c r="S971">
        <v>150</v>
      </c>
      <c r="T971">
        <v>1</v>
      </c>
      <c r="U971" s="3">
        <v>1</v>
      </c>
      <c r="V971" s="3">
        <v>1</v>
      </c>
    </row>
    <row r="972" spans="1:22" x14ac:dyDescent="0.25">
      <c r="A972" s="2">
        <v>2017</v>
      </c>
      <c r="B972" t="s">
        <v>46</v>
      </c>
      <c r="C972" t="s">
        <v>22</v>
      </c>
      <c r="D972" s="2">
        <v>19</v>
      </c>
      <c r="E972" s="2">
        <v>5831</v>
      </c>
      <c r="F972" t="s">
        <v>362</v>
      </c>
      <c r="G972">
        <v>21</v>
      </c>
      <c r="H972">
        <v>21</v>
      </c>
      <c r="I972">
        <v>0</v>
      </c>
      <c r="J972">
        <v>0</v>
      </c>
      <c r="K972">
        <v>0</v>
      </c>
      <c r="L972" s="6">
        <f t="shared" si="117"/>
        <v>1</v>
      </c>
      <c r="M972">
        <v>320</v>
      </c>
      <c r="N972">
        <v>61</v>
      </c>
      <c r="O972" s="9">
        <v>0</v>
      </c>
      <c r="P972">
        <v>0</v>
      </c>
      <c r="Q972">
        <v>101</v>
      </c>
      <c r="R972">
        <v>10</v>
      </c>
      <c r="S972">
        <v>146</v>
      </c>
      <c r="T972">
        <v>2</v>
      </c>
      <c r="U972" s="3">
        <v>0.96875</v>
      </c>
      <c r="V972" s="3">
        <v>0.97067448680351909</v>
      </c>
    </row>
    <row r="973" spans="1:22" x14ac:dyDescent="0.25">
      <c r="A973" s="2">
        <v>2017</v>
      </c>
      <c r="B973" t="s">
        <v>46</v>
      </c>
      <c r="C973" t="s">
        <v>22</v>
      </c>
      <c r="D973" s="2">
        <v>147</v>
      </c>
      <c r="E973" s="2">
        <v>2834</v>
      </c>
      <c r="F973" t="s">
        <v>482</v>
      </c>
      <c r="G973">
        <v>0</v>
      </c>
      <c r="H973">
        <v>0</v>
      </c>
      <c r="I973">
        <v>0</v>
      </c>
      <c r="J973">
        <v>0</v>
      </c>
      <c r="K973">
        <v>0</v>
      </c>
      <c r="L973" s="6">
        <f t="shared" si="117"/>
        <v>0</v>
      </c>
      <c r="M973">
        <v>38</v>
      </c>
      <c r="N973">
        <v>9</v>
      </c>
      <c r="O973" s="9">
        <v>0</v>
      </c>
      <c r="P973">
        <v>0</v>
      </c>
      <c r="Q973">
        <v>12</v>
      </c>
      <c r="R973">
        <v>0</v>
      </c>
      <c r="S973">
        <v>17</v>
      </c>
      <c r="T973">
        <v>0</v>
      </c>
      <c r="U973" s="3">
        <v>1</v>
      </c>
      <c r="V973" s="3">
        <v>1</v>
      </c>
    </row>
    <row r="974" spans="1:22" x14ac:dyDescent="0.25">
      <c r="A974" s="2">
        <v>2017</v>
      </c>
      <c r="B974" t="s">
        <v>46</v>
      </c>
      <c r="C974" t="s">
        <v>22</v>
      </c>
      <c r="D974" s="2">
        <v>68</v>
      </c>
      <c r="E974" s="2">
        <v>7923</v>
      </c>
      <c r="F974" t="s">
        <v>363</v>
      </c>
      <c r="G974">
        <v>36</v>
      </c>
      <c r="H974">
        <v>36</v>
      </c>
      <c r="I974">
        <v>0</v>
      </c>
      <c r="J974">
        <v>0</v>
      </c>
      <c r="K974">
        <v>0</v>
      </c>
      <c r="L974" s="6">
        <f t="shared" si="117"/>
        <v>1</v>
      </c>
      <c r="M974">
        <v>390</v>
      </c>
      <c r="N974">
        <v>73</v>
      </c>
      <c r="O974" s="9">
        <v>0</v>
      </c>
      <c r="P974">
        <v>0</v>
      </c>
      <c r="Q974">
        <v>204</v>
      </c>
      <c r="R974">
        <v>2</v>
      </c>
      <c r="S974">
        <v>111</v>
      </c>
      <c r="T974">
        <v>0</v>
      </c>
      <c r="U974" s="3">
        <v>0.99487179487179489</v>
      </c>
      <c r="V974" s="3">
        <v>0.99530516431924887</v>
      </c>
    </row>
    <row r="975" spans="1:22" x14ac:dyDescent="0.25">
      <c r="A975" s="2">
        <v>2017</v>
      </c>
      <c r="B975" t="s">
        <v>46</v>
      </c>
      <c r="C975" t="s">
        <v>22</v>
      </c>
      <c r="D975" s="2">
        <v>144</v>
      </c>
      <c r="E975" s="2">
        <v>4536</v>
      </c>
      <c r="F975" t="s">
        <v>364</v>
      </c>
      <c r="G975">
        <v>4</v>
      </c>
      <c r="H975">
        <v>4</v>
      </c>
      <c r="I975">
        <v>0</v>
      </c>
      <c r="J975">
        <v>0</v>
      </c>
      <c r="K975">
        <v>0</v>
      </c>
      <c r="L975" s="6">
        <f t="shared" si="117"/>
        <v>1</v>
      </c>
      <c r="M975">
        <v>132</v>
      </c>
      <c r="N975">
        <v>24</v>
      </c>
      <c r="O975" s="9">
        <v>0</v>
      </c>
      <c r="P975">
        <v>0</v>
      </c>
      <c r="Q975">
        <v>86</v>
      </c>
      <c r="R975">
        <v>0</v>
      </c>
      <c r="S975">
        <v>22</v>
      </c>
      <c r="T975">
        <v>0</v>
      </c>
      <c r="U975" s="3">
        <v>1</v>
      </c>
      <c r="V975" s="3">
        <v>1</v>
      </c>
    </row>
    <row r="976" spans="1:22" x14ac:dyDescent="0.25">
      <c r="A976" s="2">
        <v>2017</v>
      </c>
      <c r="B976" t="s">
        <v>46</v>
      </c>
      <c r="C976" t="s">
        <v>22</v>
      </c>
      <c r="D976" s="2">
        <v>70</v>
      </c>
      <c r="E976" s="2">
        <v>8358</v>
      </c>
      <c r="F976" t="s">
        <v>365</v>
      </c>
      <c r="G976">
        <v>0</v>
      </c>
      <c r="H976">
        <v>0</v>
      </c>
      <c r="I976">
        <v>0</v>
      </c>
      <c r="J976">
        <v>0</v>
      </c>
      <c r="K976">
        <v>0</v>
      </c>
      <c r="L976" s="6">
        <f t="shared" si="117"/>
        <v>0</v>
      </c>
      <c r="M976">
        <v>1</v>
      </c>
      <c r="N976">
        <v>0</v>
      </c>
      <c r="O976" s="9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 s="3">
        <v>1</v>
      </c>
      <c r="V976" s="3">
        <v>1</v>
      </c>
    </row>
    <row r="977" spans="1:22" x14ac:dyDescent="0.25">
      <c r="A977" s="2">
        <v>2017</v>
      </c>
      <c r="B977" t="s">
        <v>46</v>
      </c>
      <c r="C977" t="s">
        <v>22</v>
      </c>
      <c r="D977" s="2">
        <v>1</v>
      </c>
      <c r="E977" s="2">
        <v>6777</v>
      </c>
      <c r="F977" t="s">
        <v>34</v>
      </c>
      <c r="G977">
        <v>0</v>
      </c>
      <c r="H977">
        <v>0</v>
      </c>
      <c r="I977">
        <v>0</v>
      </c>
      <c r="J977">
        <v>0</v>
      </c>
      <c r="K977">
        <v>0</v>
      </c>
      <c r="L977" s="6">
        <f t="shared" si="117"/>
        <v>0</v>
      </c>
      <c r="M977">
        <v>1</v>
      </c>
      <c r="N977">
        <v>0</v>
      </c>
      <c r="O977" s="9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 s="3">
        <v>1</v>
      </c>
      <c r="V977" s="3">
        <v>1</v>
      </c>
    </row>
    <row r="978" spans="1:22" x14ac:dyDescent="0.25">
      <c r="A978" s="2">
        <v>2017</v>
      </c>
      <c r="B978" t="s">
        <v>46</v>
      </c>
      <c r="C978" t="s">
        <v>22</v>
      </c>
      <c r="D978" s="2">
        <v>65</v>
      </c>
      <c r="E978" s="2">
        <v>7806</v>
      </c>
      <c r="F978" t="s">
        <v>328</v>
      </c>
      <c r="G978">
        <v>26</v>
      </c>
      <c r="H978">
        <v>26</v>
      </c>
      <c r="I978">
        <v>0</v>
      </c>
      <c r="J978">
        <v>0</v>
      </c>
      <c r="K978">
        <v>0</v>
      </c>
      <c r="L978" s="6">
        <f t="shared" ref="L978:L1041" si="118">IF(G978=0,0,SUM(H978:J978)/G978)</f>
        <v>1</v>
      </c>
      <c r="M978">
        <v>428</v>
      </c>
      <c r="N978">
        <v>75</v>
      </c>
      <c r="O978" s="9">
        <v>0</v>
      </c>
      <c r="P978">
        <v>0</v>
      </c>
      <c r="Q978">
        <v>247</v>
      </c>
      <c r="R978">
        <v>0</v>
      </c>
      <c r="S978">
        <v>102</v>
      </c>
      <c r="T978">
        <v>4</v>
      </c>
      <c r="U978" s="3">
        <v>1</v>
      </c>
      <c r="V978" s="3">
        <v>1</v>
      </c>
    </row>
    <row r="979" spans="1:22" x14ac:dyDescent="0.25">
      <c r="A979" s="2">
        <v>2017</v>
      </c>
      <c r="B979" t="s">
        <v>46</v>
      </c>
      <c r="C979" t="s">
        <v>22</v>
      </c>
      <c r="D979" s="2">
        <v>27</v>
      </c>
      <c r="E979" s="2">
        <v>4492</v>
      </c>
      <c r="F979" t="s">
        <v>367</v>
      </c>
      <c r="G979">
        <v>27</v>
      </c>
      <c r="H979">
        <v>27</v>
      </c>
      <c r="I979">
        <v>0</v>
      </c>
      <c r="J979">
        <v>0</v>
      </c>
      <c r="K979">
        <v>0</v>
      </c>
      <c r="L979" s="6">
        <f t="shared" si="118"/>
        <v>1</v>
      </c>
      <c r="M979">
        <v>313</v>
      </c>
      <c r="N979">
        <v>68</v>
      </c>
      <c r="O979" s="9">
        <v>0</v>
      </c>
      <c r="P979">
        <v>0</v>
      </c>
      <c r="Q979">
        <v>137</v>
      </c>
      <c r="R979">
        <v>2</v>
      </c>
      <c r="S979">
        <v>105</v>
      </c>
      <c r="T979">
        <v>1</v>
      </c>
      <c r="U979" s="3">
        <v>0.99361022364217255</v>
      </c>
      <c r="V979" s="3">
        <v>0.99411764705882355</v>
      </c>
    </row>
    <row r="980" spans="1:22" x14ac:dyDescent="0.25">
      <c r="A980" s="2">
        <v>2017</v>
      </c>
      <c r="B980" t="s">
        <v>46</v>
      </c>
      <c r="C980" t="s">
        <v>22</v>
      </c>
      <c r="D980" s="2">
        <v>130</v>
      </c>
      <c r="E980" s="2">
        <v>5670</v>
      </c>
      <c r="F980" t="s">
        <v>491</v>
      </c>
      <c r="G980">
        <v>1</v>
      </c>
      <c r="H980">
        <v>1</v>
      </c>
      <c r="I980">
        <v>0</v>
      </c>
      <c r="J980">
        <v>0</v>
      </c>
      <c r="K980">
        <v>0</v>
      </c>
      <c r="L980" s="6">
        <f t="shared" si="118"/>
        <v>1</v>
      </c>
      <c r="M980">
        <v>100</v>
      </c>
      <c r="N980">
        <v>19</v>
      </c>
      <c r="O980" s="9">
        <v>0</v>
      </c>
      <c r="P980">
        <v>0</v>
      </c>
      <c r="Q980">
        <v>48</v>
      </c>
      <c r="R980">
        <v>0</v>
      </c>
      <c r="S980">
        <v>31</v>
      </c>
      <c r="T980">
        <v>2</v>
      </c>
      <c r="U980" s="3">
        <v>1</v>
      </c>
      <c r="V980" s="3">
        <v>1</v>
      </c>
    </row>
    <row r="981" spans="1:22" x14ac:dyDescent="0.25">
      <c r="A981" s="2">
        <v>2017</v>
      </c>
      <c r="B981" t="s">
        <v>46</v>
      </c>
      <c r="C981" t="s">
        <v>22</v>
      </c>
      <c r="D981" s="2">
        <v>143</v>
      </c>
      <c r="E981" s="2">
        <v>122604</v>
      </c>
      <c r="F981" t="s">
        <v>413</v>
      </c>
      <c r="G981">
        <v>0</v>
      </c>
      <c r="H981">
        <v>0</v>
      </c>
      <c r="I981">
        <v>0</v>
      </c>
      <c r="J981">
        <v>0</v>
      </c>
      <c r="K981">
        <v>0</v>
      </c>
      <c r="L981" s="6">
        <f t="shared" si="118"/>
        <v>0</v>
      </c>
      <c r="M981">
        <v>1</v>
      </c>
      <c r="N981">
        <v>0</v>
      </c>
      <c r="O981" s="9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 s="3">
        <v>1</v>
      </c>
      <c r="V981" s="3">
        <v>1</v>
      </c>
    </row>
    <row r="982" spans="1:22" x14ac:dyDescent="0.25">
      <c r="A982" s="2">
        <v>2017</v>
      </c>
      <c r="B982" t="s">
        <v>46</v>
      </c>
      <c r="C982" t="s">
        <v>22</v>
      </c>
      <c r="D982" s="2">
        <v>152</v>
      </c>
      <c r="E982" s="2">
        <v>222222222</v>
      </c>
      <c r="F982" t="s">
        <v>429</v>
      </c>
      <c r="G982">
        <v>3</v>
      </c>
      <c r="H982">
        <v>3</v>
      </c>
      <c r="I982">
        <v>0</v>
      </c>
      <c r="J982">
        <v>0</v>
      </c>
      <c r="K982">
        <v>0</v>
      </c>
      <c r="L982" s="6">
        <f t="shared" si="118"/>
        <v>1</v>
      </c>
      <c r="M982">
        <v>28</v>
      </c>
      <c r="N982">
        <v>6</v>
      </c>
      <c r="O982" s="9">
        <v>0</v>
      </c>
      <c r="P982">
        <v>0</v>
      </c>
      <c r="Q982">
        <v>16</v>
      </c>
      <c r="R982">
        <v>0</v>
      </c>
      <c r="S982">
        <v>4</v>
      </c>
      <c r="T982">
        <v>2</v>
      </c>
      <c r="U982" s="3">
        <v>1</v>
      </c>
      <c r="V982" s="3">
        <v>1</v>
      </c>
    </row>
    <row r="983" spans="1:22" x14ac:dyDescent="0.25">
      <c r="A983" s="2">
        <v>2017</v>
      </c>
      <c r="B983" t="s">
        <v>46</v>
      </c>
      <c r="C983" t="s">
        <v>22</v>
      </c>
      <c r="D983" s="2">
        <v>156</v>
      </c>
      <c r="E983" s="2">
        <v>222222222</v>
      </c>
      <c r="F983" t="s">
        <v>438</v>
      </c>
      <c r="G983">
        <v>8</v>
      </c>
      <c r="H983">
        <v>8</v>
      </c>
      <c r="I983">
        <v>0</v>
      </c>
      <c r="J983">
        <v>0</v>
      </c>
      <c r="K983">
        <v>0</v>
      </c>
      <c r="L983" s="6">
        <f t="shared" si="118"/>
        <v>1</v>
      </c>
      <c r="M983">
        <v>113</v>
      </c>
      <c r="N983">
        <v>23</v>
      </c>
      <c r="O983" s="9">
        <v>0</v>
      </c>
      <c r="P983">
        <v>0</v>
      </c>
      <c r="Q983">
        <v>60</v>
      </c>
      <c r="R983">
        <v>0</v>
      </c>
      <c r="S983">
        <v>29</v>
      </c>
      <c r="T983">
        <v>1</v>
      </c>
      <c r="U983" s="3">
        <v>1</v>
      </c>
      <c r="V983" s="3">
        <v>1</v>
      </c>
    </row>
    <row r="984" spans="1:22" x14ac:dyDescent="0.25">
      <c r="A984" s="2">
        <v>2017</v>
      </c>
      <c r="B984" t="s">
        <v>46</v>
      </c>
      <c r="C984" t="s">
        <v>22</v>
      </c>
      <c r="D984" s="2">
        <v>25</v>
      </c>
      <c r="E984" s="2">
        <v>4357</v>
      </c>
      <c r="F984" t="s">
        <v>369</v>
      </c>
      <c r="G984">
        <v>30</v>
      </c>
      <c r="H984">
        <v>30</v>
      </c>
      <c r="I984">
        <v>0</v>
      </c>
      <c r="J984">
        <v>0</v>
      </c>
      <c r="K984">
        <v>0</v>
      </c>
      <c r="L984" s="6">
        <f t="shared" si="118"/>
        <v>1</v>
      </c>
      <c r="M984">
        <v>391</v>
      </c>
      <c r="N984">
        <v>95</v>
      </c>
      <c r="O984" s="9">
        <v>0</v>
      </c>
      <c r="P984">
        <v>0</v>
      </c>
      <c r="Q984">
        <v>154</v>
      </c>
      <c r="R984">
        <v>9</v>
      </c>
      <c r="S984">
        <v>133</v>
      </c>
      <c r="T984">
        <v>0</v>
      </c>
      <c r="U984" s="3">
        <v>0.97698209718670082</v>
      </c>
      <c r="V984" s="3">
        <v>0.97862232779097391</v>
      </c>
    </row>
    <row r="985" spans="1:22" x14ac:dyDescent="0.25">
      <c r="A985" s="2">
        <v>2017</v>
      </c>
      <c r="B985" t="s">
        <v>46</v>
      </c>
      <c r="C985" t="s">
        <v>22</v>
      </c>
      <c r="D985" s="2">
        <v>184</v>
      </c>
      <c r="E985" s="2">
        <v>120870</v>
      </c>
      <c r="F985" t="s">
        <v>371</v>
      </c>
      <c r="G985">
        <v>5</v>
      </c>
      <c r="H985">
        <v>5</v>
      </c>
      <c r="I985">
        <v>0</v>
      </c>
      <c r="J985">
        <v>0</v>
      </c>
      <c r="K985">
        <v>0</v>
      </c>
      <c r="L985" s="6">
        <f t="shared" si="118"/>
        <v>1</v>
      </c>
      <c r="M985">
        <v>279</v>
      </c>
      <c r="N985">
        <v>58</v>
      </c>
      <c r="O985" s="9">
        <v>0</v>
      </c>
      <c r="P985">
        <v>0</v>
      </c>
      <c r="Q985">
        <v>121</v>
      </c>
      <c r="R985">
        <v>0</v>
      </c>
      <c r="S985">
        <v>97</v>
      </c>
      <c r="T985">
        <v>3</v>
      </c>
      <c r="U985" s="3">
        <v>1</v>
      </c>
      <c r="V985" s="3">
        <v>1</v>
      </c>
    </row>
    <row r="986" spans="1:22" x14ac:dyDescent="0.25">
      <c r="A986" s="2">
        <v>2017</v>
      </c>
      <c r="B986" t="s">
        <v>46</v>
      </c>
      <c r="C986" t="s">
        <v>22</v>
      </c>
      <c r="D986" s="2">
        <v>48</v>
      </c>
      <c r="E986" s="2">
        <v>7383</v>
      </c>
      <c r="F986" t="s">
        <v>419</v>
      </c>
      <c r="G986">
        <v>0</v>
      </c>
      <c r="H986">
        <v>0</v>
      </c>
      <c r="I986">
        <v>0</v>
      </c>
      <c r="J986">
        <v>0</v>
      </c>
      <c r="K986">
        <v>0</v>
      </c>
      <c r="L986" s="6">
        <f t="shared" si="118"/>
        <v>0</v>
      </c>
      <c r="M986">
        <v>1</v>
      </c>
      <c r="N986">
        <v>0</v>
      </c>
      <c r="O986" s="9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 s="3">
        <v>1</v>
      </c>
      <c r="V986" s="3">
        <v>1</v>
      </c>
    </row>
    <row r="987" spans="1:22" x14ac:dyDescent="0.25">
      <c r="A987" s="2">
        <v>2017</v>
      </c>
      <c r="B987" t="s">
        <v>46</v>
      </c>
      <c r="C987" t="s">
        <v>22</v>
      </c>
      <c r="D987" s="2">
        <v>162</v>
      </c>
      <c r="E987" s="2">
        <v>124131</v>
      </c>
      <c r="F987" t="s">
        <v>439</v>
      </c>
      <c r="G987">
        <v>0</v>
      </c>
      <c r="H987">
        <v>0</v>
      </c>
      <c r="I987">
        <v>0</v>
      </c>
      <c r="J987">
        <v>0</v>
      </c>
      <c r="K987">
        <v>0</v>
      </c>
      <c r="L987" s="6">
        <f t="shared" si="118"/>
        <v>0</v>
      </c>
      <c r="M987">
        <v>32</v>
      </c>
      <c r="N987">
        <v>8</v>
      </c>
      <c r="O987" s="9">
        <v>0</v>
      </c>
      <c r="P987">
        <v>0</v>
      </c>
      <c r="Q987">
        <v>16</v>
      </c>
      <c r="R987">
        <v>0</v>
      </c>
      <c r="S987">
        <v>8</v>
      </c>
      <c r="T987">
        <v>0</v>
      </c>
      <c r="U987" s="3">
        <v>1</v>
      </c>
      <c r="V987" s="3">
        <v>1</v>
      </c>
    </row>
    <row r="988" spans="1:22" x14ac:dyDescent="0.25">
      <c r="A988" s="2">
        <v>2017</v>
      </c>
      <c r="B988" t="s">
        <v>46</v>
      </c>
      <c r="C988" t="s">
        <v>22</v>
      </c>
      <c r="D988" s="2">
        <v>149</v>
      </c>
      <c r="E988" s="2">
        <v>119467</v>
      </c>
      <c r="F988" t="s">
        <v>345</v>
      </c>
      <c r="G988">
        <v>1</v>
      </c>
      <c r="H988">
        <v>1</v>
      </c>
      <c r="I988">
        <v>0</v>
      </c>
      <c r="J988">
        <v>0</v>
      </c>
      <c r="K988">
        <v>0</v>
      </c>
      <c r="L988" s="6">
        <f t="shared" si="118"/>
        <v>1</v>
      </c>
      <c r="M988">
        <v>2</v>
      </c>
      <c r="N988">
        <v>0</v>
      </c>
      <c r="O988" s="9">
        <v>0</v>
      </c>
      <c r="P988">
        <v>0</v>
      </c>
      <c r="Q988">
        <v>2</v>
      </c>
      <c r="R988">
        <v>0</v>
      </c>
      <c r="S988">
        <v>0</v>
      </c>
      <c r="T988">
        <v>0</v>
      </c>
      <c r="U988" s="3">
        <v>1</v>
      </c>
      <c r="V988" s="3">
        <v>1</v>
      </c>
    </row>
    <row r="989" spans="1:22" x14ac:dyDescent="0.25">
      <c r="A989" s="2">
        <v>2017</v>
      </c>
      <c r="B989" t="s">
        <v>46</v>
      </c>
      <c r="C989" t="s">
        <v>22</v>
      </c>
      <c r="D989" s="2">
        <v>74</v>
      </c>
      <c r="E989" s="2">
        <v>8687</v>
      </c>
      <c r="F989" t="s">
        <v>346</v>
      </c>
      <c r="G989">
        <v>0</v>
      </c>
      <c r="H989">
        <v>0</v>
      </c>
      <c r="I989">
        <v>0</v>
      </c>
      <c r="J989">
        <v>0</v>
      </c>
      <c r="K989">
        <v>0</v>
      </c>
      <c r="L989" s="6">
        <f t="shared" si="118"/>
        <v>0</v>
      </c>
      <c r="M989">
        <v>1</v>
      </c>
      <c r="N989">
        <v>0</v>
      </c>
      <c r="O989" s="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 s="3">
        <v>1</v>
      </c>
      <c r="V989" s="3">
        <v>1</v>
      </c>
    </row>
    <row r="990" spans="1:22" x14ac:dyDescent="0.25">
      <c r="A990" s="2">
        <v>2017</v>
      </c>
      <c r="B990" t="s">
        <v>46</v>
      </c>
      <c r="C990" t="s">
        <v>22</v>
      </c>
      <c r="D990" s="2">
        <v>129</v>
      </c>
      <c r="E990" s="2">
        <v>5246</v>
      </c>
      <c r="F990" t="s">
        <v>347</v>
      </c>
      <c r="G990">
        <v>3</v>
      </c>
      <c r="H990">
        <v>3</v>
      </c>
      <c r="I990">
        <v>0</v>
      </c>
      <c r="J990">
        <v>0</v>
      </c>
      <c r="K990">
        <v>0</v>
      </c>
      <c r="L990" s="6">
        <f t="shared" si="118"/>
        <v>1</v>
      </c>
      <c r="M990">
        <v>71</v>
      </c>
      <c r="N990">
        <v>13</v>
      </c>
      <c r="O990" s="9">
        <v>0</v>
      </c>
      <c r="P990">
        <v>0</v>
      </c>
      <c r="Q990">
        <v>20</v>
      </c>
      <c r="R990">
        <v>0</v>
      </c>
      <c r="S990">
        <v>38</v>
      </c>
      <c r="T990">
        <v>0</v>
      </c>
      <c r="U990" s="3">
        <v>1</v>
      </c>
      <c r="V990" s="3">
        <v>1</v>
      </c>
    </row>
    <row r="991" spans="1:22" x14ac:dyDescent="0.25">
      <c r="A991" s="2">
        <v>2017</v>
      </c>
      <c r="B991" t="s">
        <v>46</v>
      </c>
      <c r="C991" t="s">
        <v>22</v>
      </c>
      <c r="D991" s="2">
        <v>142</v>
      </c>
      <c r="E991" s="2">
        <v>122502</v>
      </c>
      <c r="F991" t="s">
        <v>372</v>
      </c>
      <c r="G991">
        <v>19</v>
      </c>
      <c r="H991">
        <v>19</v>
      </c>
      <c r="I991">
        <v>0</v>
      </c>
      <c r="J991">
        <v>0</v>
      </c>
      <c r="K991">
        <v>0</v>
      </c>
      <c r="L991" s="6">
        <f t="shared" si="118"/>
        <v>1</v>
      </c>
      <c r="M991">
        <v>266</v>
      </c>
      <c r="N991">
        <v>61</v>
      </c>
      <c r="O991" s="9">
        <v>0</v>
      </c>
      <c r="P991">
        <v>0</v>
      </c>
      <c r="Q991">
        <v>127</v>
      </c>
      <c r="R991">
        <v>0</v>
      </c>
      <c r="S991">
        <v>77</v>
      </c>
      <c r="T991">
        <v>1</v>
      </c>
      <c r="U991" s="3">
        <v>1</v>
      </c>
      <c r="V991" s="3">
        <v>1</v>
      </c>
    </row>
    <row r="992" spans="1:22" x14ac:dyDescent="0.25">
      <c r="A992" s="2">
        <v>2017</v>
      </c>
      <c r="B992" t="s">
        <v>46</v>
      </c>
      <c r="C992" t="s">
        <v>20</v>
      </c>
      <c r="D992" s="2">
        <v>578</v>
      </c>
      <c r="E992" s="2">
        <v>122349</v>
      </c>
      <c r="F992" t="s">
        <v>43</v>
      </c>
      <c r="G992">
        <v>11</v>
      </c>
      <c r="H992">
        <v>11</v>
      </c>
      <c r="I992">
        <v>0</v>
      </c>
      <c r="J992">
        <v>0</v>
      </c>
      <c r="K992">
        <v>0</v>
      </c>
      <c r="L992" s="6">
        <f t="shared" si="118"/>
        <v>1</v>
      </c>
      <c r="M992">
        <v>196</v>
      </c>
      <c r="N992">
        <v>23</v>
      </c>
      <c r="O992" s="9">
        <v>0</v>
      </c>
      <c r="P992">
        <v>0</v>
      </c>
      <c r="Q992">
        <v>122</v>
      </c>
      <c r="R992">
        <v>0</v>
      </c>
      <c r="S992">
        <v>51</v>
      </c>
      <c r="T992">
        <v>0</v>
      </c>
      <c r="U992" s="3">
        <v>1</v>
      </c>
      <c r="V992" s="3">
        <v>1</v>
      </c>
    </row>
    <row r="993" spans="1:22" x14ac:dyDescent="0.25">
      <c r="A993" s="2">
        <v>2017</v>
      </c>
      <c r="B993" t="s">
        <v>46</v>
      </c>
      <c r="C993" t="s">
        <v>20</v>
      </c>
      <c r="D993" s="2">
        <v>772</v>
      </c>
      <c r="E993" s="2">
        <v>5384</v>
      </c>
      <c r="F993" t="s">
        <v>331</v>
      </c>
      <c r="G993">
        <v>4</v>
      </c>
      <c r="H993">
        <v>4</v>
      </c>
      <c r="I993">
        <v>0</v>
      </c>
      <c r="J993">
        <v>0</v>
      </c>
      <c r="K993">
        <v>0</v>
      </c>
      <c r="L993" s="6">
        <f t="shared" si="118"/>
        <v>1</v>
      </c>
      <c r="M993">
        <v>20</v>
      </c>
      <c r="N993">
        <v>1</v>
      </c>
      <c r="O993" s="9">
        <v>0</v>
      </c>
      <c r="P993">
        <v>0</v>
      </c>
      <c r="Q993">
        <v>10</v>
      </c>
      <c r="R993">
        <v>0</v>
      </c>
      <c r="S993">
        <v>9</v>
      </c>
      <c r="T993">
        <v>0</v>
      </c>
      <c r="U993" s="3">
        <v>1</v>
      </c>
      <c r="V993" s="3">
        <v>1</v>
      </c>
    </row>
    <row r="994" spans="1:22" x14ac:dyDescent="0.25">
      <c r="A994" s="2">
        <v>2017</v>
      </c>
      <c r="B994" t="s">
        <v>46</v>
      </c>
      <c r="C994" t="s">
        <v>20</v>
      </c>
      <c r="D994" s="2">
        <v>605</v>
      </c>
      <c r="E994" s="2">
        <v>7198</v>
      </c>
      <c r="F994" t="s">
        <v>440</v>
      </c>
      <c r="G994">
        <v>0</v>
      </c>
      <c r="H994">
        <v>0</v>
      </c>
      <c r="I994">
        <v>0</v>
      </c>
      <c r="J994">
        <v>0</v>
      </c>
      <c r="K994">
        <v>0</v>
      </c>
      <c r="L994" s="6">
        <f t="shared" si="118"/>
        <v>0</v>
      </c>
      <c r="M994">
        <v>5</v>
      </c>
      <c r="N994">
        <v>1</v>
      </c>
      <c r="O994" s="9">
        <v>0</v>
      </c>
      <c r="P994">
        <v>0</v>
      </c>
      <c r="Q994">
        <v>2</v>
      </c>
      <c r="R994">
        <v>0</v>
      </c>
      <c r="S994">
        <v>2</v>
      </c>
      <c r="T994">
        <v>0</v>
      </c>
      <c r="U994" s="3">
        <v>1</v>
      </c>
      <c r="V994" s="3">
        <v>1</v>
      </c>
    </row>
    <row r="995" spans="1:22" x14ac:dyDescent="0.25">
      <c r="A995" s="2">
        <v>2017</v>
      </c>
      <c r="B995" t="s">
        <v>46</v>
      </c>
      <c r="C995" t="s">
        <v>20</v>
      </c>
      <c r="D995" s="2">
        <v>590</v>
      </c>
      <c r="E995" s="2">
        <v>122682</v>
      </c>
      <c r="F995" t="s">
        <v>334</v>
      </c>
      <c r="G995">
        <v>11</v>
      </c>
      <c r="H995">
        <v>11</v>
      </c>
      <c r="I995">
        <v>0</v>
      </c>
      <c r="J995">
        <v>0</v>
      </c>
      <c r="K995">
        <v>0</v>
      </c>
      <c r="L995" s="6">
        <f t="shared" si="118"/>
        <v>1</v>
      </c>
      <c r="M995">
        <v>130</v>
      </c>
      <c r="N995">
        <v>17</v>
      </c>
      <c r="O995" s="9">
        <v>0</v>
      </c>
      <c r="P995">
        <v>0</v>
      </c>
      <c r="Q995">
        <v>60</v>
      </c>
      <c r="R995">
        <v>0</v>
      </c>
      <c r="S995">
        <v>53</v>
      </c>
      <c r="T995">
        <v>0</v>
      </c>
      <c r="U995" s="3">
        <v>1</v>
      </c>
      <c r="V995" s="3">
        <v>1</v>
      </c>
    </row>
    <row r="996" spans="1:22" x14ac:dyDescent="0.25">
      <c r="A996" s="2">
        <v>2017</v>
      </c>
      <c r="B996" t="s">
        <v>46</v>
      </c>
      <c r="C996" t="s">
        <v>20</v>
      </c>
      <c r="D996" s="2">
        <v>586</v>
      </c>
      <c r="E996" s="2">
        <v>122754</v>
      </c>
      <c r="F996" t="s">
        <v>335</v>
      </c>
      <c r="G996">
        <v>22</v>
      </c>
      <c r="H996">
        <v>22</v>
      </c>
      <c r="I996">
        <v>0</v>
      </c>
      <c r="J996">
        <v>0</v>
      </c>
      <c r="K996">
        <v>0</v>
      </c>
      <c r="L996" s="6">
        <f t="shared" si="118"/>
        <v>1</v>
      </c>
      <c r="M996">
        <v>168</v>
      </c>
      <c r="N996">
        <v>13</v>
      </c>
      <c r="O996" s="9">
        <v>0</v>
      </c>
      <c r="P996">
        <v>0</v>
      </c>
      <c r="Q996">
        <v>85</v>
      </c>
      <c r="R996">
        <v>0</v>
      </c>
      <c r="S996">
        <v>69</v>
      </c>
      <c r="T996">
        <v>1</v>
      </c>
      <c r="U996" s="3">
        <v>1</v>
      </c>
      <c r="V996" s="3">
        <v>1</v>
      </c>
    </row>
    <row r="997" spans="1:22" x14ac:dyDescent="0.25">
      <c r="A997" s="2">
        <v>2017</v>
      </c>
      <c r="B997" t="s">
        <v>46</v>
      </c>
      <c r="C997" t="s">
        <v>20</v>
      </c>
      <c r="D997" s="2">
        <v>530</v>
      </c>
      <c r="E997" s="2">
        <v>10559</v>
      </c>
      <c r="F997" t="s">
        <v>32</v>
      </c>
      <c r="G997">
        <v>9</v>
      </c>
      <c r="H997">
        <v>9</v>
      </c>
      <c r="I997">
        <v>0</v>
      </c>
      <c r="J997">
        <v>0</v>
      </c>
      <c r="K997">
        <v>0</v>
      </c>
      <c r="L997" s="6">
        <f t="shared" si="118"/>
        <v>1</v>
      </c>
      <c r="M997">
        <v>331</v>
      </c>
      <c r="N997">
        <v>36</v>
      </c>
      <c r="O997" s="9">
        <v>0</v>
      </c>
      <c r="P997">
        <v>1</v>
      </c>
      <c r="Q997">
        <v>191</v>
      </c>
      <c r="R997">
        <v>2</v>
      </c>
      <c r="S997">
        <v>98</v>
      </c>
      <c r="T997">
        <v>3</v>
      </c>
      <c r="U997" s="3">
        <v>0.99093655589123864</v>
      </c>
      <c r="V997" s="3">
        <v>0.99117647058823533</v>
      </c>
    </row>
    <row r="998" spans="1:22" x14ac:dyDescent="0.25">
      <c r="A998" s="2">
        <v>2017</v>
      </c>
      <c r="B998" t="s">
        <v>46</v>
      </c>
      <c r="C998" t="s">
        <v>20</v>
      </c>
      <c r="D998" s="2">
        <v>527</v>
      </c>
      <c r="E998" s="2">
        <v>9715</v>
      </c>
      <c r="F998" t="s">
        <v>337</v>
      </c>
      <c r="G998">
        <v>66</v>
      </c>
      <c r="H998">
        <v>66</v>
      </c>
      <c r="I998">
        <v>0</v>
      </c>
      <c r="J998">
        <v>0</v>
      </c>
      <c r="K998">
        <v>0</v>
      </c>
      <c r="L998" s="6">
        <f t="shared" si="118"/>
        <v>1</v>
      </c>
      <c r="M998">
        <v>518</v>
      </c>
      <c r="N998">
        <v>49</v>
      </c>
      <c r="O998" s="9">
        <v>0</v>
      </c>
      <c r="P998">
        <v>0</v>
      </c>
      <c r="Q998">
        <v>248</v>
      </c>
      <c r="R998">
        <v>0</v>
      </c>
      <c r="S998">
        <v>221</v>
      </c>
      <c r="T998">
        <v>0</v>
      </c>
      <c r="U998" s="3">
        <v>1</v>
      </c>
      <c r="V998" s="3">
        <v>1</v>
      </c>
    </row>
    <row r="999" spans="1:22" x14ac:dyDescent="0.25">
      <c r="A999" s="2">
        <v>2017</v>
      </c>
      <c r="B999" t="s">
        <v>46</v>
      </c>
      <c r="C999" t="s">
        <v>20</v>
      </c>
      <c r="D999" s="2">
        <v>548</v>
      </c>
      <c r="E999" s="2">
        <v>10618</v>
      </c>
      <c r="F999" t="s">
        <v>338</v>
      </c>
      <c r="G999">
        <v>1</v>
      </c>
      <c r="H999">
        <v>1</v>
      </c>
      <c r="I999">
        <v>0</v>
      </c>
      <c r="J999">
        <v>0</v>
      </c>
      <c r="K999">
        <v>0</v>
      </c>
      <c r="L999" s="6">
        <f t="shared" si="118"/>
        <v>1</v>
      </c>
      <c r="M999">
        <v>21</v>
      </c>
      <c r="N999">
        <v>2</v>
      </c>
      <c r="O999" s="9">
        <v>0</v>
      </c>
      <c r="P999">
        <v>0</v>
      </c>
      <c r="Q999">
        <v>15</v>
      </c>
      <c r="R999">
        <v>0</v>
      </c>
      <c r="S999">
        <v>4</v>
      </c>
      <c r="T999">
        <v>0</v>
      </c>
      <c r="U999" s="3">
        <v>1</v>
      </c>
      <c r="V999" s="3">
        <v>1</v>
      </c>
    </row>
    <row r="1000" spans="1:22" x14ac:dyDescent="0.25">
      <c r="A1000" s="2">
        <v>2017</v>
      </c>
      <c r="B1000" t="s">
        <v>46</v>
      </c>
      <c r="C1000" t="s">
        <v>20</v>
      </c>
      <c r="D1000" s="2">
        <v>587</v>
      </c>
      <c r="E1000" s="2">
        <v>5597</v>
      </c>
      <c r="F1000" t="s">
        <v>33</v>
      </c>
      <c r="G1000">
        <v>11</v>
      </c>
      <c r="H1000">
        <v>11</v>
      </c>
      <c r="I1000">
        <v>0</v>
      </c>
      <c r="J1000">
        <v>0</v>
      </c>
      <c r="K1000">
        <v>0</v>
      </c>
      <c r="L1000" s="6">
        <f t="shared" si="118"/>
        <v>1</v>
      </c>
      <c r="M1000">
        <v>116</v>
      </c>
      <c r="N1000">
        <v>16</v>
      </c>
      <c r="O1000" s="9">
        <v>0</v>
      </c>
      <c r="P1000">
        <v>0</v>
      </c>
      <c r="Q1000">
        <v>59</v>
      </c>
      <c r="R1000">
        <v>0</v>
      </c>
      <c r="S1000">
        <v>40</v>
      </c>
      <c r="T1000">
        <v>1</v>
      </c>
      <c r="U1000" s="3">
        <v>1</v>
      </c>
      <c r="V1000" s="3">
        <v>1</v>
      </c>
    </row>
    <row r="1001" spans="1:22" x14ac:dyDescent="0.25">
      <c r="A1001" s="2">
        <v>2017</v>
      </c>
      <c r="B1001" t="s">
        <v>46</v>
      </c>
      <c r="C1001" t="s">
        <v>20</v>
      </c>
      <c r="D1001" s="2">
        <v>455</v>
      </c>
      <c r="E1001" s="2">
        <v>7401</v>
      </c>
      <c r="F1001" t="s">
        <v>36</v>
      </c>
      <c r="G1001">
        <v>12</v>
      </c>
      <c r="H1001">
        <v>12</v>
      </c>
      <c r="I1001">
        <v>0</v>
      </c>
      <c r="J1001">
        <v>0</v>
      </c>
      <c r="K1001">
        <v>0</v>
      </c>
      <c r="L1001" s="6">
        <f t="shared" si="118"/>
        <v>1</v>
      </c>
      <c r="M1001">
        <v>90</v>
      </c>
      <c r="N1001">
        <v>3</v>
      </c>
      <c r="O1001" s="9">
        <v>0</v>
      </c>
      <c r="P1001">
        <v>0</v>
      </c>
      <c r="Q1001">
        <v>46</v>
      </c>
      <c r="R1001">
        <v>0</v>
      </c>
      <c r="S1001">
        <v>41</v>
      </c>
      <c r="T1001">
        <v>0</v>
      </c>
      <c r="U1001" s="3">
        <v>1</v>
      </c>
      <c r="V1001" s="3">
        <v>1</v>
      </c>
    </row>
    <row r="1002" spans="1:22" x14ac:dyDescent="0.25">
      <c r="A1002" s="2">
        <v>2017</v>
      </c>
      <c r="B1002" t="s">
        <v>46</v>
      </c>
      <c r="C1002" t="s">
        <v>20</v>
      </c>
      <c r="D1002" s="2">
        <v>356</v>
      </c>
      <c r="E1002" s="2">
        <v>1674</v>
      </c>
      <c r="F1002" t="s">
        <v>340</v>
      </c>
      <c r="G1002">
        <v>7</v>
      </c>
      <c r="H1002">
        <v>7</v>
      </c>
      <c r="I1002">
        <v>0</v>
      </c>
      <c r="J1002">
        <v>0</v>
      </c>
      <c r="K1002">
        <v>0</v>
      </c>
      <c r="L1002" s="6">
        <f t="shared" si="118"/>
        <v>1</v>
      </c>
      <c r="M1002">
        <v>142</v>
      </c>
      <c r="N1002">
        <v>14</v>
      </c>
      <c r="O1002" s="9">
        <v>0</v>
      </c>
      <c r="P1002">
        <v>0</v>
      </c>
      <c r="Q1002">
        <v>80</v>
      </c>
      <c r="R1002">
        <v>0</v>
      </c>
      <c r="S1002">
        <v>48</v>
      </c>
      <c r="T1002">
        <v>0</v>
      </c>
      <c r="U1002" s="3">
        <v>1</v>
      </c>
      <c r="V1002" s="3">
        <v>1</v>
      </c>
    </row>
    <row r="1003" spans="1:22" x14ac:dyDescent="0.25">
      <c r="A1003" s="2">
        <v>2017</v>
      </c>
      <c r="B1003" t="s">
        <v>46</v>
      </c>
      <c r="C1003" t="s">
        <v>20</v>
      </c>
      <c r="D1003" s="2">
        <v>842</v>
      </c>
      <c r="E1003" s="2">
        <v>5618</v>
      </c>
      <c r="F1003" t="s">
        <v>37</v>
      </c>
      <c r="G1003">
        <v>3</v>
      </c>
      <c r="H1003">
        <v>3</v>
      </c>
      <c r="I1003">
        <v>0</v>
      </c>
      <c r="J1003">
        <v>0</v>
      </c>
      <c r="K1003">
        <v>0</v>
      </c>
      <c r="L1003" s="6">
        <f t="shared" si="118"/>
        <v>1</v>
      </c>
      <c r="M1003">
        <v>140</v>
      </c>
      <c r="N1003">
        <v>17</v>
      </c>
      <c r="O1003" s="9">
        <v>0</v>
      </c>
      <c r="P1003">
        <v>0</v>
      </c>
      <c r="Q1003">
        <v>67</v>
      </c>
      <c r="R1003">
        <v>0</v>
      </c>
      <c r="S1003">
        <v>56</v>
      </c>
      <c r="T1003">
        <v>0</v>
      </c>
      <c r="U1003" s="3">
        <v>1</v>
      </c>
      <c r="V1003" s="3">
        <v>1</v>
      </c>
    </row>
    <row r="1004" spans="1:22" x14ac:dyDescent="0.25">
      <c r="A1004" s="2">
        <v>2017</v>
      </c>
      <c r="B1004" t="s">
        <v>46</v>
      </c>
      <c r="C1004" t="s">
        <v>20</v>
      </c>
      <c r="D1004" s="2">
        <v>600</v>
      </c>
      <c r="E1004" s="2">
        <v>222222222</v>
      </c>
      <c r="F1004" t="s">
        <v>435</v>
      </c>
      <c r="G1004">
        <v>6</v>
      </c>
      <c r="H1004">
        <v>6</v>
      </c>
      <c r="I1004">
        <v>0</v>
      </c>
      <c r="J1004">
        <v>0</v>
      </c>
      <c r="K1004">
        <v>0</v>
      </c>
      <c r="L1004" s="6">
        <f t="shared" si="118"/>
        <v>1</v>
      </c>
      <c r="M1004">
        <v>119</v>
      </c>
      <c r="N1004">
        <v>13</v>
      </c>
      <c r="O1004" s="9">
        <v>0</v>
      </c>
      <c r="P1004">
        <v>0</v>
      </c>
      <c r="Q1004">
        <v>72</v>
      </c>
      <c r="R1004">
        <v>0</v>
      </c>
      <c r="S1004">
        <v>34</v>
      </c>
      <c r="T1004">
        <v>0</v>
      </c>
      <c r="U1004" s="3">
        <v>1</v>
      </c>
      <c r="V1004" s="3">
        <v>1</v>
      </c>
    </row>
    <row r="1005" spans="1:22" x14ac:dyDescent="0.25">
      <c r="A1005" s="2">
        <v>2017</v>
      </c>
      <c r="B1005" t="s">
        <v>46</v>
      </c>
      <c r="C1005" t="s">
        <v>20</v>
      </c>
      <c r="D1005" s="2">
        <v>543</v>
      </c>
      <c r="E1005" s="2">
        <v>10917</v>
      </c>
      <c r="F1005" t="s">
        <v>341</v>
      </c>
      <c r="G1005">
        <v>10</v>
      </c>
      <c r="H1005">
        <v>10</v>
      </c>
      <c r="I1005">
        <v>0</v>
      </c>
      <c r="J1005">
        <v>0</v>
      </c>
      <c r="K1005">
        <v>0</v>
      </c>
      <c r="L1005" s="6">
        <f t="shared" si="118"/>
        <v>1</v>
      </c>
      <c r="M1005">
        <v>75</v>
      </c>
      <c r="N1005">
        <v>10</v>
      </c>
      <c r="O1005" s="9">
        <v>0</v>
      </c>
      <c r="P1005">
        <v>0</v>
      </c>
      <c r="Q1005">
        <v>25</v>
      </c>
      <c r="R1005">
        <v>1</v>
      </c>
      <c r="S1005">
        <v>39</v>
      </c>
      <c r="T1005">
        <v>0</v>
      </c>
      <c r="U1005" s="3">
        <v>0.98666666666666669</v>
      </c>
      <c r="V1005" s="3">
        <v>0.9882352941176471</v>
      </c>
    </row>
    <row r="1006" spans="1:22" x14ac:dyDescent="0.25">
      <c r="A1006" s="2">
        <v>2017</v>
      </c>
      <c r="B1006" t="s">
        <v>46</v>
      </c>
      <c r="C1006" t="s">
        <v>20</v>
      </c>
      <c r="D1006" s="2">
        <v>565</v>
      </c>
      <c r="E1006" s="2">
        <v>9507</v>
      </c>
      <c r="F1006" t="s">
        <v>432</v>
      </c>
      <c r="G1006">
        <v>1</v>
      </c>
      <c r="H1006">
        <v>1</v>
      </c>
      <c r="I1006">
        <v>0</v>
      </c>
      <c r="J1006">
        <v>0</v>
      </c>
      <c r="K1006">
        <v>0</v>
      </c>
      <c r="L1006" s="6">
        <f t="shared" si="118"/>
        <v>1</v>
      </c>
      <c r="M1006">
        <v>64</v>
      </c>
      <c r="N1006">
        <v>8</v>
      </c>
      <c r="O1006" s="9">
        <v>0</v>
      </c>
      <c r="P1006">
        <v>0</v>
      </c>
      <c r="Q1006">
        <v>39</v>
      </c>
      <c r="R1006">
        <v>0</v>
      </c>
      <c r="S1006">
        <v>16</v>
      </c>
      <c r="T1006">
        <v>1</v>
      </c>
      <c r="U1006" s="3">
        <v>1</v>
      </c>
      <c r="V1006" s="3">
        <v>1</v>
      </c>
    </row>
    <row r="1007" spans="1:22" x14ac:dyDescent="0.25">
      <c r="A1007" s="2">
        <v>2017</v>
      </c>
      <c r="B1007" t="s">
        <v>46</v>
      </c>
      <c r="C1007" t="s">
        <v>20</v>
      </c>
      <c r="D1007" s="2">
        <v>576</v>
      </c>
      <c r="E1007" s="2">
        <v>122114</v>
      </c>
      <c r="F1007" t="s">
        <v>342</v>
      </c>
      <c r="G1007">
        <v>9</v>
      </c>
      <c r="H1007">
        <v>9</v>
      </c>
      <c r="I1007">
        <v>0</v>
      </c>
      <c r="J1007">
        <v>0</v>
      </c>
      <c r="K1007">
        <v>0</v>
      </c>
      <c r="L1007" s="6">
        <f t="shared" si="118"/>
        <v>1</v>
      </c>
      <c r="M1007">
        <v>136</v>
      </c>
      <c r="N1007">
        <v>14</v>
      </c>
      <c r="O1007" s="9">
        <v>0</v>
      </c>
      <c r="P1007">
        <v>0</v>
      </c>
      <c r="Q1007">
        <v>64</v>
      </c>
      <c r="R1007">
        <v>0</v>
      </c>
      <c r="S1007">
        <v>57</v>
      </c>
      <c r="T1007">
        <v>1</v>
      </c>
      <c r="U1007" s="3">
        <v>1</v>
      </c>
      <c r="V1007" s="3">
        <v>1</v>
      </c>
    </row>
    <row r="1008" spans="1:22" x14ac:dyDescent="0.25">
      <c r="A1008" s="2">
        <v>2017</v>
      </c>
      <c r="B1008" t="s">
        <v>46</v>
      </c>
      <c r="C1008" t="s">
        <v>20</v>
      </c>
      <c r="D1008" s="2">
        <v>525</v>
      </c>
      <c r="E1008" s="2">
        <v>10340</v>
      </c>
      <c r="F1008" t="s">
        <v>343</v>
      </c>
      <c r="G1008">
        <v>38</v>
      </c>
      <c r="H1008">
        <v>38</v>
      </c>
      <c r="I1008">
        <v>0</v>
      </c>
      <c r="J1008">
        <v>0</v>
      </c>
      <c r="K1008">
        <v>0</v>
      </c>
      <c r="L1008" s="6">
        <f t="shared" si="118"/>
        <v>1</v>
      </c>
      <c r="M1008">
        <v>344</v>
      </c>
      <c r="N1008">
        <v>25</v>
      </c>
      <c r="O1008" s="9">
        <v>0</v>
      </c>
      <c r="P1008">
        <v>3</v>
      </c>
      <c r="Q1008">
        <v>155</v>
      </c>
      <c r="R1008">
        <v>1</v>
      </c>
      <c r="S1008">
        <v>160</v>
      </c>
      <c r="T1008">
        <v>0</v>
      </c>
      <c r="U1008" s="3">
        <v>0.98837209302325579</v>
      </c>
      <c r="V1008" s="3">
        <v>0.98952879581151831</v>
      </c>
    </row>
    <row r="1009" spans="1:22" x14ac:dyDescent="0.25">
      <c r="A1009" s="2">
        <v>2017</v>
      </c>
      <c r="B1009" t="s">
        <v>46</v>
      </c>
      <c r="C1009" t="s">
        <v>20</v>
      </c>
      <c r="D1009" s="2">
        <v>550</v>
      </c>
      <c r="E1009" s="2">
        <v>119292</v>
      </c>
      <c r="F1009" t="s">
        <v>344</v>
      </c>
      <c r="G1009">
        <v>8</v>
      </c>
      <c r="H1009">
        <v>8</v>
      </c>
      <c r="I1009">
        <v>0</v>
      </c>
      <c r="J1009">
        <v>0</v>
      </c>
      <c r="K1009">
        <v>0</v>
      </c>
      <c r="L1009" s="6">
        <f t="shared" si="118"/>
        <v>1</v>
      </c>
      <c r="M1009">
        <v>241</v>
      </c>
      <c r="N1009">
        <v>33</v>
      </c>
      <c r="O1009" s="9">
        <v>0</v>
      </c>
      <c r="P1009">
        <v>0</v>
      </c>
      <c r="Q1009">
        <v>140</v>
      </c>
      <c r="R1009">
        <v>3</v>
      </c>
      <c r="S1009">
        <v>65</v>
      </c>
      <c r="T1009">
        <v>0</v>
      </c>
      <c r="U1009" s="3">
        <v>0.98755186721991706</v>
      </c>
      <c r="V1009" s="3">
        <v>0.98795180722891562</v>
      </c>
    </row>
    <row r="1010" spans="1:22" x14ac:dyDescent="0.25">
      <c r="A1010" s="2">
        <v>2017</v>
      </c>
      <c r="B1010" t="s">
        <v>46</v>
      </c>
      <c r="C1010" t="s">
        <v>20</v>
      </c>
      <c r="D1010" s="2">
        <v>546</v>
      </c>
      <c r="E1010" s="2">
        <v>119467</v>
      </c>
      <c r="F1010" t="s">
        <v>345</v>
      </c>
      <c r="G1010">
        <v>6</v>
      </c>
      <c r="H1010">
        <v>6</v>
      </c>
      <c r="I1010">
        <v>0</v>
      </c>
      <c r="J1010">
        <v>0</v>
      </c>
      <c r="K1010">
        <v>0</v>
      </c>
      <c r="L1010" s="6">
        <f t="shared" si="118"/>
        <v>1</v>
      </c>
      <c r="M1010">
        <v>73</v>
      </c>
      <c r="N1010">
        <v>10</v>
      </c>
      <c r="O1010" s="9">
        <v>0</v>
      </c>
      <c r="P1010">
        <v>1</v>
      </c>
      <c r="Q1010">
        <v>27</v>
      </c>
      <c r="R1010">
        <v>1</v>
      </c>
      <c r="S1010">
        <v>34</v>
      </c>
      <c r="T1010">
        <v>0</v>
      </c>
      <c r="U1010" s="3">
        <v>0.9726027397260274</v>
      </c>
      <c r="V1010" s="3">
        <v>0.97468354430379744</v>
      </c>
    </row>
    <row r="1011" spans="1:22" x14ac:dyDescent="0.25">
      <c r="A1011" s="2">
        <v>2017</v>
      </c>
      <c r="B1011" t="s">
        <v>46</v>
      </c>
      <c r="C1011" t="s">
        <v>20</v>
      </c>
      <c r="D1011" s="2">
        <v>520</v>
      </c>
      <c r="E1011" s="2">
        <v>8687</v>
      </c>
      <c r="F1011" t="s">
        <v>346</v>
      </c>
      <c r="G1011">
        <v>6</v>
      </c>
      <c r="H1011">
        <v>6</v>
      </c>
      <c r="I1011">
        <v>0</v>
      </c>
      <c r="J1011">
        <v>0</v>
      </c>
      <c r="K1011">
        <v>0</v>
      </c>
      <c r="L1011" s="6">
        <f t="shared" si="118"/>
        <v>1</v>
      </c>
      <c r="M1011">
        <v>253</v>
      </c>
      <c r="N1011">
        <v>42</v>
      </c>
      <c r="O1011" s="9">
        <v>0</v>
      </c>
      <c r="P1011">
        <v>0</v>
      </c>
      <c r="Q1011">
        <v>129</v>
      </c>
      <c r="R1011">
        <v>1</v>
      </c>
      <c r="S1011">
        <v>81</v>
      </c>
      <c r="T1011">
        <v>0</v>
      </c>
      <c r="U1011" s="3">
        <v>0.99604743083003955</v>
      </c>
      <c r="V1011" s="3">
        <v>0.99613899613899615</v>
      </c>
    </row>
    <row r="1012" spans="1:22" x14ac:dyDescent="0.25">
      <c r="A1012" s="2">
        <v>2017</v>
      </c>
      <c r="B1012" t="s">
        <v>46</v>
      </c>
      <c r="C1012" t="s">
        <v>20</v>
      </c>
      <c r="D1012" s="2">
        <v>563</v>
      </c>
      <c r="E1012" s="2">
        <v>5246</v>
      </c>
      <c r="F1012" t="s">
        <v>347</v>
      </c>
      <c r="G1012">
        <v>0</v>
      </c>
      <c r="H1012">
        <v>0</v>
      </c>
      <c r="I1012">
        <v>0</v>
      </c>
      <c r="J1012">
        <v>0</v>
      </c>
      <c r="K1012">
        <v>0</v>
      </c>
      <c r="L1012" s="6">
        <f t="shared" si="118"/>
        <v>0</v>
      </c>
      <c r="M1012">
        <v>77</v>
      </c>
      <c r="N1012">
        <v>6</v>
      </c>
      <c r="O1012" s="9">
        <v>0</v>
      </c>
      <c r="P1012">
        <v>1</v>
      </c>
      <c r="Q1012">
        <v>44</v>
      </c>
      <c r="R1012">
        <v>0</v>
      </c>
      <c r="S1012">
        <v>26</v>
      </c>
      <c r="T1012">
        <v>0</v>
      </c>
      <c r="U1012" s="3">
        <v>0.98701298701298701</v>
      </c>
      <c r="V1012" s="3">
        <v>0.98701298701298701</v>
      </c>
    </row>
    <row r="1013" spans="1:22" x14ac:dyDescent="0.25">
      <c r="A1013" s="2">
        <v>2017</v>
      </c>
      <c r="B1013" t="s">
        <v>46</v>
      </c>
      <c r="C1013" t="s">
        <v>23</v>
      </c>
      <c r="D1013" s="2">
        <v>489</v>
      </c>
      <c r="E1013" s="2">
        <v>7740</v>
      </c>
      <c r="F1013" t="s">
        <v>40</v>
      </c>
      <c r="G1013">
        <v>23</v>
      </c>
      <c r="H1013">
        <v>23</v>
      </c>
      <c r="I1013">
        <v>0</v>
      </c>
      <c r="J1013">
        <v>0</v>
      </c>
      <c r="K1013">
        <v>0</v>
      </c>
      <c r="L1013" s="6">
        <f t="shared" si="118"/>
        <v>1</v>
      </c>
      <c r="M1013">
        <v>253</v>
      </c>
      <c r="N1013">
        <v>43</v>
      </c>
      <c r="O1013" s="9">
        <v>0</v>
      </c>
      <c r="P1013">
        <v>0</v>
      </c>
      <c r="Q1013">
        <v>91</v>
      </c>
      <c r="R1013">
        <v>0</v>
      </c>
      <c r="S1013">
        <v>118</v>
      </c>
      <c r="T1013">
        <v>1</v>
      </c>
      <c r="U1013" s="3">
        <v>1</v>
      </c>
      <c r="V1013" s="3">
        <v>1</v>
      </c>
    </row>
    <row r="1014" spans="1:22" x14ac:dyDescent="0.25">
      <c r="A1014" s="2">
        <v>2017</v>
      </c>
      <c r="B1014" t="s">
        <v>46</v>
      </c>
      <c r="C1014" t="s">
        <v>23</v>
      </c>
      <c r="D1014" s="2">
        <v>492</v>
      </c>
      <c r="E1014" s="2">
        <v>7744</v>
      </c>
      <c r="F1014" t="s">
        <v>374</v>
      </c>
      <c r="G1014">
        <v>12</v>
      </c>
      <c r="H1014">
        <v>12</v>
      </c>
      <c r="I1014">
        <v>0</v>
      </c>
      <c r="J1014">
        <v>0</v>
      </c>
      <c r="K1014">
        <v>0</v>
      </c>
      <c r="L1014" s="6">
        <f t="shared" si="118"/>
        <v>1</v>
      </c>
      <c r="M1014">
        <v>261</v>
      </c>
      <c r="N1014">
        <v>50</v>
      </c>
      <c r="O1014" s="9">
        <v>0</v>
      </c>
      <c r="P1014">
        <v>0</v>
      </c>
      <c r="Q1014">
        <v>107</v>
      </c>
      <c r="R1014">
        <v>0</v>
      </c>
      <c r="S1014">
        <v>103</v>
      </c>
      <c r="T1014">
        <v>1</v>
      </c>
      <c r="U1014" s="3">
        <v>1</v>
      </c>
      <c r="V1014" s="3">
        <v>1</v>
      </c>
    </row>
    <row r="1015" spans="1:22" x14ac:dyDescent="0.25">
      <c r="A1015" s="2">
        <v>2017</v>
      </c>
      <c r="B1015" t="s">
        <v>46</v>
      </c>
      <c r="C1015" t="s">
        <v>23</v>
      </c>
      <c r="D1015" s="2">
        <v>555</v>
      </c>
      <c r="E1015" s="2">
        <v>119114</v>
      </c>
      <c r="F1015" t="s">
        <v>375</v>
      </c>
      <c r="G1015">
        <v>14</v>
      </c>
      <c r="H1015">
        <v>14</v>
      </c>
      <c r="I1015">
        <v>0</v>
      </c>
      <c r="J1015">
        <v>0</v>
      </c>
      <c r="K1015">
        <v>0</v>
      </c>
      <c r="L1015" s="6">
        <f t="shared" si="118"/>
        <v>1</v>
      </c>
      <c r="M1015">
        <v>240</v>
      </c>
      <c r="N1015">
        <v>42</v>
      </c>
      <c r="O1015" s="9">
        <v>0</v>
      </c>
      <c r="P1015">
        <v>1</v>
      </c>
      <c r="Q1015">
        <v>118</v>
      </c>
      <c r="R1015">
        <v>2</v>
      </c>
      <c r="S1015">
        <v>73</v>
      </c>
      <c r="T1015">
        <v>4</v>
      </c>
      <c r="U1015" s="3">
        <v>0.98750000000000004</v>
      </c>
      <c r="V1015" s="3">
        <v>0.98818897637795278</v>
      </c>
    </row>
    <row r="1016" spans="1:22" x14ac:dyDescent="0.25">
      <c r="A1016" s="2">
        <v>2017</v>
      </c>
      <c r="B1016" t="s">
        <v>46</v>
      </c>
      <c r="C1016" t="s">
        <v>23</v>
      </c>
      <c r="D1016" s="2">
        <v>493</v>
      </c>
      <c r="E1016" s="2">
        <v>7742</v>
      </c>
      <c r="F1016" t="s">
        <v>376</v>
      </c>
      <c r="G1016">
        <v>22</v>
      </c>
      <c r="H1016">
        <v>22</v>
      </c>
      <c r="I1016">
        <v>0</v>
      </c>
      <c r="J1016">
        <v>0</v>
      </c>
      <c r="K1016">
        <v>0</v>
      </c>
      <c r="L1016" s="6">
        <f t="shared" si="118"/>
        <v>1</v>
      </c>
      <c r="M1016">
        <v>223</v>
      </c>
      <c r="N1016">
        <v>29</v>
      </c>
      <c r="O1016" s="9">
        <v>0</v>
      </c>
      <c r="P1016">
        <v>0</v>
      </c>
      <c r="Q1016">
        <v>76</v>
      </c>
      <c r="R1016">
        <v>4</v>
      </c>
      <c r="S1016">
        <v>114</v>
      </c>
      <c r="T1016">
        <v>0</v>
      </c>
      <c r="U1016" s="3">
        <v>0.98206278026905824</v>
      </c>
      <c r="V1016" s="3">
        <v>0.98367346938775513</v>
      </c>
    </row>
    <row r="1017" spans="1:22" x14ac:dyDescent="0.25">
      <c r="A1017" s="2">
        <v>2017</v>
      </c>
      <c r="B1017" t="s">
        <v>46</v>
      </c>
      <c r="C1017" t="s">
        <v>23</v>
      </c>
      <c r="D1017" s="2">
        <v>556</v>
      </c>
      <c r="E1017" s="2">
        <v>10769</v>
      </c>
      <c r="F1017" t="s">
        <v>356</v>
      </c>
      <c r="G1017">
        <v>0</v>
      </c>
      <c r="H1017">
        <v>0</v>
      </c>
      <c r="I1017">
        <v>0</v>
      </c>
      <c r="J1017">
        <v>0</v>
      </c>
      <c r="K1017">
        <v>0</v>
      </c>
      <c r="L1017" s="6">
        <f t="shared" si="118"/>
        <v>0</v>
      </c>
      <c r="M1017">
        <v>1</v>
      </c>
      <c r="N1017">
        <v>1</v>
      </c>
      <c r="O1017" s="9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s="3">
        <v>1</v>
      </c>
      <c r="V1017" s="3">
        <v>1</v>
      </c>
    </row>
    <row r="1018" spans="1:22" x14ac:dyDescent="0.25">
      <c r="A1018" s="2">
        <v>2017</v>
      </c>
      <c r="B1018" t="s">
        <v>46</v>
      </c>
      <c r="C1018" t="s">
        <v>23</v>
      </c>
      <c r="D1018" s="2">
        <v>593</v>
      </c>
      <c r="E1018" s="2">
        <v>122796</v>
      </c>
      <c r="F1018" t="s">
        <v>379</v>
      </c>
      <c r="G1018">
        <v>9</v>
      </c>
      <c r="H1018">
        <v>9</v>
      </c>
      <c r="I1018">
        <v>0</v>
      </c>
      <c r="J1018">
        <v>0</v>
      </c>
      <c r="K1018">
        <v>0</v>
      </c>
      <c r="L1018" s="6">
        <f t="shared" si="118"/>
        <v>1</v>
      </c>
      <c r="M1018">
        <v>103</v>
      </c>
      <c r="N1018">
        <v>22</v>
      </c>
      <c r="O1018" s="9">
        <v>0</v>
      </c>
      <c r="P1018">
        <v>0</v>
      </c>
      <c r="Q1018">
        <v>49</v>
      </c>
      <c r="R1018">
        <v>0</v>
      </c>
      <c r="S1018">
        <v>32</v>
      </c>
      <c r="T1018">
        <v>0</v>
      </c>
      <c r="U1018" s="3">
        <v>1</v>
      </c>
      <c r="V1018" s="3">
        <v>1</v>
      </c>
    </row>
    <row r="1019" spans="1:22" x14ac:dyDescent="0.25">
      <c r="A1019" s="2">
        <v>2017</v>
      </c>
      <c r="B1019" t="s">
        <v>46</v>
      </c>
      <c r="C1019" t="s">
        <v>23</v>
      </c>
      <c r="D1019" s="2">
        <v>584</v>
      </c>
      <c r="E1019" s="2">
        <v>2834</v>
      </c>
      <c r="F1019" t="s">
        <v>482</v>
      </c>
      <c r="G1019">
        <v>3</v>
      </c>
      <c r="H1019">
        <v>3</v>
      </c>
      <c r="I1019">
        <v>0</v>
      </c>
      <c r="J1019">
        <v>0</v>
      </c>
      <c r="K1019">
        <v>0</v>
      </c>
      <c r="L1019" s="6">
        <f t="shared" si="118"/>
        <v>1</v>
      </c>
      <c r="M1019">
        <v>23</v>
      </c>
      <c r="N1019">
        <v>2</v>
      </c>
      <c r="O1019" s="9">
        <v>0</v>
      </c>
      <c r="P1019">
        <v>0</v>
      </c>
      <c r="Q1019">
        <v>16</v>
      </c>
      <c r="R1019">
        <v>0</v>
      </c>
      <c r="S1019">
        <v>5</v>
      </c>
      <c r="T1019">
        <v>0</v>
      </c>
      <c r="U1019" s="3">
        <v>1</v>
      </c>
      <c r="V1019" s="3">
        <v>1</v>
      </c>
    </row>
    <row r="1020" spans="1:22" x14ac:dyDescent="0.25">
      <c r="A1020" s="2">
        <v>2017</v>
      </c>
      <c r="B1020" t="s">
        <v>46</v>
      </c>
      <c r="C1020" t="s">
        <v>23</v>
      </c>
      <c r="D1020" s="2">
        <v>592</v>
      </c>
      <c r="E1020" s="2">
        <v>122956</v>
      </c>
      <c r="F1020" t="s">
        <v>381</v>
      </c>
      <c r="G1020">
        <v>9</v>
      </c>
      <c r="H1020">
        <v>9</v>
      </c>
      <c r="I1020">
        <v>0</v>
      </c>
      <c r="J1020">
        <v>0</v>
      </c>
      <c r="K1020">
        <v>0</v>
      </c>
      <c r="L1020" s="6">
        <f t="shared" si="118"/>
        <v>1</v>
      </c>
      <c r="M1020">
        <v>223</v>
      </c>
      <c r="N1020">
        <v>31</v>
      </c>
      <c r="O1020" s="9">
        <v>0</v>
      </c>
      <c r="P1020">
        <v>0</v>
      </c>
      <c r="Q1020">
        <v>94</v>
      </c>
      <c r="R1020">
        <v>0</v>
      </c>
      <c r="S1020">
        <v>98</v>
      </c>
      <c r="T1020">
        <v>0</v>
      </c>
      <c r="U1020" s="3">
        <v>1</v>
      </c>
      <c r="V1020" s="3">
        <v>1</v>
      </c>
    </row>
    <row r="1021" spans="1:22" x14ac:dyDescent="0.25">
      <c r="A1021" s="2">
        <v>2017</v>
      </c>
      <c r="B1021" t="s">
        <v>46</v>
      </c>
      <c r="C1021" t="s">
        <v>23</v>
      </c>
      <c r="D1021" s="2">
        <v>494</v>
      </c>
      <c r="E1021" s="2">
        <v>7743</v>
      </c>
      <c r="F1021" t="s">
        <v>383</v>
      </c>
      <c r="G1021">
        <v>15</v>
      </c>
      <c r="H1021">
        <v>15</v>
      </c>
      <c r="I1021">
        <v>0</v>
      </c>
      <c r="J1021">
        <v>0</v>
      </c>
      <c r="K1021">
        <v>0</v>
      </c>
      <c r="L1021" s="6">
        <f t="shared" si="118"/>
        <v>1</v>
      </c>
      <c r="M1021">
        <v>331</v>
      </c>
      <c r="N1021">
        <v>48</v>
      </c>
      <c r="O1021" s="9">
        <v>0</v>
      </c>
      <c r="P1021">
        <v>2</v>
      </c>
      <c r="Q1021">
        <v>119</v>
      </c>
      <c r="R1021">
        <v>7</v>
      </c>
      <c r="S1021">
        <v>155</v>
      </c>
      <c r="T1021">
        <v>0</v>
      </c>
      <c r="U1021" s="3">
        <v>0.97280966767371602</v>
      </c>
      <c r="V1021" s="3">
        <v>0.97398843930635837</v>
      </c>
    </row>
    <row r="1022" spans="1:22" x14ac:dyDescent="0.25">
      <c r="A1022" s="2">
        <v>2017</v>
      </c>
      <c r="B1022" t="s">
        <v>46</v>
      </c>
      <c r="C1022" t="s">
        <v>23</v>
      </c>
      <c r="D1022" s="2">
        <v>534</v>
      </c>
      <c r="E1022" s="2">
        <v>10480</v>
      </c>
      <c r="F1022" t="s">
        <v>384</v>
      </c>
      <c r="G1022">
        <v>0</v>
      </c>
      <c r="H1022">
        <v>0</v>
      </c>
      <c r="I1022">
        <v>0</v>
      </c>
      <c r="J1022">
        <v>0</v>
      </c>
      <c r="K1022">
        <v>0</v>
      </c>
      <c r="L1022" s="6">
        <f t="shared" si="118"/>
        <v>0</v>
      </c>
      <c r="M1022">
        <v>1</v>
      </c>
      <c r="N1022">
        <v>1</v>
      </c>
      <c r="O1022" s="9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 s="3">
        <v>1</v>
      </c>
      <c r="V1022" s="3">
        <v>1</v>
      </c>
    </row>
    <row r="1023" spans="1:22" x14ac:dyDescent="0.25">
      <c r="A1023" s="2">
        <v>2017</v>
      </c>
      <c r="B1023" t="s">
        <v>46</v>
      </c>
      <c r="C1023" t="s">
        <v>23</v>
      </c>
      <c r="D1023" s="2">
        <v>533</v>
      </c>
      <c r="E1023" s="2">
        <v>5803</v>
      </c>
      <c r="F1023" t="s">
        <v>385</v>
      </c>
      <c r="G1023">
        <v>0</v>
      </c>
      <c r="H1023">
        <v>0</v>
      </c>
      <c r="I1023">
        <v>0</v>
      </c>
      <c r="J1023">
        <v>0</v>
      </c>
      <c r="K1023">
        <v>0</v>
      </c>
      <c r="L1023" s="6">
        <f t="shared" si="118"/>
        <v>0</v>
      </c>
      <c r="M1023">
        <v>1</v>
      </c>
      <c r="N1023">
        <v>1</v>
      </c>
      <c r="O1023" s="9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 s="3">
        <v>1</v>
      </c>
      <c r="V1023" s="3">
        <v>1</v>
      </c>
    </row>
    <row r="1024" spans="1:22" x14ac:dyDescent="0.25">
      <c r="A1024" s="2">
        <v>2017</v>
      </c>
      <c r="B1024" t="s">
        <v>46</v>
      </c>
      <c r="C1024" t="s">
        <v>23</v>
      </c>
      <c r="D1024" s="2">
        <v>496</v>
      </c>
      <c r="E1024" s="2">
        <v>7741</v>
      </c>
      <c r="F1024" t="s">
        <v>387</v>
      </c>
      <c r="G1024">
        <v>21</v>
      </c>
      <c r="H1024">
        <v>20</v>
      </c>
      <c r="I1024">
        <v>0</v>
      </c>
      <c r="J1024">
        <v>0</v>
      </c>
      <c r="K1024">
        <v>1</v>
      </c>
      <c r="L1024" s="6">
        <f t="shared" si="118"/>
        <v>0.95238095238095233</v>
      </c>
      <c r="M1024">
        <v>324</v>
      </c>
      <c r="N1024">
        <v>53</v>
      </c>
      <c r="O1024" s="9">
        <v>0</v>
      </c>
      <c r="P1024">
        <v>0</v>
      </c>
      <c r="Q1024">
        <v>104</v>
      </c>
      <c r="R1024">
        <v>2</v>
      </c>
      <c r="S1024">
        <v>162</v>
      </c>
      <c r="T1024">
        <v>3</v>
      </c>
      <c r="U1024" s="3">
        <v>0.99382716049382713</v>
      </c>
      <c r="V1024" s="3">
        <v>0.99130434782608701</v>
      </c>
    </row>
    <row r="1025" spans="1:22" x14ac:dyDescent="0.25">
      <c r="A1025" s="2">
        <v>2017</v>
      </c>
      <c r="B1025" t="s">
        <v>46</v>
      </c>
      <c r="C1025" t="s">
        <v>23</v>
      </c>
      <c r="D1025" s="2">
        <v>444</v>
      </c>
      <c r="E1025" s="2">
        <v>7314</v>
      </c>
      <c r="F1025" t="s">
        <v>388</v>
      </c>
      <c r="G1025">
        <v>18</v>
      </c>
      <c r="H1025">
        <v>18</v>
      </c>
      <c r="I1025">
        <v>0</v>
      </c>
      <c r="J1025">
        <v>0</v>
      </c>
      <c r="K1025">
        <v>0</v>
      </c>
      <c r="L1025" s="6">
        <f t="shared" si="118"/>
        <v>1</v>
      </c>
      <c r="M1025">
        <v>207</v>
      </c>
      <c r="N1025">
        <v>38</v>
      </c>
      <c r="O1025" s="9">
        <v>0</v>
      </c>
      <c r="P1025">
        <v>0</v>
      </c>
      <c r="Q1025">
        <v>63</v>
      </c>
      <c r="R1025">
        <v>0</v>
      </c>
      <c r="S1025">
        <v>106</v>
      </c>
      <c r="T1025">
        <v>0</v>
      </c>
      <c r="U1025" s="3">
        <v>1</v>
      </c>
      <c r="V1025" s="3">
        <v>1</v>
      </c>
    </row>
    <row r="1026" spans="1:22" x14ac:dyDescent="0.25">
      <c r="A1026" s="2">
        <v>2017</v>
      </c>
      <c r="B1026" t="s">
        <v>46</v>
      </c>
      <c r="C1026" t="s">
        <v>23</v>
      </c>
      <c r="D1026" s="2">
        <v>505</v>
      </c>
      <c r="E1026" s="2">
        <v>8344</v>
      </c>
      <c r="F1026" t="s">
        <v>389</v>
      </c>
      <c r="G1026">
        <v>23</v>
      </c>
      <c r="H1026">
        <v>23</v>
      </c>
      <c r="I1026">
        <v>0</v>
      </c>
      <c r="J1026">
        <v>0</v>
      </c>
      <c r="K1026">
        <v>0</v>
      </c>
      <c r="L1026" s="6">
        <f t="shared" si="118"/>
        <v>1</v>
      </c>
      <c r="M1026">
        <v>340</v>
      </c>
      <c r="N1026">
        <v>66</v>
      </c>
      <c r="O1026" s="9">
        <v>0</v>
      </c>
      <c r="P1026">
        <v>0</v>
      </c>
      <c r="Q1026">
        <v>135</v>
      </c>
      <c r="R1026">
        <v>0</v>
      </c>
      <c r="S1026">
        <v>138</v>
      </c>
      <c r="T1026">
        <v>1</v>
      </c>
      <c r="U1026" s="3">
        <v>1</v>
      </c>
      <c r="V1026" s="3">
        <v>1</v>
      </c>
    </row>
    <row r="1027" spans="1:22" x14ac:dyDescent="0.25">
      <c r="A1027" s="2">
        <v>2017</v>
      </c>
      <c r="B1027" t="s">
        <v>46</v>
      </c>
      <c r="C1027" t="s">
        <v>21</v>
      </c>
      <c r="D1027" s="2">
        <v>528</v>
      </c>
      <c r="E1027" s="2">
        <v>10623</v>
      </c>
      <c r="F1027" t="s">
        <v>42</v>
      </c>
      <c r="G1027">
        <v>5</v>
      </c>
      <c r="H1027">
        <v>5</v>
      </c>
      <c r="I1027">
        <v>0</v>
      </c>
      <c r="J1027">
        <v>0</v>
      </c>
      <c r="K1027">
        <v>0</v>
      </c>
      <c r="L1027" s="6">
        <f t="shared" si="118"/>
        <v>1</v>
      </c>
      <c r="M1027">
        <v>154</v>
      </c>
      <c r="N1027">
        <v>19</v>
      </c>
      <c r="O1027" s="9">
        <v>0</v>
      </c>
      <c r="P1027">
        <v>0</v>
      </c>
      <c r="Q1027">
        <v>90</v>
      </c>
      <c r="R1027">
        <v>0</v>
      </c>
      <c r="S1027">
        <v>45</v>
      </c>
      <c r="T1027">
        <v>0</v>
      </c>
      <c r="U1027" s="3">
        <v>1</v>
      </c>
      <c r="V1027" s="3">
        <v>1</v>
      </c>
    </row>
    <row r="1028" spans="1:22" x14ac:dyDescent="0.25">
      <c r="A1028" s="2">
        <v>2017</v>
      </c>
      <c r="B1028" t="s">
        <v>46</v>
      </c>
      <c r="C1028" t="s">
        <v>21</v>
      </c>
      <c r="D1028" s="2">
        <v>578</v>
      </c>
      <c r="E1028" s="2">
        <v>122349</v>
      </c>
      <c r="F1028" t="s">
        <v>43</v>
      </c>
      <c r="G1028">
        <v>0</v>
      </c>
      <c r="H1028">
        <v>0</v>
      </c>
      <c r="I1028">
        <v>0</v>
      </c>
      <c r="J1028">
        <v>0</v>
      </c>
      <c r="K1028">
        <v>0</v>
      </c>
      <c r="L1028" s="6">
        <f t="shared" si="118"/>
        <v>0</v>
      </c>
      <c r="M1028">
        <v>1</v>
      </c>
      <c r="N1028">
        <v>0</v>
      </c>
      <c r="O1028" s="9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 s="3">
        <v>1</v>
      </c>
      <c r="V1028" s="3">
        <v>1</v>
      </c>
    </row>
    <row r="1029" spans="1:22" x14ac:dyDescent="0.25">
      <c r="A1029" s="2">
        <v>2017</v>
      </c>
      <c r="B1029" t="s">
        <v>46</v>
      </c>
      <c r="C1029" t="s">
        <v>21</v>
      </c>
      <c r="D1029" s="2">
        <v>589</v>
      </c>
      <c r="E1029" s="2">
        <v>124030</v>
      </c>
      <c r="F1029" t="s">
        <v>441</v>
      </c>
      <c r="G1029">
        <v>1</v>
      </c>
      <c r="H1029">
        <v>1</v>
      </c>
      <c r="I1029">
        <v>0</v>
      </c>
      <c r="J1029">
        <v>0</v>
      </c>
      <c r="K1029">
        <v>0</v>
      </c>
      <c r="L1029" s="6">
        <f t="shared" si="118"/>
        <v>1</v>
      </c>
      <c r="M1029">
        <v>17</v>
      </c>
      <c r="N1029">
        <v>0</v>
      </c>
      <c r="O1029" s="9">
        <v>0</v>
      </c>
      <c r="P1029">
        <v>0</v>
      </c>
      <c r="Q1029">
        <v>10</v>
      </c>
      <c r="R1029">
        <v>0</v>
      </c>
      <c r="S1029">
        <v>7</v>
      </c>
      <c r="T1029">
        <v>0</v>
      </c>
      <c r="U1029" s="3">
        <v>1</v>
      </c>
      <c r="V1029" s="3">
        <v>1</v>
      </c>
    </row>
    <row r="1030" spans="1:22" x14ac:dyDescent="0.25">
      <c r="A1030" s="2">
        <v>2017</v>
      </c>
      <c r="B1030" t="s">
        <v>46</v>
      </c>
      <c r="C1030" t="s">
        <v>21</v>
      </c>
      <c r="D1030" s="2">
        <v>336</v>
      </c>
      <c r="E1030" s="2">
        <v>9790</v>
      </c>
      <c r="F1030" t="s">
        <v>433</v>
      </c>
      <c r="G1030">
        <v>0</v>
      </c>
      <c r="H1030">
        <v>0</v>
      </c>
      <c r="I1030">
        <v>0</v>
      </c>
      <c r="J1030">
        <v>0</v>
      </c>
      <c r="K1030">
        <v>0</v>
      </c>
      <c r="L1030" s="6">
        <f t="shared" si="118"/>
        <v>0</v>
      </c>
      <c r="M1030">
        <v>15</v>
      </c>
      <c r="N1030">
        <v>1</v>
      </c>
      <c r="O1030" s="9">
        <v>0</v>
      </c>
      <c r="P1030">
        <v>0</v>
      </c>
      <c r="Q1030">
        <v>8</v>
      </c>
      <c r="R1030">
        <v>0</v>
      </c>
      <c r="S1030">
        <v>6</v>
      </c>
      <c r="T1030">
        <v>0</v>
      </c>
      <c r="U1030" s="3">
        <v>1</v>
      </c>
      <c r="V1030" s="3">
        <v>1</v>
      </c>
    </row>
    <row r="1031" spans="1:22" x14ac:dyDescent="0.25">
      <c r="A1031" s="2">
        <v>2017</v>
      </c>
      <c r="B1031" t="s">
        <v>46</v>
      </c>
      <c r="C1031" t="s">
        <v>21</v>
      </c>
      <c r="D1031" s="2">
        <v>403</v>
      </c>
      <c r="E1031" s="2">
        <v>6783</v>
      </c>
      <c r="F1031" t="s">
        <v>348</v>
      </c>
      <c r="G1031">
        <v>7</v>
      </c>
      <c r="H1031">
        <v>7</v>
      </c>
      <c r="I1031">
        <v>0</v>
      </c>
      <c r="J1031">
        <v>0</v>
      </c>
      <c r="K1031">
        <v>0</v>
      </c>
      <c r="L1031" s="6">
        <f t="shared" si="118"/>
        <v>1</v>
      </c>
      <c r="M1031">
        <v>443</v>
      </c>
      <c r="N1031">
        <v>52</v>
      </c>
      <c r="O1031" s="9">
        <v>0</v>
      </c>
      <c r="P1031">
        <v>0</v>
      </c>
      <c r="Q1031">
        <v>276</v>
      </c>
      <c r="R1031">
        <v>1</v>
      </c>
      <c r="S1031">
        <v>114</v>
      </c>
      <c r="T1031">
        <v>0</v>
      </c>
      <c r="U1031" s="3">
        <v>0.99774266365688491</v>
      </c>
      <c r="V1031" s="3">
        <v>0.99777777777777776</v>
      </c>
    </row>
    <row r="1032" spans="1:22" x14ac:dyDescent="0.25">
      <c r="A1032" s="2">
        <v>2017</v>
      </c>
      <c r="B1032" t="s">
        <v>46</v>
      </c>
      <c r="C1032" t="s">
        <v>21</v>
      </c>
      <c r="D1032" s="2">
        <v>530</v>
      </c>
      <c r="E1032" s="2">
        <v>10559</v>
      </c>
      <c r="F1032" t="s">
        <v>32</v>
      </c>
      <c r="G1032">
        <v>0</v>
      </c>
      <c r="H1032">
        <v>0</v>
      </c>
      <c r="I1032">
        <v>0</v>
      </c>
      <c r="J1032">
        <v>0</v>
      </c>
      <c r="K1032">
        <v>0</v>
      </c>
      <c r="L1032" s="6">
        <f t="shared" si="118"/>
        <v>0</v>
      </c>
      <c r="M1032">
        <v>22</v>
      </c>
      <c r="N1032">
        <v>3</v>
      </c>
      <c r="O1032" s="9">
        <v>0</v>
      </c>
      <c r="P1032">
        <v>0</v>
      </c>
      <c r="Q1032">
        <v>14</v>
      </c>
      <c r="R1032">
        <v>0</v>
      </c>
      <c r="S1032">
        <v>5</v>
      </c>
      <c r="T1032">
        <v>0</v>
      </c>
      <c r="U1032" s="3">
        <v>1</v>
      </c>
      <c r="V1032" s="3">
        <v>1</v>
      </c>
    </row>
    <row r="1033" spans="1:22" x14ac:dyDescent="0.25">
      <c r="A1033" s="2">
        <v>2017</v>
      </c>
      <c r="B1033" t="s">
        <v>46</v>
      </c>
      <c r="C1033" t="s">
        <v>21</v>
      </c>
      <c r="D1033" s="2">
        <v>548</v>
      </c>
      <c r="E1033" s="2">
        <v>10618</v>
      </c>
      <c r="F1033" t="s">
        <v>338</v>
      </c>
      <c r="G1033">
        <v>24</v>
      </c>
      <c r="H1033">
        <v>24</v>
      </c>
      <c r="I1033">
        <v>0</v>
      </c>
      <c r="J1033">
        <v>0</v>
      </c>
      <c r="K1033">
        <v>0</v>
      </c>
      <c r="L1033" s="6">
        <f t="shared" si="118"/>
        <v>1</v>
      </c>
      <c r="M1033">
        <v>227</v>
      </c>
      <c r="N1033">
        <v>29</v>
      </c>
      <c r="O1033" s="9">
        <v>0</v>
      </c>
      <c r="P1033">
        <v>0</v>
      </c>
      <c r="Q1033">
        <v>118</v>
      </c>
      <c r="R1033">
        <v>0</v>
      </c>
      <c r="S1033">
        <v>78</v>
      </c>
      <c r="T1033">
        <v>2</v>
      </c>
      <c r="U1033" s="3">
        <v>1</v>
      </c>
      <c r="V1033" s="3">
        <v>1</v>
      </c>
    </row>
    <row r="1034" spans="1:22" x14ac:dyDescent="0.25">
      <c r="A1034" s="2">
        <v>2017</v>
      </c>
      <c r="B1034" t="s">
        <v>46</v>
      </c>
      <c r="C1034" t="s">
        <v>21</v>
      </c>
      <c r="D1034" s="2">
        <v>587</v>
      </c>
      <c r="E1034" s="2">
        <v>5597</v>
      </c>
      <c r="F1034" t="s">
        <v>33</v>
      </c>
      <c r="G1034">
        <v>4</v>
      </c>
      <c r="H1034">
        <v>4</v>
      </c>
      <c r="I1034">
        <v>0</v>
      </c>
      <c r="J1034">
        <v>0</v>
      </c>
      <c r="K1034">
        <v>0</v>
      </c>
      <c r="L1034" s="6">
        <f t="shared" si="118"/>
        <v>1</v>
      </c>
      <c r="M1034">
        <v>56</v>
      </c>
      <c r="N1034">
        <v>5</v>
      </c>
      <c r="O1034" s="9">
        <v>0</v>
      </c>
      <c r="P1034">
        <v>0</v>
      </c>
      <c r="Q1034">
        <v>29</v>
      </c>
      <c r="R1034">
        <v>0</v>
      </c>
      <c r="S1034">
        <v>22</v>
      </c>
      <c r="T1034">
        <v>0</v>
      </c>
      <c r="U1034" s="3">
        <v>1</v>
      </c>
      <c r="V1034" s="3">
        <v>1</v>
      </c>
    </row>
    <row r="1035" spans="1:22" x14ac:dyDescent="0.25">
      <c r="A1035" s="2">
        <v>2017</v>
      </c>
      <c r="B1035" t="s">
        <v>46</v>
      </c>
      <c r="C1035" t="s">
        <v>21</v>
      </c>
      <c r="D1035" s="2">
        <v>404</v>
      </c>
      <c r="E1035" s="2">
        <v>6777</v>
      </c>
      <c r="F1035" t="s">
        <v>34</v>
      </c>
      <c r="G1035">
        <v>2</v>
      </c>
      <c r="H1035">
        <v>2</v>
      </c>
      <c r="I1035">
        <v>0</v>
      </c>
      <c r="J1035">
        <v>0</v>
      </c>
      <c r="K1035">
        <v>0</v>
      </c>
      <c r="L1035" s="6">
        <f t="shared" si="118"/>
        <v>1</v>
      </c>
      <c r="M1035">
        <v>61</v>
      </c>
      <c r="N1035">
        <v>5</v>
      </c>
      <c r="O1035" s="9">
        <v>0</v>
      </c>
      <c r="P1035">
        <v>0</v>
      </c>
      <c r="Q1035">
        <v>26</v>
      </c>
      <c r="R1035">
        <v>0</v>
      </c>
      <c r="S1035">
        <v>30</v>
      </c>
      <c r="T1035">
        <v>0</v>
      </c>
      <c r="U1035" s="3">
        <v>1</v>
      </c>
      <c r="V1035" s="3">
        <v>1</v>
      </c>
    </row>
    <row r="1036" spans="1:22" x14ac:dyDescent="0.25">
      <c r="A1036" s="2">
        <v>2017</v>
      </c>
      <c r="B1036" t="s">
        <v>46</v>
      </c>
      <c r="C1036" t="s">
        <v>21</v>
      </c>
      <c r="D1036" s="2">
        <v>595</v>
      </c>
      <c r="E1036" s="2">
        <v>123208</v>
      </c>
      <c r="F1036" t="s">
        <v>35</v>
      </c>
      <c r="G1036">
        <v>7</v>
      </c>
      <c r="H1036">
        <v>7</v>
      </c>
      <c r="I1036">
        <v>0</v>
      </c>
      <c r="J1036">
        <v>0</v>
      </c>
      <c r="K1036">
        <v>0</v>
      </c>
      <c r="L1036" s="6">
        <f t="shared" si="118"/>
        <v>1</v>
      </c>
      <c r="M1036">
        <v>326</v>
      </c>
      <c r="N1036">
        <v>44</v>
      </c>
      <c r="O1036" s="9">
        <v>0</v>
      </c>
      <c r="P1036">
        <v>0</v>
      </c>
      <c r="Q1036">
        <v>227</v>
      </c>
      <c r="R1036">
        <v>0</v>
      </c>
      <c r="S1036">
        <v>55</v>
      </c>
      <c r="T1036">
        <v>0</v>
      </c>
      <c r="U1036" s="3">
        <v>1</v>
      </c>
      <c r="V1036" s="3">
        <v>1</v>
      </c>
    </row>
    <row r="1037" spans="1:22" x14ac:dyDescent="0.25">
      <c r="A1037" s="2">
        <v>2017</v>
      </c>
      <c r="B1037" t="s">
        <v>46</v>
      </c>
      <c r="C1037" t="s">
        <v>21</v>
      </c>
      <c r="D1037" s="2">
        <v>455</v>
      </c>
      <c r="E1037" s="2">
        <v>7401</v>
      </c>
      <c r="F1037" t="s">
        <v>36</v>
      </c>
      <c r="G1037">
        <v>0</v>
      </c>
      <c r="H1037">
        <v>0</v>
      </c>
      <c r="I1037">
        <v>0</v>
      </c>
      <c r="J1037">
        <v>0</v>
      </c>
      <c r="K1037">
        <v>0</v>
      </c>
      <c r="L1037" s="6">
        <f t="shared" si="118"/>
        <v>0</v>
      </c>
      <c r="M1037">
        <v>37</v>
      </c>
      <c r="N1037">
        <v>5</v>
      </c>
      <c r="O1037" s="9">
        <v>0</v>
      </c>
      <c r="P1037">
        <v>0</v>
      </c>
      <c r="Q1037">
        <v>26</v>
      </c>
      <c r="R1037">
        <v>0</v>
      </c>
      <c r="S1037">
        <v>6</v>
      </c>
      <c r="T1037">
        <v>0</v>
      </c>
      <c r="U1037" s="3">
        <v>1</v>
      </c>
      <c r="V1037" s="3">
        <v>1</v>
      </c>
    </row>
    <row r="1038" spans="1:22" x14ac:dyDescent="0.25">
      <c r="A1038" s="2">
        <v>2017</v>
      </c>
      <c r="B1038" t="s">
        <v>46</v>
      </c>
      <c r="C1038" t="s">
        <v>21</v>
      </c>
      <c r="D1038" s="2">
        <v>842</v>
      </c>
      <c r="E1038" s="2">
        <v>5618</v>
      </c>
      <c r="F1038" t="s">
        <v>37</v>
      </c>
      <c r="G1038">
        <v>5</v>
      </c>
      <c r="H1038">
        <v>5</v>
      </c>
      <c r="I1038">
        <v>0</v>
      </c>
      <c r="J1038">
        <v>0</v>
      </c>
      <c r="K1038">
        <v>0</v>
      </c>
      <c r="L1038" s="6">
        <f t="shared" si="118"/>
        <v>1</v>
      </c>
      <c r="M1038">
        <v>168</v>
      </c>
      <c r="N1038">
        <v>19</v>
      </c>
      <c r="O1038" s="9">
        <v>0</v>
      </c>
      <c r="P1038">
        <v>0</v>
      </c>
      <c r="Q1038">
        <v>72</v>
      </c>
      <c r="R1038">
        <v>0</v>
      </c>
      <c r="S1038">
        <v>77</v>
      </c>
      <c r="T1038">
        <v>0</v>
      </c>
      <c r="U1038" s="3">
        <v>1</v>
      </c>
      <c r="V1038" s="3">
        <v>1</v>
      </c>
    </row>
    <row r="1039" spans="1:22" x14ac:dyDescent="0.25">
      <c r="A1039" s="2">
        <v>2017</v>
      </c>
      <c r="B1039" t="s">
        <v>46</v>
      </c>
      <c r="C1039" t="s">
        <v>21</v>
      </c>
      <c r="D1039" s="2">
        <v>554</v>
      </c>
      <c r="E1039" s="2">
        <v>119543</v>
      </c>
      <c r="F1039" t="s">
        <v>502</v>
      </c>
      <c r="G1039">
        <v>0</v>
      </c>
      <c r="H1039">
        <v>0</v>
      </c>
      <c r="I1039">
        <v>0</v>
      </c>
      <c r="J1039">
        <v>0</v>
      </c>
      <c r="K1039">
        <v>0</v>
      </c>
      <c r="L1039" s="6">
        <f t="shared" si="118"/>
        <v>0</v>
      </c>
      <c r="M1039">
        <v>20</v>
      </c>
      <c r="N1039">
        <v>1</v>
      </c>
      <c r="O1039" s="9">
        <v>0</v>
      </c>
      <c r="P1039">
        <v>0</v>
      </c>
      <c r="Q1039">
        <v>18</v>
      </c>
      <c r="R1039">
        <v>0</v>
      </c>
      <c r="S1039">
        <v>1</v>
      </c>
      <c r="T1039">
        <v>0</v>
      </c>
      <c r="U1039" s="3">
        <v>1</v>
      </c>
      <c r="V1039" s="3">
        <v>1</v>
      </c>
    </row>
    <row r="1040" spans="1:22" x14ac:dyDescent="0.25">
      <c r="A1040" s="2">
        <v>2017</v>
      </c>
      <c r="B1040" t="s">
        <v>46</v>
      </c>
      <c r="C1040" t="s">
        <v>21</v>
      </c>
      <c r="D1040" s="2">
        <v>766</v>
      </c>
      <c r="E1040" s="2">
        <v>6781</v>
      </c>
      <c r="F1040" t="s">
        <v>349</v>
      </c>
      <c r="G1040">
        <v>35</v>
      </c>
      <c r="H1040">
        <v>35</v>
      </c>
      <c r="I1040">
        <v>0</v>
      </c>
      <c r="J1040">
        <v>0</v>
      </c>
      <c r="K1040">
        <v>0</v>
      </c>
      <c r="L1040" s="6">
        <f t="shared" si="118"/>
        <v>1</v>
      </c>
      <c r="M1040">
        <v>389</v>
      </c>
      <c r="N1040">
        <v>50</v>
      </c>
      <c r="O1040" s="9">
        <v>0</v>
      </c>
      <c r="P1040">
        <v>0</v>
      </c>
      <c r="Q1040">
        <v>160</v>
      </c>
      <c r="R1040">
        <v>0</v>
      </c>
      <c r="S1040">
        <v>179</v>
      </c>
      <c r="T1040">
        <v>0</v>
      </c>
      <c r="U1040" s="3">
        <v>1</v>
      </c>
      <c r="V1040" s="3">
        <v>1</v>
      </c>
    </row>
    <row r="1041" spans="1:22" x14ac:dyDescent="0.25">
      <c r="A1041" s="2">
        <v>2017</v>
      </c>
      <c r="B1041" t="s">
        <v>46</v>
      </c>
      <c r="C1041" t="s">
        <v>21</v>
      </c>
      <c r="D1041" s="2">
        <v>777</v>
      </c>
      <c r="E1041" s="2">
        <v>5357</v>
      </c>
      <c r="F1041" t="s">
        <v>350</v>
      </c>
      <c r="G1041">
        <v>46</v>
      </c>
      <c r="H1041">
        <v>45</v>
      </c>
      <c r="I1041">
        <v>0</v>
      </c>
      <c r="J1041">
        <v>0</v>
      </c>
      <c r="K1041">
        <v>1</v>
      </c>
      <c r="L1041" s="6">
        <f t="shared" si="118"/>
        <v>0.97826086956521741</v>
      </c>
      <c r="M1041">
        <v>407</v>
      </c>
      <c r="N1041">
        <v>47</v>
      </c>
      <c r="O1041" s="9">
        <v>0</v>
      </c>
      <c r="P1041">
        <v>0</v>
      </c>
      <c r="Q1041">
        <v>154</v>
      </c>
      <c r="R1041">
        <v>0</v>
      </c>
      <c r="S1041">
        <v>206</v>
      </c>
      <c r="T1041">
        <v>0</v>
      </c>
      <c r="U1041" s="3">
        <v>1</v>
      </c>
      <c r="V1041" s="3">
        <v>0.99779249448123619</v>
      </c>
    </row>
    <row r="1042" spans="1:22" x14ac:dyDescent="0.25">
      <c r="A1042" s="2">
        <v>2017</v>
      </c>
      <c r="B1042" t="s">
        <v>46</v>
      </c>
      <c r="C1042" t="s">
        <v>21</v>
      </c>
      <c r="D1042" s="2">
        <v>543</v>
      </c>
      <c r="E1042" s="2">
        <v>10917</v>
      </c>
      <c r="F1042" t="s">
        <v>341</v>
      </c>
      <c r="G1042">
        <v>28</v>
      </c>
      <c r="H1042">
        <v>28</v>
      </c>
      <c r="I1042">
        <v>0</v>
      </c>
      <c r="J1042">
        <v>0</v>
      </c>
      <c r="K1042">
        <v>0</v>
      </c>
      <c r="L1042" s="6">
        <f t="shared" ref="L1042:L1105" si="119">IF(G1042=0,0,SUM(H1042:J1042)/G1042)</f>
        <v>1</v>
      </c>
      <c r="M1042">
        <v>392</v>
      </c>
      <c r="N1042">
        <v>56</v>
      </c>
      <c r="O1042" s="9">
        <v>0</v>
      </c>
      <c r="P1042">
        <v>0</v>
      </c>
      <c r="Q1042">
        <v>177</v>
      </c>
      <c r="R1042">
        <v>0</v>
      </c>
      <c r="S1042">
        <v>158</v>
      </c>
      <c r="T1042">
        <v>1</v>
      </c>
      <c r="U1042" s="3">
        <v>1</v>
      </c>
      <c r="V1042" s="3">
        <v>1</v>
      </c>
    </row>
    <row r="1043" spans="1:22" x14ac:dyDescent="0.25">
      <c r="A1043" s="2">
        <v>2017</v>
      </c>
      <c r="B1043" t="s">
        <v>46</v>
      </c>
      <c r="C1043" t="s">
        <v>21</v>
      </c>
      <c r="D1043" s="2">
        <v>576</v>
      </c>
      <c r="E1043" s="2">
        <v>122114</v>
      </c>
      <c r="F1043" t="s">
        <v>342</v>
      </c>
      <c r="G1043">
        <v>3</v>
      </c>
      <c r="H1043">
        <v>3</v>
      </c>
      <c r="I1043">
        <v>0</v>
      </c>
      <c r="J1043">
        <v>0</v>
      </c>
      <c r="K1043">
        <v>0</v>
      </c>
      <c r="L1043" s="6">
        <f t="shared" si="119"/>
        <v>1</v>
      </c>
      <c r="M1043">
        <v>30</v>
      </c>
      <c r="N1043">
        <v>7</v>
      </c>
      <c r="O1043" s="9">
        <v>0</v>
      </c>
      <c r="P1043">
        <v>0</v>
      </c>
      <c r="Q1043">
        <v>13</v>
      </c>
      <c r="R1043">
        <v>0</v>
      </c>
      <c r="S1043">
        <v>10</v>
      </c>
      <c r="T1043">
        <v>0</v>
      </c>
      <c r="U1043" s="3">
        <v>1</v>
      </c>
      <c r="V1043" s="3">
        <v>1</v>
      </c>
    </row>
    <row r="1044" spans="1:22" x14ac:dyDescent="0.25">
      <c r="A1044" s="2">
        <v>2017</v>
      </c>
      <c r="B1044" t="s">
        <v>46</v>
      </c>
      <c r="C1044" t="s">
        <v>21</v>
      </c>
      <c r="D1044" s="2">
        <v>536</v>
      </c>
      <c r="E1044" s="2">
        <v>10757</v>
      </c>
      <c r="F1044" t="s">
        <v>351</v>
      </c>
      <c r="G1044">
        <v>0</v>
      </c>
      <c r="H1044">
        <v>0</v>
      </c>
      <c r="I1044">
        <v>0</v>
      </c>
      <c r="J1044">
        <v>0</v>
      </c>
      <c r="K1044">
        <v>0</v>
      </c>
      <c r="L1044" s="6">
        <f t="shared" si="119"/>
        <v>0</v>
      </c>
      <c r="M1044">
        <v>183</v>
      </c>
      <c r="N1044">
        <v>24</v>
      </c>
      <c r="O1044" s="9">
        <v>0</v>
      </c>
      <c r="P1044">
        <v>0</v>
      </c>
      <c r="Q1044">
        <v>120</v>
      </c>
      <c r="R1044">
        <v>0</v>
      </c>
      <c r="S1044">
        <v>39</v>
      </c>
      <c r="T1044">
        <v>0</v>
      </c>
      <c r="U1044" s="3">
        <v>1</v>
      </c>
      <c r="V1044" s="3">
        <v>1</v>
      </c>
    </row>
    <row r="1045" spans="1:22" x14ac:dyDescent="0.25">
      <c r="A1045" s="2">
        <v>2017</v>
      </c>
      <c r="B1045" t="s">
        <v>46</v>
      </c>
      <c r="C1045" t="s">
        <v>21</v>
      </c>
      <c r="D1045" s="2">
        <v>550</v>
      </c>
      <c r="E1045" s="2">
        <v>119292</v>
      </c>
      <c r="F1045" t="s">
        <v>344</v>
      </c>
      <c r="G1045">
        <v>14</v>
      </c>
      <c r="H1045">
        <v>14</v>
      </c>
      <c r="I1045">
        <v>0</v>
      </c>
      <c r="J1045">
        <v>0</v>
      </c>
      <c r="K1045">
        <v>0</v>
      </c>
      <c r="L1045" s="6">
        <f t="shared" si="119"/>
        <v>1</v>
      </c>
      <c r="M1045">
        <v>173</v>
      </c>
      <c r="N1045">
        <v>25</v>
      </c>
      <c r="O1045" s="9">
        <v>0</v>
      </c>
      <c r="P1045">
        <v>1</v>
      </c>
      <c r="Q1045">
        <v>78</v>
      </c>
      <c r="R1045">
        <v>1</v>
      </c>
      <c r="S1045">
        <v>68</v>
      </c>
      <c r="T1045">
        <v>0</v>
      </c>
      <c r="U1045" s="3">
        <v>0.98843930635838151</v>
      </c>
      <c r="V1045" s="3">
        <v>0.98930481283422456</v>
      </c>
    </row>
    <row r="1046" spans="1:22" x14ac:dyDescent="0.25">
      <c r="A1046" s="2">
        <v>2017</v>
      </c>
      <c r="B1046" t="s">
        <v>46</v>
      </c>
      <c r="C1046" t="s">
        <v>21</v>
      </c>
      <c r="D1046" s="2">
        <v>546</v>
      </c>
      <c r="E1046" s="2">
        <v>119467</v>
      </c>
      <c r="F1046" t="s">
        <v>345</v>
      </c>
      <c r="G1046">
        <v>8</v>
      </c>
      <c r="H1046">
        <v>8</v>
      </c>
      <c r="I1046">
        <v>0</v>
      </c>
      <c r="J1046">
        <v>0</v>
      </c>
      <c r="K1046">
        <v>0</v>
      </c>
      <c r="L1046" s="6">
        <f t="shared" si="119"/>
        <v>1</v>
      </c>
      <c r="M1046">
        <v>115</v>
      </c>
      <c r="N1046">
        <v>18</v>
      </c>
      <c r="O1046" s="9">
        <v>0</v>
      </c>
      <c r="P1046">
        <v>0</v>
      </c>
      <c r="Q1046">
        <v>50</v>
      </c>
      <c r="R1046">
        <v>2</v>
      </c>
      <c r="S1046">
        <v>45</v>
      </c>
      <c r="T1046">
        <v>0</v>
      </c>
      <c r="U1046" s="3">
        <v>0.9826086956521739</v>
      </c>
      <c r="V1046" s="3">
        <v>0.98373983739837401</v>
      </c>
    </row>
    <row r="1047" spans="1:22" x14ac:dyDescent="0.25">
      <c r="A1047" s="2">
        <v>2017</v>
      </c>
      <c r="B1047" t="s">
        <v>46</v>
      </c>
      <c r="C1047" t="s">
        <v>21</v>
      </c>
      <c r="D1047" s="2">
        <v>563</v>
      </c>
      <c r="E1047" s="2">
        <v>5246</v>
      </c>
      <c r="F1047" t="s">
        <v>347</v>
      </c>
      <c r="G1047">
        <v>2</v>
      </c>
      <c r="H1047">
        <v>2</v>
      </c>
      <c r="I1047">
        <v>0</v>
      </c>
      <c r="J1047">
        <v>0</v>
      </c>
      <c r="K1047">
        <v>0</v>
      </c>
      <c r="L1047" s="6">
        <f t="shared" si="119"/>
        <v>1</v>
      </c>
      <c r="M1047">
        <v>21</v>
      </c>
      <c r="N1047">
        <v>2</v>
      </c>
      <c r="O1047" s="9">
        <v>0</v>
      </c>
      <c r="P1047">
        <v>0</v>
      </c>
      <c r="Q1047">
        <v>6</v>
      </c>
      <c r="R1047">
        <v>0</v>
      </c>
      <c r="S1047">
        <v>13</v>
      </c>
      <c r="T1047">
        <v>0</v>
      </c>
      <c r="U1047" s="3">
        <v>1</v>
      </c>
      <c r="V1047" s="3">
        <v>1</v>
      </c>
    </row>
    <row r="1048" spans="1:22" x14ac:dyDescent="0.25">
      <c r="A1048" s="2">
        <v>2017</v>
      </c>
      <c r="B1048" t="s">
        <v>47</v>
      </c>
      <c r="C1048" t="s">
        <v>1</v>
      </c>
      <c r="D1048" s="2">
        <v>53</v>
      </c>
      <c r="E1048" s="2">
        <v>4713</v>
      </c>
      <c r="F1048" t="s">
        <v>470</v>
      </c>
      <c r="G1048">
        <v>14</v>
      </c>
      <c r="H1048">
        <v>14</v>
      </c>
      <c r="I1048">
        <v>0</v>
      </c>
      <c r="J1048">
        <v>0</v>
      </c>
      <c r="K1048">
        <v>0</v>
      </c>
      <c r="L1048" s="6">
        <f t="shared" si="119"/>
        <v>1</v>
      </c>
      <c r="M1048">
        <v>230</v>
      </c>
      <c r="N1048">
        <v>33</v>
      </c>
      <c r="O1048" s="9">
        <v>0</v>
      </c>
      <c r="P1048">
        <v>0</v>
      </c>
      <c r="Q1048">
        <v>111</v>
      </c>
      <c r="R1048">
        <v>1</v>
      </c>
      <c r="S1048">
        <v>85</v>
      </c>
      <c r="T1048">
        <v>0</v>
      </c>
      <c r="U1048" s="3">
        <v>0.9956521739130435</v>
      </c>
      <c r="V1048" s="3">
        <v>0.99590163934426235</v>
      </c>
    </row>
    <row r="1049" spans="1:22" x14ac:dyDescent="0.25">
      <c r="A1049" s="2">
        <v>2017</v>
      </c>
      <c r="B1049" t="s">
        <v>47</v>
      </c>
      <c r="C1049" t="s">
        <v>1</v>
      </c>
      <c r="D1049" s="2">
        <v>243</v>
      </c>
      <c r="E1049" s="2">
        <v>4498</v>
      </c>
      <c r="F1049" t="s">
        <v>471</v>
      </c>
      <c r="G1049">
        <v>5</v>
      </c>
      <c r="H1049">
        <v>5</v>
      </c>
      <c r="I1049">
        <v>0</v>
      </c>
      <c r="J1049">
        <v>0</v>
      </c>
      <c r="K1049">
        <v>0</v>
      </c>
      <c r="L1049" s="6">
        <f t="shared" si="119"/>
        <v>1</v>
      </c>
      <c r="M1049">
        <v>150</v>
      </c>
      <c r="N1049">
        <v>28</v>
      </c>
      <c r="O1049" s="9">
        <v>0</v>
      </c>
      <c r="P1049">
        <v>0</v>
      </c>
      <c r="Q1049">
        <v>70</v>
      </c>
      <c r="R1049">
        <v>0</v>
      </c>
      <c r="S1049">
        <v>51</v>
      </c>
      <c r="T1049">
        <v>1</v>
      </c>
      <c r="U1049" s="3">
        <v>1</v>
      </c>
      <c r="V1049" s="3">
        <v>1</v>
      </c>
    </row>
    <row r="1050" spans="1:22" x14ac:dyDescent="0.25">
      <c r="A1050" s="2">
        <v>2017</v>
      </c>
      <c r="B1050" t="s">
        <v>47</v>
      </c>
      <c r="C1050" t="s">
        <v>1</v>
      </c>
      <c r="D1050" s="2">
        <v>16594</v>
      </c>
      <c r="E1050" s="2">
        <v>119329</v>
      </c>
      <c r="F1050" t="s">
        <v>472</v>
      </c>
      <c r="G1050">
        <v>16</v>
      </c>
      <c r="H1050">
        <v>16</v>
      </c>
      <c r="I1050">
        <v>0</v>
      </c>
      <c r="J1050">
        <v>0</v>
      </c>
      <c r="K1050">
        <v>0</v>
      </c>
      <c r="L1050" s="6">
        <f t="shared" si="119"/>
        <v>1</v>
      </c>
      <c r="M1050">
        <v>265</v>
      </c>
      <c r="N1050">
        <v>41</v>
      </c>
      <c r="O1050" s="9">
        <v>0</v>
      </c>
      <c r="P1050">
        <v>0</v>
      </c>
      <c r="Q1050">
        <v>132</v>
      </c>
      <c r="R1050">
        <v>1</v>
      </c>
      <c r="S1050">
        <v>90</v>
      </c>
      <c r="T1050">
        <v>1</v>
      </c>
      <c r="U1050" s="3">
        <v>0.99622641509433962</v>
      </c>
      <c r="V1050" s="3">
        <v>0.99644128113879005</v>
      </c>
    </row>
    <row r="1051" spans="1:22" x14ac:dyDescent="0.25">
      <c r="A1051" s="2">
        <v>2017</v>
      </c>
      <c r="B1051" t="s">
        <v>47</v>
      </c>
      <c r="C1051" t="s">
        <v>1</v>
      </c>
      <c r="D1051" s="2">
        <v>335</v>
      </c>
      <c r="E1051" s="2">
        <v>2726</v>
      </c>
      <c r="F1051" t="s">
        <v>473</v>
      </c>
      <c r="G1051">
        <v>27</v>
      </c>
      <c r="H1051">
        <v>25</v>
      </c>
      <c r="I1051">
        <v>2</v>
      </c>
      <c r="J1051">
        <v>0</v>
      </c>
      <c r="K1051">
        <v>0</v>
      </c>
      <c r="L1051" s="6">
        <f t="shared" si="119"/>
        <v>1</v>
      </c>
      <c r="M1051">
        <v>292</v>
      </c>
      <c r="N1051">
        <v>37</v>
      </c>
      <c r="O1051" s="9">
        <v>0</v>
      </c>
      <c r="P1051">
        <v>0</v>
      </c>
      <c r="Q1051">
        <v>109</v>
      </c>
      <c r="R1051">
        <v>0</v>
      </c>
      <c r="S1051">
        <v>146</v>
      </c>
      <c r="T1051">
        <v>0</v>
      </c>
      <c r="U1051" s="3">
        <v>1</v>
      </c>
      <c r="V1051" s="3">
        <v>1</v>
      </c>
    </row>
    <row r="1052" spans="1:22" x14ac:dyDescent="0.25">
      <c r="A1052" s="2">
        <v>2017</v>
      </c>
      <c r="B1052" t="s">
        <v>47</v>
      </c>
      <c r="C1052" t="s">
        <v>1</v>
      </c>
      <c r="D1052" s="2">
        <v>0</v>
      </c>
      <c r="E1052" s="2">
        <v>0</v>
      </c>
      <c r="F1052" t="s">
        <v>356</v>
      </c>
      <c r="G1052">
        <v>0</v>
      </c>
      <c r="H1052">
        <v>0</v>
      </c>
      <c r="I1052">
        <v>0</v>
      </c>
      <c r="J1052">
        <v>0</v>
      </c>
      <c r="K1052">
        <v>0</v>
      </c>
      <c r="L1052" s="6">
        <f t="shared" si="119"/>
        <v>0</v>
      </c>
      <c r="M1052">
        <v>30</v>
      </c>
      <c r="N1052">
        <v>10</v>
      </c>
      <c r="O1052" s="9">
        <v>0</v>
      </c>
      <c r="P1052">
        <v>0</v>
      </c>
      <c r="Q1052">
        <v>11</v>
      </c>
      <c r="R1052">
        <v>0</v>
      </c>
      <c r="S1052">
        <v>9</v>
      </c>
      <c r="T1052">
        <v>0</v>
      </c>
      <c r="U1052" s="3">
        <v>1</v>
      </c>
      <c r="V1052" s="3">
        <v>1</v>
      </c>
    </row>
    <row r="1053" spans="1:22" x14ac:dyDescent="0.25">
      <c r="A1053" s="2">
        <v>2017</v>
      </c>
      <c r="B1053" t="s">
        <v>47</v>
      </c>
      <c r="C1053" t="s">
        <v>1</v>
      </c>
      <c r="D1053" s="2">
        <v>473</v>
      </c>
      <c r="E1053" s="2">
        <v>5243</v>
      </c>
      <c r="F1053" t="s">
        <v>474</v>
      </c>
      <c r="G1053">
        <v>13</v>
      </c>
      <c r="H1053">
        <v>13</v>
      </c>
      <c r="I1053">
        <v>0</v>
      </c>
      <c r="J1053">
        <v>0</v>
      </c>
      <c r="K1053">
        <v>0</v>
      </c>
      <c r="L1053" s="6">
        <f t="shared" si="119"/>
        <v>1</v>
      </c>
      <c r="M1053">
        <v>265</v>
      </c>
      <c r="N1053">
        <v>34</v>
      </c>
      <c r="O1053" s="9">
        <v>0</v>
      </c>
      <c r="P1053">
        <v>0</v>
      </c>
      <c r="Q1053">
        <v>124</v>
      </c>
      <c r="R1053">
        <v>1</v>
      </c>
      <c r="S1053">
        <v>104</v>
      </c>
      <c r="T1053">
        <v>2</v>
      </c>
      <c r="U1053" s="3">
        <v>0.99622641509433962</v>
      </c>
      <c r="V1053" s="3">
        <v>0.99640287769784175</v>
      </c>
    </row>
    <row r="1054" spans="1:22" x14ac:dyDescent="0.25">
      <c r="A1054" s="2">
        <v>2017</v>
      </c>
      <c r="B1054" t="s">
        <v>47</v>
      </c>
      <c r="C1054" t="s">
        <v>1</v>
      </c>
      <c r="D1054" s="2">
        <v>67</v>
      </c>
      <c r="E1054" s="2">
        <v>2833</v>
      </c>
      <c r="F1054" t="s">
        <v>475</v>
      </c>
      <c r="G1054">
        <v>9</v>
      </c>
      <c r="H1054">
        <v>9</v>
      </c>
      <c r="I1054">
        <v>0</v>
      </c>
      <c r="J1054">
        <v>0</v>
      </c>
      <c r="K1054">
        <v>0</v>
      </c>
      <c r="L1054" s="6">
        <f t="shared" si="119"/>
        <v>1</v>
      </c>
      <c r="M1054">
        <v>89</v>
      </c>
      <c r="N1054">
        <v>12</v>
      </c>
      <c r="O1054" s="9">
        <v>0</v>
      </c>
      <c r="P1054">
        <v>0</v>
      </c>
      <c r="Q1054">
        <v>36</v>
      </c>
      <c r="R1054">
        <v>0</v>
      </c>
      <c r="S1054">
        <v>41</v>
      </c>
      <c r="T1054">
        <v>0</v>
      </c>
      <c r="U1054" s="3">
        <v>1</v>
      </c>
      <c r="V1054" s="3">
        <v>1</v>
      </c>
    </row>
    <row r="1055" spans="1:22" x14ac:dyDescent="0.25">
      <c r="A1055" s="2">
        <v>2017</v>
      </c>
      <c r="B1055" t="s">
        <v>47</v>
      </c>
      <c r="C1055" t="s">
        <v>1</v>
      </c>
      <c r="D1055" s="2">
        <v>3621</v>
      </c>
      <c r="E1055" s="2">
        <v>9748</v>
      </c>
      <c r="F1055" t="s">
        <v>476</v>
      </c>
      <c r="G1055">
        <v>12</v>
      </c>
      <c r="H1055">
        <v>12</v>
      </c>
      <c r="I1055">
        <v>0</v>
      </c>
      <c r="J1055">
        <v>0</v>
      </c>
      <c r="K1055">
        <v>0</v>
      </c>
      <c r="L1055" s="6">
        <f t="shared" si="119"/>
        <v>1</v>
      </c>
      <c r="M1055">
        <v>206</v>
      </c>
      <c r="N1055">
        <v>38</v>
      </c>
      <c r="O1055" s="9">
        <v>0</v>
      </c>
      <c r="P1055">
        <v>0</v>
      </c>
      <c r="Q1055">
        <v>72</v>
      </c>
      <c r="R1055">
        <v>1</v>
      </c>
      <c r="S1055">
        <v>95</v>
      </c>
      <c r="T1055">
        <v>0</v>
      </c>
      <c r="U1055" s="3">
        <v>0.99514563106796117</v>
      </c>
      <c r="V1055" s="3">
        <v>0.99541284403669728</v>
      </c>
    </row>
    <row r="1056" spans="1:22" x14ac:dyDescent="0.25">
      <c r="A1056" s="2">
        <v>2017</v>
      </c>
      <c r="B1056" t="s">
        <v>47</v>
      </c>
      <c r="C1056" t="s">
        <v>1</v>
      </c>
      <c r="D1056" s="2">
        <v>567</v>
      </c>
      <c r="E1056" s="2">
        <v>3218</v>
      </c>
      <c r="F1056" t="s">
        <v>477</v>
      </c>
      <c r="G1056">
        <v>9</v>
      </c>
      <c r="H1056">
        <v>9</v>
      </c>
      <c r="I1056">
        <v>0</v>
      </c>
      <c r="J1056">
        <v>0</v>
      </c>
      <c r="K1056">
        <v>0</v>
      </c>
      <c r="L1056" s="6">
        <f t="shared" si="119"/>
        <v>1</v>
      </c>
      <c r="M1056">
        <v>214</v>
      </c>
      <c r="N1056">
        <v>31</v>
      </c>
      <c r="O1056" s="9">
        <v>0</v>
      </c>
      <c r="P1056">
        <v>0</v>
      </c>
      <c r="Q1056">
        <v>84</v>
      </c>
      <c r="R1056">
        <v>0</v>
      </c>
      <c r="S1056">
        <v>99</v>
      </c>
      <c r="T1056">
        <v>0</v>
      </c>
      <c r="U1056" s="3">
        <v>1</v>
      </c>
      <c r="V1056" s="3">
        <v>1</v>
      </c>
    </row>
    <row r="1057" spans="1:22" x14ac:dyDescent="0.25">
      <c r="A1057" s="2">
        <v>2017</v>
      </c>
      <c r="B1057" t="s">
        <v>47</v>
      </c>
      <c r="C1057" t="s">
        <v>1</v>
      </c>
      <c r="D1057" s="2">
        <v>20430</v>
      </c>
      <c r="E1057" s="2">
        <v>120449</v>
      </c>
      <c r="F1057" t="s">
        <v>505</v>
      </c>
      <c r="G1057">
        <v>3</v>
      </c>
      <c r="H1057">
        <v>3</v>
      </c>
      <c r="I1057">
        <v>0</v>
      </c>
      <c r="J1057">
        <v>0</v>
      </c>
      <c r="K1057">
        <v>0</v>
      </c>
      <c r="L1057" s="6">
        <f t="shared" si="119"/>
        <v>1</v>
      </c>
      <c r="M1057">
        <v>14</v>
      </c>
      <c r="N1057">
        <v>3</v>
      </c>
      <c r="O1057" s="9">
        <v>0</v>
      </c>
      <c r="P1057">
        <v>0</v>
      </c>
      <c r="Q1057">
        <v>4</v>
      </c>
      <c r="R1057">
        <v>0</v>
      </c>
      <c r="S1057">
        <v>7</v>
      </c>
      <c r="T1057">
        <v>0</v>
      </c>
      <c r="U1057" s="3">
        <v>1</v>
      </c>
      <c r="V1057" s="3">
        <v>1</v>
      </c>
    </row>
    <row r="1058" spans="1:22" x14ac:dyDescent="0.25">
      <c r="A1058" s="2">
        <v>2017</v>
      </c>
      <c r="B1058" t="s">
        <v>47</v>
      </c>
      <c r="C1058" t="s">
        <v>1</v>
      </c>
      <c r="D1058" s="2">
        <v>627</v>
      </c>
      <c r="E1058" s="2">
        <v>3693</v>
      </c>
      <c r="F1058" t="s">
        <v>478</v>
      </c>
      <c r="G1058">
        <v>31</v>
      </c>
      <c r="H1058">
        <v>31</v>
      </c>
      <c r="I1058">
        <v>0</v>
      </c>
      <c r="J1058">
        <v>0</v>
      </c>
      <c r="K1058">
        <v>0</v>
      </c>
      <c r="L1058" s="6">
        <f t="shared" si="119"/>
        <v>1</v>
      </c>
      <c r="M1058">
        <v>347</v>
      </c>
      <c r="N1058">
        <v>47</v>
      </c>
      <c r="O1058" s="9">
        <v>0</v>
      </c>
      <c r="P1058">
        <v>0</v>
      </c>
      <c r="Q1058">
        <v>155</v>
      </c>
      <c r="R1058">
        <v>0</v>
      </c>
      <c r="S1058">
        <v>145</v>
      </c>
      <c r="T1058">
        <v>0</v>
      </c>
      <c r="U1058" s="3">
        <v>1</v>
      </c>
      <c r="V1058" s="3">
        <v>1</v>
      </c>
    </row>
    <row r="1059" spans="1:22" x14ac:dyDescent="0.25">
      <c r="A1059" s="2">
        <v>2017</v>
      </c>
      <c r="B1059" t="s">
        <v>47</v>
      </c>
      <c r="C1059" t="s">
        <v>1</v>
      </c>
      <c r="D1059" s="2">
        <v>130</v>
      </c>
      <c r="E1059" s="2">
        <v>5419</v>
      </c>
      <c r="F1059" t="s">
        <v>479</v>
      </c>
      <c r="G1059">
        <v>12</v>
      </c>
      <c r="H1059">
        <v>12</v>
      </c>
      <c r="I1059">
        <v>0</v>
      </c>
      <c r="J1059">
        <v>0</v>
      </c>
      <c r="K1059">
        <v>0</v>
      </c>
      <c r="L1059" s="6">
        <f t="shared" si="119"/>
        <v>1</v>
      </c>
      <c r="M1059">
        <v>237</v>
      </c>
      <c r="N1059">
        <v>40</v>
      </c>
      <c r="O1059" s="9">
        <v>0</v>
      </c>
      <c r="P1059">
        <v>0</v>
      </c>
      <c r="Q1059">
        <v>87</v>
      </c>
      <c r="R1059">
        <v>1</v>
      </c>
      <c r="S1059">
        <v>108</v>
      </c>
      <c r="T1059">
        <v>1</v>
      </c>
      <c r="U1059" s="3">
        <v>0.99578059071729963</v>
      </c>
      <c r="V1059" s="3">
        <v>0.99598393574297184</v>
      </c>
    </row>
    <row r="1060" spans="1:22" x14ac:dyDescent="0.25">
      <c r="A1060" s="2">
        <v>2017</v>
      </c>
      <c r="B1060" t="s">
        <v>47</v>
      </c>
      <c r="C1060" t="s">
        <v>1</v>
      </c>
      <c r="D1060" s="2">
        <v>1397</v>
      </c>
      <c r="E1060" s="2">
        <v>3661</v>
      </c>
      <c r="F1060" t="s">
        <v>480</v>
      </c>
      <c r="G1060">
        <v>12</v>
      </c>
      <c r="H1060">
        <v>12</v>
      </c>
      <c r="I1060">
        <v>0</v>
      </c>
      <c r="J1060">
        <v>0</v>
      </c>
      <c r="K1060">
        <v>0</v>
      </c>
      <c r="L1060" s="6">
        <f t="shared" si="119"/>
        <v>1</v>
      </c>
      <c r="M1060">
        <v>167</v>
      </c>
      <c r="N1060">
        <v>24</v>
      </c>
      <c r="O1060" s="9">
        <v>0</v>
      </c>
      <c r="P1060">
        <v>0</v>
      </c>
      <c r="Q1060">
        <v>64</v>
      </c>
      <c r="R1060">
        <v>0</v>
      </c>
      <c r="S1060">
        <v>79</v>
      </c>
      <c r="T1060">
        <v>0</v>
      </c>
      <c r="U1060" s="3">
        <v>1</v>
      </c>
      <c r="V1060" s="3">
        <v>1</v>
      </c>
    </row>
    <row r="1061" spans="1:22" x14ac:dyDescent="0.25">
      <c r="A1061" s="2">
        <v>2017</v>
      </c>
      <c r="B1061" t="s">
        <v>47</v>
      </c>
      <c r="C1061" t="s">
        <v>1</v>
      </c>
      <c r="D1061" s="2">
        <v>136</v>
      </c>
      <c r="E1061" s="2">
        <v>2834</v>
      </c>
      <c r="F1061" t="s">
        <v>482</v>
      </c>
      <c r="G1061">
        <v>12</v>
      </c>
      <c r="H1061">
        <v>11</v>
      </c>
      <c r="I1061">
        <v>0</v>
      </c>
      <c r="J1061">
        <v>0</v>
      </c>
      <c r="K1061">
        <v>1</v>
      </c>
      <c r="L1061" s="6">
        <f t="shared" si="119"/>
        <v>0.91666666666666663</v>
      </c>
      <c r="M1061">
        <v>163</v>
      </c>
      <c r="N1061">
        <v>31</v>
      </c>
      <c r="O1061" s="9">
        <v>0</v>
      </c>
      <c r="P1061">
        <v>0</v>
      </c>
      <c r="Q1061">
        <v>79</v>
      </c>
      <c r="R1061">
        <v>0</v>
      </c>
      <c r="S1061">
        <v>53</v>
      </c>
      <c r="T1061">
        <v>0</v>
      </c>
      <c r="U1061" s="3">
        <v>1</v>
      </c>
      <c r="V1061" s="3">
        <v>0.99428571428571433</v>
      </c>
    </row>
    <row r="1062" spans="1:22" x14ac:dyDescent="0.25">
      <c r="A1062" s="2">
        <v>2017</v>
      </c>
      <c r="B1062" t="s">
        <v>47</v>
      </c>
      <c r="C1062" t="s">
        <v>1</v>
      </c>
      <c r="D1062" s="2">
        <v>138</v>
      </c>
      <c r="E1062" s="2">
        <v>2741</v>
      </c>
      <c r="F1062" t="s">
        <v>483</v>
      </c>
      <c r="G1062">
        <v>14</v>
      </c>
      <c r="H1062">
        <v>14</v>
      </c>
      <c r="I1062">
        <v>0</v>
      </c>
      <c r="J1062">
        <v>0</v>
      </c>
      <c r="K1062">
        <v>0</v>
      </c>
      <c r="L1062" s="6">
        <f t="shared" si="119"/>
        <v>1</v>
      </c>
      <c r="M1062">
        <v>169</v>
      </c>
      <c r="N1062">
        <v>18</v>
      </c>
      <c r="O1062" s="9">
        <v>0</v>
      </c>
      <c r="P1062">
        <v>0</v>
      </c>
      <c r="Q1062">
        <v>54</v>
      </c>
      <c r="R1062">
        <v>0</v>
      </c>
      <c r="S1062">
        <v>97</v>
      </c>
      <c r="T1062">
        <v>0</v>
      </c>
      <c r="U1062" s="3">
        <v>1</v>
      </c>
      <c r="V1062" s="3">
        <v>1</v>
      </c>
    </row>
    <row r="1063" spans="1:22" x14ac:dyDescent="0.25">
      <c r="A1063" s="2">
        <v>2017</v>
      </c>
      <c r="B1063" t="s">
        <v>47</v>
      </c>
      <c r="C1063" t="s">
        <v>1</v>
      </c>
      <c r="D1063" s="2">
        <v>19352</v>
      </c>
      <c r="E1063" s="2">
        <v>122191</v>
      </c>
      <c r="F1063" t="s">
        <v>484</v>
      </c>
      <c r="G1063">
        <v>17</v>
      </c>
      <c r="H1063">
        <v>17</v>
      </c>
      <c r="I1063">
        <v>0</v>
      </c>
      <c r="J1063">
        <v>0</v>
      </c>
      <c r="K1063">
        <v>0</v>
      </c>
      <c r="L1063" s="6">
        <f t="shared" si="119"/>
        <v>1</v>
      </c>
      <c r="M1063">
        <v>314</v>
      </c>
      <c r="N1063">
        <v>46</v>
      </c>
      <c r="O1063" s="9">
        <v>0</v>
      </c>
      <c r="P1063">
        <v>0</v>
      </c>
      <c r="Q1063">
        <v>152</v>
      </c>
      <c r="R1063">
        <v>0</v>
      </c>
      <c r="S1063">
        <v>115</v>
      </c>
      <c r="T1063">
        <v>1</v>
      </c>
      <c r="U1063" s="3">
        <v>1</v>
      </c>
      <c r="V1063" s="3">
        <v>1</v>
      </c>
    </row>
    <row r="1064" spans="1:22" x14ac:dyDescent="0.25">
      <c r="A1064" s="2">
        <v>2017</v>
      </c>
      <c r="B1064" t="s">
        <v>47</v>
      </c>
      <c r="C1064" t="s">
        <v>1</v>
      </c>
      <c r="D1064" s="2">
        <v>1632</v>
      </c>
      <c r="E1064" s="2">
        <v>2953</v>
      </c>
      <c r="F1064" t="s">
        <v>485</v>
      </c>
      <c r="G1064">
        <v>9</v>
      </c>
      <c r="H1064">
        <v>9</v>
      </c>
      <c r="I1064">
        <v>0</v>
      </c>
      <c r="J1064">
        <v>0</v>
      </c>
      <c r="K1064">
        <v>0</v>
      </c>
      <c r="L1064" s="6">
        <f t="shared" si="119"/>
        <v>1</v>
      </c>
      <c r="M1064">
        <v>177</v>
      </c>
      <c r="N1064">
        <v>23</v>
      </c>
      <c r="O1064" s="9">
        <v>0</v>
      </c>
      <c r="P1064">
        <v>0</v>
      </c>
      <c r="Q1064">
        <v>79</v>
      </c>
      <c r="R1064">
        <v>0</v>
      </c>
      <c r="S1064">
        <v>74</v>
      </c>
      <c r="T1064">
        <v>1</v>
      </c>
      <c r="U1064" s="3">
        <v>1</v>
      </c>
      <c r="V1064" s="3">
        <v>1</v>
      </c>
    </row>
    <row r="1065" spans="1:22" x14ac:dyDescent="0.25">
      <c r="A1065" s="2">
        <v>2017</v>
      </c>
      <c r="B1065" t="s">
        <v>47</v>
      </c>
      <c r="C1065" t="s">
        <v>1</v>
      </c>
      <c r="D1065" s="2">
        <v>1667</v>
      </c>
      <c r="E1065" s="2">
        <v>4727</v>
      </c>
      <c r="F1065" t="s">
        <v>487</v>
      </c>
      <c r="G1065">
        <v>13</v>
      </c>
      <c r="H1065">
        <v>13</v>
      </c>
      <c r="I1065">
        <v>0</v>
      </c>
      <c r="J1065">
        <v>0</v>
      </c>
      <c r="K1065">
        <v>0</v>
      </c>
      <c r="L1065" s="6">
        <f t="shared" si="119"/>
        <v>1</v>
      </c>
      <c r="M1065">
        <v>176</v>
      </c>
      <c r="N1065">
        <v>27</v>
      </c>
      <c r="O1065" s="9">
        <v>0</v>
      </c>
      <c r="P1065">
        <v>0</v>
      </c>
      <c r="Q1065">
        <v>90</v>
      </c>
      <c r="R1065">
        <v>0</v>
      </c>
      <c r="S1065">
        <v>59</v>
      </c>
      <c r="T1065">
        <v>0</v>
      </c>
      <c r="U1065" s="3">
        <v>1</v>
      </c>
      <c r="V1065" s="3">
        <v>1</v>
      </c>
    </row>
    <row r="1066" spans="1:22" x14ac:dyDescent="0.25">
      <c r="A1066" s="2">
        <v>2017</v>
      </c>
      <c r="B1066" t="s">
        <v>47</v>
      </c>
      <c r="C1066" t="s">
        <v>1</v>
      </c>
      <c r="D1066" s="2">
        <v>20010</v>
      </c>
      <c r="E1066" s="2">
        <v>119432</v>
      </c>
      <c r="F1066" t="s">
        <v>488</v>
      </c>
      <c r="G1066">
        <v>19</v>
      </c>
      <c r="H1066">
        <v>19</v>
      </c>
      <c r="I1066">
        <v>0</v>
      </c>
      <c r="J1066">
        <v>0</v>
      </c>
      <c r="K1066">
        <v>0</v>
      </c>
      <c r="L1066" s="6">
        <f t="shared" si="119"/>
        <v>1</v>
      </c>
      <c r="M1066">
        <v>234</v>
      </c>
      <c r="N1066">
        <v>30</v>
      </c>
      <c r="O1066" s="9">
        <v>0</v>
      </c>
      <c r="P1066">
        <v>0</v>
      </c>
      <c r="Q1066">
        <v>92</v>
      </c>
      <c r="R1066">
        <v>0</v>
      </c>
      <c r="S1066">
        <v>111</v>
      </c>
      <c r="T1066">
        <v>1</v>
      </c>
      <c r="U1066" s="3">
        <v>1</v>
      </c>
      <c r="V1066" s="3">
        <v>1</v>
      </c>
    </row>
    <row r="1067" spans="1:22" x14ac:dyDescent="0.25">
      <c r="A1067" s="2">
        <v>2017</v>
      </c>
      <c r="B1067" t="s">
        <v>47</v>
      </c>
      <c r="C1067" t="s">
        <v>1</v>
      </c>
      <c r="D1067" s="2">
        <v>639</v>
      </c>
      <c r="E1067" s="2">
        <v>4723</v>
      </c>
      <c r="F1067" t="s">
        <v>489</v>
      </c>
      <c r="G1067">
        <v>16</v>
      </c>
      <c r="H1067">
        <v>16</v>
      </c>
      <c r="I1067">
        <v>0</v>
      </c>
      <c r="J1067">
        <v>0</v>
      </c>
      <c r="K1067">
        <v>0</v>
      </c>
      <c r="L1067" s="6">
        <f t="shared" si="119"/>
        <v>1</v>
      </c>
      <c r="M1067">
        <v>269</v>
      </c>
      <c r="N1067">
        <v>38</v>
      </c>
      <c r="O1067" s="9">
        <v>0</v>
      </c>
      <c r="P1067">
        <v>0</v>
      </c>
      <c r="Q1067">
        <v>130</v>
      </c>
      <c r="R1067">
        <v>0</v>
      </c>
      <c r="S1067">
        <v>101</v>
      </c>
      <c r="T1067">
        <v>0</v>
      </c>
      <c r="U1067" s="3">
        <v>1</v>
      </c>
      <c r="V1067" s="3">
        <v>1</v>
      </c>
    </row>
    <row r="1068" spans="1:22" x14ac:dyDescent="0.25">
      <c r="A1068" s="2">
        <v>2017</v>
      </c>
      <c r="B1068" t="s">
        <v>47</v>
      </c>
      <c r="C1068" t="s">
        <v>1</v>
      </c>
      <c r="D1068" s="2">
        <v>1909</v>
      </c>
      <c r="E1068" s="2">
        <v>5437</v>
      </c>
      <c r="F1068" t="s">
        <v>490</v>
      </c>
      <c r="G1068">
        <v>16</v>
      </c>
      <c r="H1068">
        <v>15</v>
      </c>
      <c r="I1068">
        <v>0</v>
      </c>
      <c r="J1068">
        <v>1</v>
      </c>
      <c r="K1068">
        <v>0</v>
      </c>
      <c r="L1068" s="6">
        <f t="shared" si="119"/>
        <v>1</v>
      </c>
      <c r="M1068">
        <v>295</v>
      </c>
      <c r="N1068">
        <v>45</v>
      </c>
      <c r="O1068" s="9">
        <v>0</v>
      </c>
      <c r="P1068">
        <v>0</v>
      </c>
      <c r="Q1068">
        <v>141</v>
      </c>
      <c r="R1068">
        <v>0</v>
      </c>
      <c r="S1068">
        <v>108</v>
      </c>
      <c r="T1068">
        <v>1</v>
      </c>
      <c r="U1068" s="3">
        <v>1</v>
      </c>
      <c r="V1068" s="3">
        <v>1</v>
      </c>
    </row>
    <row r="1069" spans="1:22" x14ac:dyDescent="0.25">
      <c r="A1069" s="2">
        <v>2017</v>
      </c>
      <c r="B1069" t="s">
        <v>47</v>
      </c>
      <c r="C1069" t="s">
        <v>1</v>
      </c>
      <c r="D1069" s="2">
        <v>3622</v>
      </c>
      <c r="E1069" s="2">
        <v>5670</v>
      </c>
      <c r="F1069" t="s">
        <v>491</v>
      </c>
      <c r="G1069">
        <v>9</v>
      </c>
      <c r="H1069">
        <v>9</v>
      </c>
      <c r="I1069">
        <v>0</v>
      </c>
      <c r="J1069">
        <v>0</v>
      </c>
      <c r="K1069">
        <v>0</v>
      </c>
      <c r="L1069" s="6">
        <f t="shared" si="119"/>
        <v>1</v>
      </c>
      <c r="M1069">
        <v>304</v>
      </c>
      <c r="N1069">
        <v>50</v>
      </c>
      <c r="O1069" s="9">
        <v>0</v>
      </c>
      <c r="P1069">
        <v>0</v>
      </c>
      <c r="Q1069">
        <v>131</v>
      </c>
      <c r="R1069">
        <v>0</v>
      </c>
      <c r="S1069">
        <v>123</v>
      </c>
      <c r="T1069">
        <v>0</v>
      </c>
      <c r="U1069" s="3">
        <v>1</v>
      </c>
      <c r="V1069" s="3">
        <v>1</v>
      </c>
    </row>
    <row r="1070" spans="1:22" x14ac:dyDescent="0.25">
      <c r="A1070" s="2">
        <v>2017</v>
      </c>
      <c r="B1070" t="s">
        <v>47</v>
      </c>
      <c r="C1070" t="s">
        <v>1</v>
      </c>
      <c r="D1070" s="2">
        <v>15555</v>
      </c>
      <c r="E1070" s="2">
        <v>9514</v>
      </c>
      <c r="F1070" t="s">
        <v>492</v>
      </c>
      <c r="G1070">
        <v>12</v>
      </c>
      <c r="H1070">
        <v>12</v>
      </c>
      <c r="I1070">
        <v>0</v>
      </c>
      <c r="J1070">
        <v>0</v>
      </c>
      <c r="K1070">
        <v>0</v>
      </c>
      <c r="L1070" s="6">
        <f t="shared" si="119"/>
        <v>1</v>
      </c>
      <c r="M1070">
        <v>231</v>
      </c>
      <c r="N1070">
        <v>29</v>
      </c>
      <c r="O1070" s="9">
        <v>0</v>
      </c>
      <c r="P1070">
        <v>0</v>
      </c>
      <c r="Q1070">
        <v>102</v>
      </c>
      <c r="R1070">
        <v>1</v>
      </c>
      <c r="S1070">
        <v>99</v>
      </c>
      <c r="T1070">
        <v>0</v>
      </c>
      <c r="U1070" s="3">
        <v>0.99567099567099571</v>
      </c>
      <c r="V1070" s="3">
        <v>0.99588477366255146</v>
      </c>
    </row>
    <row r="1071" spans="1:22" x14ac:dyDescent="0.25">
      <c r="A1071" s="2">
        <v>2017</v>
      </c>
      <c r="B1071" t="s">
        <v>47</v>
      </c>
      <c r="C1071" t="s">
        <v>1</v>
      </c>
      <c r="D1071" s="2">
        <v>820</v>
      </c>
      <c r="E1071" s="2">
        <v>5431</v>
      </c>
      <c r="F1071" t="s">
        <v>493</v>
      </c>
      <c r="G1071">
        <v>11</v>
      </c>
      <c r="H1071">
        <v>11</v>
      </c>
      <c r="I1071">
        <v>0</v>
      </c>
      <c r="J1071">
        <v>0</v>
      </c>
      <c r="K1071">
        <v>0</v>
      </c>
      <c r="L1071" s="6">
        <f t="shared" si="119"/>
        <v>1</v>
      </c>
      <c r="M1071">
        <v>205</v>
      </c>
      <c r="N1071">
        <v>33</v>
      </c>
      <c r="O1071" s="9">
        <v>0</v>
      </c>
      <c r="P1071">
        <v>0</v>
      </c>
      <c r="Q1071">
        <v>95</v>
      </c>
      <c r="R1071">
        <v>0</v>
      </c>
      <c r="S1071">
        <v>77</v>
      </c>
      <c r="T1071">
        <v>0</v>
      </c>
      <c r="U1071" s="3">
        <v>1</v>
      </c>
      <c r="V1071" s="3">
        <v>1</v>
      </c>
    </row>
    <row r="1072" spans="1:22" x14ac:dyDescent="0.25">
      <c r="A1072" s="2">
        <v>2017</v>
      </c>
      <c r="B1072" t="s">
        <v>47</v>
      </c>
      <c r="C1072" t="s">
        <v>1</v>
      </c>
      <c r="D1072" s="2">
        <v>3595</v>
      </c>
      <c r="E1072" s="2">
        <v>9918</v>
      </c>
      <c r="F1072" t="s">
        <v>495</v>
      </c>
      <c r="G1072">
        <v>16</v>
      </c>
      <c r="H1072">
        <v>16</v>
      </c>
      <c r="I1072">
        <v>0</v>
      </c>
      <c r="J1072">
        <v>0</v>
      </c>
      <c r="K1072">
        <v>0</v>
      </c>
      <c r="L1072" s="6">
        <f t="shared" si="119"/>
        <v>1</v>
      </c>
      <c r="M1072">
        <v>184</v>
      </c>
      <c r="N1072">
        <v>28</v>
      </c>
      <c r="O1072" s="9">
        <v>0</v>
      </c>
      <c r="P1072">
        <v>0</v>
      </c>
      <c r="Q1072">
        <v>81</v>
      </c>
      <c r="R1072">
        <v>0</v>
      </c>
      <c r="S1072">
        <v>74</v>
      </c>
      <c r="T1072">
        <v>1</v>
      </c>
      <c r="U1072" s="3">
        <v>1</v>
      </c>
      <c r="V1072" s="3">
        <v>1</v>
      </c>
    </row>
    <row r="1073" spans="1:22" x14ac:dyDescent="0.25">
      <c r="A1073" s="2">
        <v>2017</v>
      </c>
      <c r="B1073" t="s">
        <v>47</v>
      </c>
      <c r="C1073" t="s">
        <v>1</v>
      </c>
      <c r="D1073" s="2">
        <v>1016</v>
      </c>
      <c r="E1073" s="2">
        <v>2749</v>
      </c>
      <c r="F1073" t="s">
        <v>496</v>
      </c>
      <c r="G1073">
        <v>24</v>
      </c>
      <c r="H1073">
        <v>24</v>
      </c>
      <c r="I1073">
        <v>0</v>
      </c>
      <c r="J1073">
        <v>0</v>
      </c>
      <c r="K1073">
        <v>0</v>
      </c>
      <c r="L1073" s="6">
        <f t="shared" si="119"/>
        <v>1</v>
      </c>
      <c r="M1073">
        <v>262</v>
      </c>
      <c r="N1073">
        <v>40</v>
      </c>
      <c r="O1073" s="9">
        <v>0</v>
      </c>
      <c r="P1073">
        <v>0</v>
      </c>
      <c r="Q1073">
        <v>83</v>
      </c>
      <c r="R1073">
        <v>0</v>
      </c>
      <c r="S1073">
        <v>138</v>
      </c>
      <c r="T1073">
        <v>1</v>
      </c>
      <c r="U1073" s="3">
        <v>1</v>
      </c>
      <c r="V1073" s="3">
        <v>1</v>
      </c>
    </row>
    <row r="1074" spans="1:22" x14ac:dyDescent="0.25">
      <c r="A1074" s="2">
        <v>2017</v>
      </c>
      <c r="B1074" t="s">
        <v>47</v>
      </c>
      <c r="C1074" t="s">
        <v>1</v>
      </c>
      <c r="D1074" s="2">
        <v>1050</v>
      </c>
      <c r="E1074" s="2">
        <v>5302</v>
      </c>
      <c r="F1074" t="s">
        <v>497</v>
      </c>
      <c r="G1074">
        <v>0</v>
      </c>
      <c r="H1074">
        <v>0</v>
      </c>
      <c r="I1074">
        <v>0</v>
      </c>
      <c r="J1074">
        <v>0</v>
      </c>
      <c r="K1074">
        <v>0</v>
      </c>
      <c r="L1074" s="6">
        <f t="shared" si="119"/>
        <v>0</v>
      </c>
      <c r="M1074">
        <v>10</v>
      </c>
      <c r="N1074">
        <v>2</v>
      </c>
      <c r="O1074" s="9">
        <v>0</v>
      </c>
      <c r="P1074">
        <v>0</v>
      </c>
      <c r="Q1074">
        <v>6</v>
      </c>
      <c r="R1074">
        <v>0</v>
      </c>
      <c r="S1074">
        <v>2</v>
      </c>
      <c r="T1074">
        <v>0</v>
      </c>
      <c r="U1074" s="3">
        <v>1</v>
      </c>
      <c r="V1074" s="3">
        <v>1</v>
      </c>
    </row>
    <row r="1075" spans="1:22" x14ac:dyDescent="0.25">
      <c r="A1075" s="2">
        <v>2017</v>
      </c>
      <c r="B1075" t="s">
        <v>47</v>
      </c>
      <c r="C1075" t="s">
        <v>1</v>
      </c>
      <c r="D1075" s="2">
        <v>1108</v>
      </c>
      <c r="E1075" s="2">
        <v>4332</v>
      </c>
      <c r="F1075" t="s">
        <v>498</v>
      </c>
      <c r="G1075">
        <v>9</v>
      </c>
      <c r="H1075">
        <v>9</v>
      </c>
      <c r="I1075">
        <v>0</v>
      </c>
      <c r="J1075">
        <v>0</v>
      </c>
      <c r="K1075">
        <v>0</v>
      </c>
      <c r="L1075" s="6">
        <f t="shared" si="119"/>
        <v>1</v>
      </c>
      <c r="M1075">
        <v>195</v>
      </c>
      <c r="N1075">
        <v>23</v>
      </c>
      <c r="O1075" s="9">
        <v>0</v>
      </c>
      <c r="P1075">
        <v>0</v>
      </c>
      <c r="Q1075">
        <v>92</v>
      </c>
      <c r="R1075">
        <v>0</v>
      </c>
      <c r="S1075">
        <v>80</v>
      </c>
      <c r="T1075">
        <v>0</v>
      </c>
      <c r="U1075" s="3">
        <v>1</v>
      </c>
      <c r="V1075" s="3">
        <v>1</v>
      </c>
    </row>
    <row r="1076" spans="1:22" x14ac:dyDescent="0.25">
      <c r="A1076" s="2">
        <v>2017</v>
      </c>
      <c r="B1076" t="s">
        <v>47</v>
      </c>
      <c r="C1076" t="s">
        <v>1</v>
      </c>
      <c r="D1076" s="2">
        <v>3623</v>
      </c>
      <c r="E1076" s="2">
        <v>6046</v>
      </c>
      <c r="F1076" t="s">
        <v>499</v>
      </c>
      <c r="G1076">
        <v>11</v>
      </c>
      <c r="H1076">
        <v>11</v>
      </c>
      <c r="I1076">
        <v>0</v>
      </c>
      <c r="J1076">
        <v>0</v>
      </c>
      <c r="K1076">
        <v>0</v>
      </c>
      <c r="L1076" s="6">
        <f t="shared" si="119"/>
        <v>1</v>
      </c>
      <c r="M1076">
        <v>254</v>
      </c>
      <c r="N1076">
        <v>38</v>
      </c>
      <c r="O1076" s="9">
        <v>0</v>
      </c>
      <c r="P1076">
        <v>0</v>
      </c>
      <c r="Q1076">
        <v>145</v>
      </c>
      <c r="R1076">
        <v>0</v>
      </c>
      <c r="S1076">
        <v>71</v>
      </c>
      <c r="T1076">
        <v>0</v>
      </c>
      <c r="U1076" s="3">
        <v>1</v>
      </c>
      <c r="V1076" s="3">
        <v>1</v>
      </c>
    </row>
    <row r="1077" spans="1:22" x14ac:dyDescent="0.25">
      <c r="A1077" s="2">
        <v>2017</v>
      </c>
      <c r="B1077" t="s">
        <v>47</v>
      </c>
      <c r="C1077" t="s">
        <v>1</v>
      </c>
      <c r="D1077" s="2">
        <v>14791</v>
      </c>
      <c r="E1077" s="2">
        <v>118895</v>
      </c>
      <c r="F1077" t="s">
        <v>500</v>
      </c>
      <c r="G1077">
        <v>8</v>
      </c>
      <c r="H1077">
        <v>8</v>
      </c>
      <c r="I1077">
        <v>0</v>
      </c>
      <c r="J1077">
        <v>0</v>
      </c>
      <c r="K1077">
        <v>0</v>
      </c>
      <c r="L1077" s="6">
        <f t="shared" si="119"/>
        <v>1</v>
      </c>
      <c r="M1077">
        <v>194</v>
      </c>
      <c r="N1077">
        <v>40</v>
      </c>
      <c r="O1077" s="9">
        <v>0</v>
      </c>
      <c r="P1077">
        <v>0</v>
      </c>
      <c r="Q1077">
        <v>106</v>
      </c>
      <c r="R1077">
        <v>0</v>
      </c>
      <c r="S1077">
        <v>48</v>
      </c>
      <c r="T1077">
        <v>0</v>
      </c>
      <c r="U1077" s="3">
        <v>1</v>
      </c>
      <c r="V1077" s="3">
        <v>1</v>
      </c>
    </row>
    <row r="1078" spans="1:22" x14ac:dyDescent="0.25">
      <c r="A1078" s="2">
        <v>2017</v>
      </c>
      <c r="B1078" t="s">
        <v>47</v>
      </c>
      <c r="C1078" t="s">
        <v>1</v>
      </c>
      <c r="D1078" s="2">
        <v>15880</v>
      </c>
      <c r="E1078" s="2">
        <v>9708</v>
      </c>
      <c r="F1078" t="s">
        <v>501</v>
      </c>
      <c r="G1078">
        <v>14</v>
      </c>
      <c r="H1078">
        <v>14</v>
      </c>
      <c r="I1078">
        <v>0</v>
      </c>
      <c r="J1078">
        <v>0</v>
      </c>
      <c r="K1078">
        <v>0</v>
      </c>
      <c r="L1078" s="6">
        <f t="shared" si="119"/>
        <v>1</v>
      </c>
      <c r="M1078">
        <v>186</v>
      </c>
      <c r="N1078">
        <v>25</v>
      </c>
      <c r="O1078" s="9">
        <v>0</v>
      </c>
      <c r="P1078">
        <v>0</v>
      </c>
      <c r="Q1078">
        <v>77</v>
      </c>
      <c r="R1078">
        <v>0</v>
      </c>
      <c r="S1078">
        <v>83</v>
      </c>
      <c r="T1078">
        <v>1</v>
      </c>
      <c r="U1078" s="3">
        <v>1</v>
      </c>
      <c r="V1078" s="3">
        <v>1</v>
      </c>
    </row>
    <row r="1079" spans="1:22" x14ac:dyDescent="0.25">
      <c r="A1079" s="2">
        <v>2017</v>
      </c>
      <c r="B1079" t="s">
        <v>47</v>
      </c>
      <c r="C1079" t="s">
        <v>24</v>
      </c>
      <c r="D1079" s="2">
        <v>13</v>
      </c>
      <c r="E1079" s="2">
        <v>5621</v>
      </c>
      <c r="F1079" t="s">
        <v>390</v>
      </c>
      <c r="G1079">
        <v>24</v>
      </c>
      <c r="H1079">
        <v>24</v>
      </c>
      <c r="I1079">
        <v>0</v>
      </c>
      <c r="J1079">
        <v>0</v>
      </c>
      <c r="K1079">
        <v>0</v>
      </c>
      <c r="L1079" s="6">
        <f t="shared" si="119"/>
        <v>1</v>
      </c>
      <c r="M1079">
        <v>554</v>
      </c>
      <c r="N1079">
        <v>88</v>
      </c>
      <c r="O1079" s="9">
        <v>0</v>
      </c>
      <c r="P1079">
        <v>0</v>
      </c>
      <c r="Q1079">
        <v>262</v>
      </c>
      <c r="R1079">
        <v>3</v>
      </c>
      <c r="S1079">
        <v>201</v>
      </c>
      <c r="T1079">
        <v>0</v>
      </c>
      <c r="U1079" s="3">
        <v>0.99458483754512639</v>
      </c>
      <c r="V1079" s="3">
        <v>0.99480968858131491</v>
      </c>
    </row>
    <row r="1080" spans="1:22" x14ac:dyDescent="0.25">
      <c r="A1080" s="2">
        <v>2017</v>
      </c>
      <c r="B1080" t="s">
        <v>47</v>
      </c>
      <c r="C1080" t="s">
        <v>24</v>
      </c>
      <c r="D1080" s="2">
        <v>115</v>
      </c>
      <c r="E1080" s="2">
        <v>119430</v>
      </c>
      <c r="F1080" t="s">
        <v>391</v>
      </c>
      <c r="G1080">
        <v>15</v>
      </c>
      <c r="H1080">
        <v>15</v>
      </c>
      <c r="I1080">
        <v>0</v>
      </c>
      <c r="J1080">
        <v>0</v>
      </c>
      <c r="K1080">
        <v>0</v>
      </c>
      <c r="L1080" s="6">
        <f t="shared" si="119"/>
        <v>1</v>
      </c>
      <c r="M1080">
        <v>206</v>
      </c>
      <c r="N1080">
        <v>33</v>
      </c>
      <c r="O1080" s="9">
        <v>0</v>
      </c>
      <c r="P1080">
        <v>0</v>
      </c>
      <c r="Q1080">
        <v>74</v>
      </c>
      <c r="R1080">
        <v>1</v>
      </c>
      <c r="S1080">
        <v>98</v>
      </c>
      <c r="T1080">
        <v>0</v>
      </c>
      <c r="U1080" s="3">
        <v>0.99514563106796117</v>
      </c>
      <c r="V1080" s="3">
        <v>0.99547511312217196</v>
      </c>
    </row>
    <row r="1081" spans="1:22" x14ac:dyDescent="0.25">
      <c r="A1081" s="2">
        <v>2017</v>
      </c>
      <c r="B1081" t="s">
        <v>47</v>
      </c>
      <c r="C1081" t="s">
        <v>24</v>
      </c>
      <c r="D1081" s="2">
        <v>16</v>
      </c>
      <c r="E1081" s="2">
        <v>5774</v>
      </c>
      <c r="F1081" t="s">
        <v>392</v>
      </c>
      <c r="G1081">
        <v>6</v>
      </c>
      <c r="H1081">
        <v>6</v>
      </c>
      <c r="I1081">
        <v>0</v>
      </c>
      <c r="J1081">
        <v>0</v>
      </c>
      <c r="K1081">
        <v>0</v>
      </c>
      <c r="L1081" s="6">
        <f t="shared" si="119"/>
        <v>1</v>
      </c>
      <c r="M1081">
        <v>113</v>
      </c>
      <c r="N1081">
        <v>20</v>
      </c>
      <c r="O1081" s="9">
        <v>0</v>
      </c>
      <c r="P1081">
        <v>1</v>
      </c>
      <c r="Q1081">
        <v>47</v>
      </c>
      <c r="R1081">
        <v>1</v>
      </c>
      <c r="S1081">
        <v>44</v>
      </c>
      <c r="T1081">
        <v>0</v>
      </c>
      <c r="U1081" s="3">
        <v>0.98230088495575218</v>
      </c>
      <c r="V1081" s="3">
        <v>0.98319327731092432</v>
      </c>
    </row>
    <row r="1082" spans="1:22" x14ac:dyDescent="0.25">
      <c r="A1082" s="2">
        <v>2017</v>
      </c>
      <c r="B1082" t="s">
        <v>47</v>
      </c>
      <c r="C1082" t="s">
        <v>24</v>
      </c>
      <c r="D1082" s="2">
        <v>107</v>
      </c>
      <c r="E1082" s="2">
        <v>119171</v>
      </c>
      <c r="F1082" t="s">
        <v>393</v>
      </c>
      <c r="G1082">
        <v>17</v>
      </c>
      <c r="H1082">
        <v>17</v>
      </c>
      <c r="I1082">
        <v>0</v>
      </c>
      <c r="J1082">
        <v>0</v>
      </c>
      <c r="K1082">
        <v>0</v>
      </c>
      <c r="L1082" s="6">
        <f t="shared" si="119"/>
        <v>1</v>
      </c>
      <c r="M1082">
        <v>216</v>
      </c>
      <c r="N1082">
        <v>35</v>
      </c>
      <c r="O1082" s="9">
        <v>0</v>
      </c>
      <c r="P1082">
        <v>1</v>
      </c>
      <c r="Q1082">
        <v>109</v>
      </c>
      <c r="R1082">
        <v>1</v>
      </c>
      <c r="S1082">
        <v>70</v>
      </c>
      <c r="T1082">
        <v>0</v>
      </c>
      <c r="U1082" s="3">
        <v>0.9907407407407407</v>
      </c>
      <c r="V1082" s="3">
        <v>0.99141630901287559</v>
      </c>
    </row>
    <row r="1083" spans="1:22" x14ac:dyDescent="0.25">
      <c r="A1083" s="2">
        <v>2017</v>
      </c>
      <c r="B1083" t="s">
        <v>47</v>
      </c>
      <c r="C1083" t="s">
        <v>24</v>
      </c>
      <c r="D1083" s="2">
        <v>104</v>
      </c>
      <c r="E1083" s="2">
        <v>118880</v>
      </c>
      <c r="F1083" t="s">
        <v>394</v>
      </c>
      <c r="G1083">
        <v>18</v>
      </c>
      <c r="H1083">
        <v>18</v>
      </c>
      <c r="I1083">
        <v>0</v>
      </c>
      <c r="J1083">
        <v>0</v>
      </c>
      <c r="K1083">
        <v>0</v>
      </c>
      <c r="L1083" s="6">
        <f t="shared" si="119"/>
        <v>1</v>
      </c>
      <c r="M1083">
        <v>261</v>
      </c>
      <c r="N1083">
        <v>41</v>
      </c>
      <c r="O1083" s="9">
        <v>0</v>
      </c>
      <c r="P1083">
        <v>0</v>
      </c>
      <c r="Q1083">
        <v>128</v>
      </c>
      <c r="R1083">
        <v>1</v>
      </c>
      <c r="S1083">
        <v>91</v>
      </c>
      <c r="T1083">
        <v>0</v>
      </c>
      <c r="U1083" s="3">
        <v>0.99616858237547889</v>
      </c>
      <c r="V1083" s="3">
        <v>0.99641577060931896</v>
      </c>
    </row>
    <row r="1084" spans="1:22" x14ac:dyDescent="0.25">
      <c r="A1084" s="2">
        <v>2017</v>
      </c>
      <c r="B1084" t="s">
        <v>47</v>
      </c>
      <c r="C1084" t="s">
        <v>24</v>
      </c>
      <c r="D1084" s="2">
        <v>132</v>
      </c>
      <c r="E1084" s="2">
        <v>121352</v>
      </c>
      <c r="F1084" t="s">
        <v>395</v>
      </c>
      <c r="G1084">
        <v>20</v>
      </c>
      <c r="H1084">
        <v>20</v>
      </c>
      <c r="I1084">
        <v>0</v>
      </c>
      <c r="J1084">
        <v>0</v>
      </c>
      <c r="K1084">
        <v>0</v>
      </c>
      <c r="L1084" s="6">
        <f t="shared" si="119"/>
        <v>1</v>
      </c>
      <c r="M1084">
        <v>296</v>
      </c>
      <c r="N1084">
        <v>48</v>
      </c>
      <c r="O1084" s="9">
        <v>0</v>
      </c>
      <c r="P1084">
        <v>2</v>
      </c>
      <c r="Q1084">
        <v>123</v>
      </c>
      <c r="R1084">
        <v>2</v>
      </c>
      <c r="S1084">
        <v>120</v>
      </c>
      <c r="T1084">
        <v>1</v>
      </c>
      <c r="U1084" s="3">
        <v>0.98648648648648651</v>
      </c>
      <c r="V1084" s="3">
        <v>0.98734177215189878</v>
      </c>
    </row>
    <row r="1085" spans="1:22" x14ac:dyDescent="0.25">
      <c r="A1085" s="2">
        <v>2017</v>
      </c>
      <c r="B1085" t="s">
        <v>47</v>
      </c>
      <c r="C1085" t="s">
        <v>24</v>
      </c>
      <c r="D1085" s="2">
        <v>84</v>
      </c>
      <c r="E1085" s="2">
        <v>9529</v>
      </c>
      <c r="F1085" t="s">
        <v>396</v>
      </c>
      <c r="G1085">
        <v>4</v>
      </c>
      <c r="H1085">
        <v>4</v>
      </c>
      <c r="I1085">
        <v>0</v>
      </c>
      <c r="J1085">
        <v>0</v>
      </c>
      <c r="K1085">
        <v>0</v>
      </c>
      <c r="L1085" s="6">
        <f t="shared" si="119"/>
        <v>1</v>
      </c>
      <c r="M1085">
        <v>128</v>
      </c>
      <c r="N1085">
        <v>30</v>
      </c>
      <c r="O1085" s="9">
        <v>0</v>
      </c>
      <c r="P1085">
        <v>0</v>
      </c>
      <c r="Q1085">
        <v>65</v>
      </c>
      <c r="R1085">
        <v>0</v>
      </c>
      <c r="S1085">
        <v>33</v>
      </c>
      <c r="T1085">
        <v>0</v>
      </c>
      <c r="U1085" s="3">
        <v>1</v>
      </c>
      <c r="V1085" s="3">
        <v>1</v>
      </c>
    </row>
    <row r="1086" spans="1:22" x14ac:dyDescent="0.25">
      <c r="A1086" s="2">
        <v>2017</v>
      </c>
      <c r="B1086" t="s">
        <v>47</v>
      </c>
      <c r="C1086" t="s">
        <v>24</v>
      </c>
      <c r="D1086" s="2">
        <v>135</v>
      </c>
      <c r="E1086" s="2">
        <v>121924</v>
      </c>
      <c r="F1086" t="s">
        <v>398</v>
      </c>
      <c r="G1086">
        <v>21</v>
      </c>
      <c r="H1086">
        <v>21</v>
      </c>
      <c r="I1086">
        <v>0</v>
      </c>
      <c r="J1086">
        <v>0</v>
      </c>
      <c r="K1086">
        <v>0</v>
      </c>
      <c r="L1086" s="6">
        <f t="shared" si="119"/>
        <v>1</v>
      </c>
      <c r="M1086">
        <v>246</v>
      </c>
      <c r="N1086">
        <v>49</v>
      </c>
      <c r="O1086" s="9">
        <v>0</v>
      </c>
      <c r="P1086">
        <v>0</v>
      </c>
      <c r="Q1086">
        <v>110</v>
      </c>
      <c r="R1086">
        <v>1</v>
      </c>
      <c r="S1086">
        <v>86</v>
      </c>
      <c r="T1086">
        <v>0</v>
      </c>
      <c r="U1086" s="3">
        <v>0.99593495934959353</v>
      </c>
      <c r="V1086" s="3">
        <v>0.99625468164794007</v>
      </c>
    </row>
    <row r="1087" spans="1:22" x14ac:dyDescent="0.25">
      <c r="A1087" s="2">
        <v>2017</v>
      </c>
      <c r="B1087" t="s">
        <v>47</v>
      </c>
      <c r="C1087" t="s">
        <v>24</v>
      </c>
      <c r="D1087" s="2">
        <v>28</v>
      </c>
      <c r="E1087" s="2">
        <v>4356</v>
      </c>
      <c r="F1087" t="s">
        <v>360</v>
      </c>
      <c r="G1087">
        <v>0</v>
      </c>
      <c r="H1087">
        <v>0</v>
      </c>
      <c r="I1087">
        <v>0</v>
      </c>
      <c r="J1087">
        <v>0</v>
      </c>
      <c r="K1087">
        <v>0</v>
      </c>
      <c r="L1087" s="6">
        <f t="shared" si="119"/>
        <v>0</v>
      </c>
      <c r="M1087">
        <v>1</v>
      </c>
      <c r="N1087">
        <v>0</v>
      </c>
      <c r="O1087" s="9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 s="3">
        <v>1</v>
      </c>
      <c r="V1087" s="3">
        <v>1</v>
      </c>
    </row>
    <row r="1088" spans="1:22" x14ac:dyDescent="0.25">
      <c r="A1088" s="2">
        <v>2017</v>
      </c>
      <c r="B1088" t="s">
        <v>47</v>
      </c>
      <c r="C1088" t="s">
        <v>24</v>
      </c>
      <c r="D1088" s="2">
        <v>85</v>
      </c>
      <c r="E1088" s="2">
        <v>10528</v>
      </c>
      <c r="F1088" t="s">
        <v>400</v>
      </c>
      <c r="G1088">
        <v>9</v>
      </c>
      <c r="H1088">
        <v>9</v>
      </c>
      <c r="I1088">
        <v>0</v>
      </c>
      <c r="J1088">
        <v>0</v>
      </c>
      <c r="K1088">
        <v>0</v>
      </c>
      <c r="L1088" s="6">
        <f t="shared" si="119"/>
        <v>1</v>
      </c>
      <c r="M1088">
        <v>120</v>
      </c>
      <c r="N1088">
        <v>17</v>
      </c>
      <c r="O1088" s="9">
        <v>0</v>
      </c>
      <c r="P1088">
        <v>0</v>
      </c>
      <c r="Q1088">
        <v>53</v>
      </c>
      <c r="R1088">
        <v>0</v>
      </c>
      <c r="S1088">
        <v>48</v>
      </c>
      <c r="T1088">
        <v>2</v>
      </c>
      <c r="U1088" s="3">
        <v>1</v>
      </c>
      <c r="V1088" s="3">
        <v>1</v>
      </c>
    </row>
    <row r="1089" spans="1:22" x14ac:dyDescent="0.25">
      <c r="A1089" s="2">
        <v>2017</v>
      </c>
      <c r="B1089" t="s">
        <v>47</v>
      </c>
      <c r="C1089" t="s">
        <v>24</v>
      </c>
      <c r="D1089" s="2">
        <v>93</v>
      </c>
      <c r="E1089" s="2">
        <v>118657</v>
      </c>
      <c r="F1089" t="s">
        <v>401</v>
      </c>
      <c r="G1089">
        <v>16</v>
      </c>
      <c r="H1089">
        <v>16</v>
      </c>
      <c r="I1089">
        <v>0</v>
      </c>
      <c r="J1089">
        <v>0</v>
      </c>
      <c r="K1089">
        <v>0</v>
      </c>
      <c r="L1089" s="6">
        <f t="shared" si="119"/>
        <v>1</v>
      </c>
      <c r="M1089">
        <v>204</v>
      </c>
      <c r="N1089">
        <v>37</v>
      </c>
      <c r="O1089" s="9">
        <v>0</v>
      </c>
      <c r="P1089">
        <v>1</v>
      </c>
      <c r="Q1089">
        <v>89</v>
      </c>
      <c r="R1089">
        <v>0</v>
      </c>
      <c r="S1089">
        <v>77</v>
      </c>
      <c r="T1089">
        <v>0</v>
      </c>
      <c r="U1089" s="3">
        <v>0.99509803921568629</v>
      </c>
      <c r="V1089" s="3">
        <v>0.99545454545454548</v>
      </c>
    </row>
    <row r="1090" spans="1:22" x14ac:dyDescent="0.25">
      <c r="A1090" s="2">
        <v>2017</v>
      </c>
      <c r="B1090" t="s">
        <v>47</v>
      </c>
      <c r="C1090" t="s">
        <v>24</v>
      </c>
      <c r="D1090" s="2">
        <v>36</v>
      </c>
      <c r="E1090" s="2">
        <v>118472</v>
      </c>
      <c r="F1090" t="s">
        <v>503</v>
      </c>
      <c r="G1090">
        <v>16</v>
      </c>
      <c r="H1090">
        <v>16</v>
      </c>
      <c r="I1090">
        <v>0</v>
      </c>
      <c r="J1090">
        <v>0</v>
      </c>
      <c r="K1090">
        <v>0</v>
      </c>
      <c r="L1090" s="6">
        <f t="shared" si="119"/>
        <v>1</v>
      </c>
      <c r="M1090">
        <v>328</v>
      </c>
      <c r="N1090">
        <v>63</v>
      </c>
      <c r="O1090" s="9">
        <v>0</v>
      </c>
      <c r="P1090">
        <v>1</v>
      </c>
      <c r="Q1090">
        <v>145</v>
      </c>
      <c r="R1090">
        <v>0</v>
      </c>
      <c r="S1090">
        <v>119</v>
      </c>
      <c r="T1090">
        <v>0</v>
      </c>
      <c r="U1090" s="3">
        <v>0.99695121951219512</v>
      </c>
      <c r="V1090" s="3">
        <v>0.99709302325581395</v>
      </c>
    </row>
    <row r="1091" spans="1:22" x14ac:dyDescent="0.25">
      <c r="A1091" s="2">
        <v>2017</v>
      </c>
      <c r="B1091" t="s">
        <v>47</v>
      </c>
      <c r="C1091" t="s">
        <v>24</v>
      </c>
      <c r="D1091" s="2">
        <v>133</v>
      </c>
      <c r="E1091" s="2">
        <v>120862</v>
      </c>
      <c r="F1091" t="s">
        <v>48</v>
      </c>
      <c r="G1091">
        <v>1</v>
      </c>
      <c r="H1091">
        <v>1</v>
      </c>
      <c r="I1091">
        <v>0</v>
      </c>
      <c r="J1091">
        <v>0</v>
      </c>
      <c r="K1091">
        <v>0</v>
      </c>
      <c r="L1091" s="6">
        <f t="shared" si="119"/>
        <v>1</v>
      </c>
      <c r="M1091">
        <v>43</v>
      </c>
      <c r="N1091">
        <v>4</v>
      </c>
      <c r="O1091" s="9">
        <v>0</v>
      </c>
      <c r="P1091">
        <v>0</v>
      </c>
      <c r="Q1091">
        <v>23</v>
      </c>
      <c r="R1091">
        <v>0</v>
      </c>
      <c r="S1091">
        <v>16</v>
      </c>
      <c r="T1091">
        <v>0</v>
      </c>
      <c r="U1091" s="3">
        <v>1</v>
      </c>
      <c r="V1091" s="3">
        <v>1</v>
      </c>
    </row>
    <row r="1092" spans="1:22" x14ac:dyDescent="0.25">
      <c r="A1092" s="2">
        <v>2017</v>
      </c>
      <c r="B1092" t="s">
        <v>47</v>
      </c>
      <c r="C1092" t="s">
        <v>24</v>
      </c>
      <c r="D1092" s="2">
        <v>102</v>
      </c>
      <c r="E1092" s="2">
        <v>119090</v>
      </c>
      <c r="F1092" t="s">
        <v>402</v>
      </c>
      <c r="G1092">
        <v>6</v>
      </c>
      <c r="H1092">
        <v>6</v>
      </c>
      <c r="I1092">
        <v>0</v>
      </c>
      <c r="J1092">
        <v>0</v>
      </c>
      <c r="K1092">
        <v>0</v>
      </c>
      <c r="L1092" s="6">
        <f t="shared" si="119"/>
        <v>1</v>
      </c>
      <c r="M1092">
        <v>163</v>
      </c>
      <c r="N1092">
        <v>33</v>
      </c>
      <c r="O1092" s="9">
        <v>0</v>
      </c>
      <c r="P1092">
        <v>0</v>
      </c>
      <c r="Q1092">
        <v>76</v>
      </c>
      <c r="R1092">
        <v>0</v>
      </c>
      <c r="S1092">
        <v>54</v>
      </c>
      <c r="T1092">
        <v>0</v>
      </c>
      <c r="U1092" s="3">
        <v>1</v>
      </c>
      <c r="V1092" s="3">
        <v>1</v>
      </c>
    </row>
    <row r="1093" spans="1:22" x14ac:dyDescent="0.25">
      <c r="A1093" s="2">
        <v>2017</v>
      </c>
      <c r="B1093" t="s">
        <v>47</v>
      </c>
      <c r="C1093" t="s">
        <v>24</v>
      </c>
      <c r="D1093" s="2">
        <v>40</v>
      </c>
      <c r="E1093" s="2">
        <v>6831</v>
      </c>
      <c r="F1093" t="s">
        <v>28</v>
      </c>
      <c r="G1093">
        <v>16</v>
      </c>
      <c r="H1093">
        <v>16</v>
      </c>
      <c r="I1093">
        <v>0</v>
      </c>
      <c r="J1093">
        <v>0</v>
      </c>
      <c r="K1093">
        <v>0</v>
      </c>
      <c r="L1093" s="6">
        <f t="shared" si="119"/>
        <v>1</v>
      </c>
      <c r="M1093">
        <v>298</v>
      </c>
      <c r="N1093">
        <v>57</v>
      </c>
      <c r="O1093" s="9">
        <v>0</v>
      </c>
      <c r="P1093">
        <v>0</v>
      </c>
      <c r="Q1093">
        <v>114</v>
      </c>
      <c r="R1093">
        <v>0</v>
      </c>
      <c r="S1093">
        <v>127</v>
      </c>
      <c r="T1093">
        <v>0</v>
      </c>
      <c r="U1093" s="3">
        <v>1</v>
      </c>
      <c r="V1093" s="3">
        <v>1</v>
      </c>
    </row>
    <row r="1094" spans="1:22" x14ac:dyDescent="0.25">
      <c r="A1094" s="2">
        <v>2017</v>
      </c>
      <c r="B1094" t="s">
        <v>47</v>
      </c>
      <c r="C1094" t="s">
        <v>24</v>
      </c>
      <c r="D1094" s="2">
        <v>134</v>
      </c>
      <c r="E1094" s="2">
        <v>4968</v>
      </c>
      <c r="F1094" t="s">
        <v>29</v>
      </c>
      <c r="G1094">
        <v>14</v>
      </c>
      <c r="H1094">
        <v>14</v>
      </c>
      <c r="I1094">
        <v>0</v>
      </c>
      <c r="J1094">
        <v>0</v>
      </c>
      <c r="K1094">
        <v>0</v>
      </c>
      <c r="L1094" s="6">
        <f t="shared" si="119"/>
        <v>1</v>
      </c>
      <c r="M1094">
        <v>268</v>
      </c>
      <c r="N1094">
        <v>40</v>
      </c>
      <c r="O1094" s="9">
        <v>0</v>
      </c>
      <c r="P1094">
        <v>1</v>
      </c>
      <c r="Q1094">
        <v>117</v>
      </c>
      <c r="R1094">
        <v>0</v>
      </c>
      <c r="S1094">
        <v>110</v>
      </c>
      <c r="T1094">
        <v>0</v>
      </c>
      <c r="U1094" s="3">
        <v>0.99626865671641796</v>
      </c>
      <c r="V1094" s="3">
        <v>0.99645390070921991</v>
      </c>
    </row>
    <row r="1095" spans="1:22" x14ac:dyDescent="0.25">
      <c r="A1095" s="2">
        <v>2017</v>
      </c>
      <c r="B1095" t="s">
        <v>47</v>
      </c>
      <c r="C1095" t="s">
        <v>24</v>
      </c>
      <c r="D1095" s="2">
        <v>131</v>
      </c>
      <c r="E1095" s="2">
        <v>121355</v>
      </c>
      <c r="F1095" t="s">
        <v>504</v>
      </c>
      <c r="G1095">
        <v>3</v>
      </c>
      <c r="H1095">
        <v>3</v>
      </c>
      <c r="I1095">
        <v>0</v>
      </c>
      <c r="J1095">
        <v>0</v>
      </c>
      <c r="K1095">
        <v>0</v>
      </c>
      <c r="L1095" s="6">
        <f t="shared" si="119"/>
        <v>1</v>
      </c>
      <c r="M1095">
        <v>75</v>
      </c>
      <c r="N1095">
        <v>23</v>
      </c>
      <c r="O1095" s="9">
        <v>0</v>
      </c>
      <c r="P1095">
        <v>1</v>
      </c>
      <c r="Q1095">
        <v>28</v>
      </c>
      <c r="R1095">
        <v>0</v>
      </c>
      <c r="S1095">
        <v>23</v>
      </c>
      <c r="T1095">
        <v>0</v>
      </c>
      <c r="U1095" s="3">
        <v>0.98666666666666669</v>
      </c>
      <c r="V1095" s="3">
        <v>0.98717948717948723</v>
      </c>
    </row>
    <row r="1096" spans="1:22" x14ac:dyDescent="0.25">
      <c r="A1096" s="2">
        <v>2017</v>
      </c>
      <c r="B1096" t="s">
        <v>47</v>
      </c>
      <c r="C1096" t="s">
        <v>24</v>
      </c>
      <c r="D1096" s="2">
        <v>120</v>
      </c>
      <c r="E1096" s="2">
        <v>120740</v>
      </c>
      <c r="F1096" t="s">
        <v>442</v>
      </c>
      <c r="G1096">
        <v>0</v>
      </c>
      <c r="H1096">
        <v>0</v>
      </c>
      <c r="I1096">
        <v>0</v>
      </c>
      <c r="J1096">
        <v>0</v>
      </c>
      <c r="K1096">
        <v>0</v>
      </c>
      <c r="L1096" s="6">
        <f t="shared" si="119"/>
        <v>0</v>
      </c>
      <c r="M1096">
        <v>1</v>
      </c>
      <c r="N1096">
        <v>1</v>
      </c>
      <c r="O1096" s="9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 s="3">
        <v>1</v>
      </c>
      <c r="V1096" s="3">
        <v>1</v>
      </c>
    </row>
    <row r="1097" spans="1:22" x14ac:dyDescent="0.25">
      <c r="A1097" s="2">
        <v>2017</v>
      </c>
      <c r="B1097" t="s">
        <v>47</v>
      </c>
      <c r="C1097" t="s">
        <v>24</v>
      </c>
      <c r="D1097" s="2">
        <v>138</v>
      </c>
      <c r="E1097" s="2">
        <v>122073</v>
      </c>
      <c r="F1097" t="s">
        <v>406</v>
      </c>
      <c r="G1097">
        <v>18</v>
      </c>
      <c r="H1097">
        <v>18</v>
      </c>
      <c r="I1097">
        <v>0</v>
      </c>
      <c r="J1097">
        <v>0</v>
      </c>
      <c r="K1097">
        <v>0</v>
      </c>
      <c r="L1097" s="6">
        <f t="shared" si="119"/>
        <v>1</v>
      </c>
      <c r="M1097">
        <v>288</v>
      </c>
      <c r="N1097">
        <v>40</v>
      </c>
      <c r="O1097" s="9">
        <v>0</v>
      </c>
      <c r="P1097">
        <v>1</v>
      </c>
      <c r="Q1097">
        <v>137</v>
      </c>
      <c r="R1097">
        <v>0</v>
      </c>
      <c r="S1097">
        <v>109</v>
      </c>
      <c r="T1097">
        <v>1</v>
      </c>
      <c r="U1097" s="3">
        <v>0.99652777777777779</v>
      </c>
      <c r="V1097" s="3">
        <v>0.99673202614379086</v>
      </c>
    </row>
    <row r="1098" spans="1:22" x14ac:dyDescent="0.25">
      <c r="A1098" s="2">
        <v>2017</v>
      </c>
      <c r="B1098" t="s">
        <v>47</v>
      </c>
      <c r="C1098" t="s">
        <v>24</v>
      </c>
      <c r="D1098" s="2">
        <v>150</v>
      </c>
      <c r="E1098" s="2">
        <v>123118</v>
      </c>
      <c r="F1098" t="s">
        <v>30</v>
      </c>
      <c r="G1098">
        <v>5</v>
      </c>
      <c r="H1098">
        <v>5</v>
      </c>
      <c r="I1098">
        <v>0</v>
      </c>
      <c r="J1098">
        <v>0</v>
      </c>
      <c r="K1098">
        <v>0</v>
      </c>
      <c r="L1098" s="6">
        <f t="shared" si="119"/>
        <v>1</v>
      </c>
      <c r="M1098">
        <v>242</v>
      </c>
      <c r="N1098">
        <v>44</v>
      </c>
      <c r="O1098" s="9">
        <v>0</v>
      </c>
      <c r="P1098">
        <v>0</v>
      </c>
      <c r="Q1098">
        <v>126</v>
      </c>
      <c r="R1098">
        <v>0</v>
      </c>
      <c r="S1098">
        <v>72</v>
      </c>
      <c r="T1098">
        <v>0</v>
      </c>
      <c r="U1098" s="3">
        <v>1</v>
      </c>
      <c r="V1098" s="3">
        <v>1</v>
      </c>
    </row>
    <row r="1099" spans="1:22" x14ac:dyDescent="0.25">
      <c r="A1099" s="2">
        <v>2017</v>
      </c>
      <c r="B1099" t="s">
        <v>47</v>
      </c>
      <c r="C1099" t="s">
        <v>24</v>
      </c>
      <c r="D1099" s="2">
        <v>151</v>
      </c>
      <c r="E1099" s="2">
        <v>123113</v>
      </c>
      <c r="F1099" t="s">
        <v>424</v>
      </c>
      <c r="G1099">
        <v>8</v>
      </c>
      <c r="H1099">
        <v>8</v>
      </c>
      <c r="I1099">
        <v>0</v>
      </c>
      <c r="J1099">
        <v>0</v>
      </c>
      <c r="K1099">
        <v>0</v>
      </c>
      <c r="L1099" s="6">
        <f t="shared" si="119"/>
        <v>1</v>
      </c>
      <c r="M1099">
        <v>230</v>
      </c>
      <c r="N1099">
        <v>40</v>
      </c>
      <c r="O1099" s="9">
        <v>0</v>
      </c>
      <c r="P1099">
        <v>0</v>
      </c>
      <c r="Q1099">
        <v>113</v>
      </c>
      <c r="R1099">
        <v>1</v>
      </c>
      <c r="S1099">
        <v>75</v>
      </c>
      <c r="T1099">
        <v>1</v>
      </c>
      <c r="U1099" s="3">
        <v>0.9956521739130435</v>
      </c>
      <c r="V1099" s="3">
        <v>0.99579831932773111</v>
      </c>
    </row>
    <row r="1100" spans="1:22" x14ac:dyDescent="0.25">
      <c r="A1100" s="2">
        <v>2017</v>
      </c>
      <c r="B1100" t="s">
        <v>47</v>
      </c>
      <c r="C1100" t="s">
        <v>24</v>
      </c>
      <c r="D1100" s="2">
        <v>39</v>
      </c>
      <c r="E1100" s="2">
        <v>6832</v>
      </c>
      <c r="F1100" t="s">
        <v>407</v>
      </c>
      <c r="G1100">
        <v>25</v>
      </c>
      <c r="H1100">
        <v>25</v>
      </c>
      <c r="I1100">
        <v>0</v>
      </c>
      <c r="J1100">
        <v>0</v>
      </c>
      <c r="K1100">
        <v>0</v>
      </c>
      <c r="L1100" s="6">
        <f t="shared" si="119"/>
        <v>1</v>
      </c>
      <c r="M1100">
        <v>345</v>
      </c>
      <c r="N1100">
        <v>69</v>
      </c>
      <c r="O1100" s="9">
        <v>0</v>
      </c>
      <c r="P1100">
        <v>0</v>
      </c>
      <c r="Q1100">
        <v>152</v>
      </c>
      <c r="R1100">
        <v>0</v>
      </c>
      <c r="S1100">
        <v>123</v>
      </c>
      <c r="T1100">
        <v>1</v>
      </c>
      <c r="U1100" s="3">
        <v>1</v>
      </c>
      <c r="V1100" s="3">
        <v>1</v>
      </c>
    </row>
    <row r="1101" spans="1:22" x14ac:dyDescent="0.25">
      <c r="A1101" s="2">
        <v>2017</v>
      </c>
      <c r="B1101" t="s">
        <v>47</v>
      </c>
      <c r="C1101" t="s">
        <v>24</v>
      </c>
      <c r="D1101" s="2">
        <v>78</v>
      </c>
      <c r="E1101" s="2">
        <v>8720</v>
      </c>
      <c r="F1101" t="s">
        <v>408</v>
      </c>
      <c r="G1101">
        <v>12</v>
      </c>
      <c r="H1101">
        <v>12</v>
      </c>
      <c r="I1101">
        <v>0</v>
      </c>
      <c r="J1101">
        <v>0</v>
      </c>
      <c r="K1101">
        <v>0</v>
      </c>
      <c r="L1101" s="6">
        <f t="shared" si="119"/>
        <v>1</v>
      </c>
      <c r="M1101">
        <v>208</v>
      </c>
      <c r="N1101">
        <v>25</v>
      </c>
      <c r="O1101" s="9">
        <v>0</v>
      </c>
      <c r="P1101">
        <v>0</v>
      </c>
      <c r="Q1101">
        <v>94</v>
      </c>
      <c r="R1101">
        <v>2</v>
      </c>
      <c r="S1101">
        <v>86</v>
      </c>
      <c r="T1101">
        <v>1</v>
      </c>
      <c r="U1101" s="3">
        <v>0.99038461538461542</v>
      </c>
      <c r="V1101" s="3">
        <v>0.99090909090909096</v>
      </c>
    </row>
    <row r="1102" spans="1:22" x14ac:dyDescent="0.25">
      <c r="A1102" s="2">
        <v>2017</v>
      </c>
      <c r="B1102" t="s">
        <v>47</v>
      </c>
      <c r="C1102" t="s">
        <v>22</v>
      </c>
      <c r="D1102" s="2">
        <v>136</v>
      </c>
      <c r="E1102" s="2">
        <v>121923</v>
      </c>
      <c r="F1102" t="s">
        <v>41</v>
      </c>
      <c r="G1102">
        <v>17</v>
      </c>
      <c r="H1102">
        <v>17</v>
      </c>
      <c r="I1102">
        <v>0</v>
      </c>
      <c r="J1102">
        <v>0</v>
      </c>
      <c r="K1102">
        <v>0</v>
      </c>
      <c r="L1102" s="6">
        <f t="shared" si="119"/>
        <v>1</v>
      </c>
      <c r="M1102">
        <v>114</v>
      </c>
      <c r="N1102">
        <v>17</v>
      </c>
      <c r="O1102" s="9">
        <v>0</v>
      </c>
      <c r="P1102">
        <v>0</v>
      </c>
      <c r="Q1102">
        <v>54</v>
      </c>
      <c r="R1102">
        <v>0</v>
      </c>
      <c r="S1102">
        <v>42</v>
      </c>
      <c r="T1102">
        <v>1</v>
      </c>
      <c r="U1102" s="3">
        <v>1</v>
      </c>
      <c r="V1102" s="3">
        <v>1</v>
      </c>
    </row>
    <row r="1103" spans="1:22" x14ac:dyDescent="0.25">
      <c r="A1103" s="2">
        <v>2017</v>
      </c>
      <c r="B1103" t="s">
        <v>47</v>
      </c>
      <c r="C1103" t="s">
        <v>22</v>
      </c>
      <c r="D1103" s="2">
        <v>153</v>
      </c>
      <c r="E1103" s="2">
        <v>222222222</v>
      </c>
      <c r="F1103" t="s">
        <v>39</v>
      </c>
      <c r="G1103">
        <v>0</v>
      </c>
      <c r="H1103">
        <v>0</v>
      </c>
      <c r="I1103">
        <v>0</v>
      </c>
      <c r="J1103">
        <v>0</v>
      </c>
      <c r="K1103">
        <v>0</v>
      </c>
      <c r="L1103" s="6">
        <f t="shared" si="119"/>
        <v>0</v>
      </c>
      <c r="M1103">
        <v>16</v>
      </c>
      <c r="N1103">
        <v>3</v>
      </c>
      <c r="O1103" s="9">
        <v>0</v>
      </c>
      <c r="P1103">
        <v>0</v>
      </c>
      <c r="Q1103">
        <v>8</v>
      </c>
      <c r="R1103">
        <v>0</v>
      </c>
      <c r="S1103">
        <v>5</v>
      </c>
      <c r="T1103">
        <v>0</v>
      </c>
      <c r="U1103" s="3">
        <v>1</v>
      </c>
      <c r="V1103" s="3">
        <v>1</v>
      </c>
    </row>
    <row r="1104" spans="1:22" x14ac:dyDescent="0.25">
      <c r="A1104" s="2">
        <v>2017</v>
      </c>
      <c r="B1104" t="s">
        <v>47</v>
      </c>
      <c r="C1104" t="s">
        <v>22</v>
      </c>
      <c r="D1104" s="2">
        <v>137</v>
      </c>
      <c r="E1104" s="2">
        <v>5010</v>
      </c>
      <c r="F1104" t="s">
        <v>27</v>
      </c>
      <c r="G1104">
        <v>17</v>
      </c>
      <c r="H1104">
        <v>17</v>
      </c>
      <c r="I1104">
        <v>0</v>
      </c>
      <c r="J1104">
        <v>0</v>
      </c>
      <c r="K1104">
        <v>0</v>
      </c>
      <c r="L1104" s="6">
        <f t="shared" si="119"/>
        <v>1</v>
      </c>
      <c r="M1104">
        <v>217</v>
      </c>
      <c r="N1104">
        <v>38</v>
      </c>
      <c r="O1104" s="9">
        <v>0</v>
      </c>
      <c r="P1104">
        <v>1</v>
      </c>
      <c r="Q1104">
        <v>87</v>
      </c>
      <c r="R1104">
        <v>6</v>
      </c>
      <c r="S1104">
        <v>83</v>
      </c>
      <c r="T1104">
        <v>2</v>
      </c>
      <c r="U1104" s="3">
        <v>0.967741935483871</v>
      </c>
      <c r="V1104" s="3">
        <v>0.97008547008547008</v>
      </c>
    </row>
    <row r="1105" spans="1:22" x14ac:dyDescent="0.25">
      <c r="A1105" s="2">
        <v>2017</v>
      </c>
      <c r="B1105" t="s">
        <v>47</v>
      </c>
      <c r="C1105" t="s">
        <v>22</v>
      </c>
      <c r="D1105" s="2">
        <v>29</v>
      </c>
      <c r="E1105" s="2">
        <v>4489</v>
      </c>
      <c r="F1105" t="s">
        <v>353</v>
      </c>
      <c r="G1105">
        <v>22</v>
      </c>
      <c r="H1105">
        <v>22</v>
      </c>
      <c r="I1105">
        <v>0</v>
      </c>
      <c r="J1105">
        <v>0</v>
      </c>
      <c r="K1105">
        <v>0</v>
      </c>
      <c r="L1105" s="6">
        <f t="shared" si="119"/>
        <v>1</v>
      </c>
      <c r="M1105">
        <v>348</v>
      </c>
      <c r="N1105">
        <v>59</v>
      </c>
      <c r="O1105" s="9">
        <v>0</v>
      </c>
      <c r="P1105">
        <v>0</v>
      </c>
      <c r="Q1105">
        <v>171</v>
      </c>
      <c r="R1105">
        <v>0</v>
      </c>
      <c r="S1105">
        <v>117</v>
      </c>
      <c r="T1105">
        <v>1</v>
      </c>
      <c r="U1105" s="3">
        <v>1</v>
      </c>
      <c r="V1105" s="3">
        <v>1</v>
      </c>
    </row>
    <row r="1106" spans="1:22" x14ac:dyDescent="0.25">
      <c r="A1106" s="2">
        <v>2017</v>
      </c>
      <c r="B1106" t="s">
        <v>47</v>
      </c>
      <c r="C1106" t="s">
        <v>22</v>
      </c>
      <c r="D1106" s="2">
        <v>38</v>
      </c>
      <c r="E1106" s="2">
        <v>7115</v>
      </c>
      <c r="F1106" t="s">
        <v>354</v>
      </c>
      <c r="G1106">
        <v>8</v>
      </c>
      <c r="H1106">
        <v>8</v>
      </c>
      <c r="I1106">
        <v>0</v>
      </c>
      <c r="J1106">
        <v>0</v>
      </c>
      <c r="K1106">
        <v>0</v>
      </c>
      <c r="L1106" s="6">
        <f t="shared" ref="L1106:L1169" si="120">IF(G1106=0,0,SUM(H1106:J1106)/G1106)</f>
        <v>1</v>
      </c>
      <c r="M1106">
        <v>69</v>
      </c>
      <c r="N1106">
        <v>12</v>
      </c>
      <c r="O1106" s="9">
        <v>0</v>
      </c>
      <c r="P1106">
        <v>0</v>
      </c>
      <c r="Q1106">
        <v>15</v>
      </c>
      <c r="R1106">
        <v>3</v>
      </c>
      <c r="S1106">
        <v>39</v>
      </c>
      <c r="T1106">
        <v>0</v>
      </c>
      <c r="U1106" s="3">
        <v>0.95652173913043481</v>
      </c>
      <c r="V1106" s="3">
        <v>0.96103896103896103</v>
      </c>
    </row>
    <row r="1107" spans="1:22" x14ac:dyDescent="0.25">
      <c r="A1107" s="2">
        <v>2017</v>
      </c>
      <c r="B1107" t="s">
        <v>47</v>
      </c>
      <c r="C1107" t="s">
        <v>22</v>
      </c>
      <c r="D1107" s="2">
        <v>58</v>
      </c>
      <c r="E1107" s="2">
        <v>7621</v>
      </c>
      <c r="F1107" t="s">
        <v>355</v>
      </c>
      <c r="G1107">
        <v>54</v>
      </c>
      <c r="H1107">
        <v>54</v>
      </c>
      <c r="I1107">
        <v>0</v>
      </c>
      <c r="J1107">
        <v>0</v>
      </c>
      <c r="K1107">
        <v>0</v>
      </c>
      <c r="L1107" s="6">
        <f t="shared" si="120"/>
        <v>1</v>
      </c>
      <c r="M1107">
        <v>578</v>
      </c>
      <c r="N1107">
        <v>119</v>
      </c>
      <c r="O1107" s="9">
        <v>0</v>
      </c>
      <c r="P1107">
        <v>0</v>
      </c>
      <c r="Q1107">
        <v>276</v>
      </c>
      <c r="R1107">
        <v>2</v>
      </c>
      <c r="S1107">
        <v>180</v>
      </c>
      <c r="T1107">
        <v>1</v>
      </c>
      <c r="U1107" s="3">
        <v>0.9965397923875432</v>
      </c>
      <c r="V1107" s="3">
        <v>0.99683544303797467</v>
      </c>
    </row>
    <row r="1108" spans="1:22" x14ac:dyDescent="0.25">
      <c r="A1108" s="2">
        <v>2017</v>
      </c>
      <c r="B1108" t="s">
        <v>47</v>
      </c>
      <c r="C1108" t="s">
        <v>22</v>
      </c>
      <c r="D1108" s="2">
        <v>159</v>
      </c>
      <c r="E1108" s="2">
        <v>124091</v>
      </c>
      <c r="F1108" t="s">
        <v>437</v>
      </c>
      <c r="G1108">
        <v>6</v>
      </c>
      <c r="H1108">
        <v>6</v>
      </c>
      <c r="I1108">
        <v>0</v>
      </c>
      <c r="J1108">
        <v>0</v>
      </c>
      <c r="K1108">
        <v>0</v>
      </c>
      <c r="L1108" s="6">
        <f t="shared" si="120"/>
        <v>1</v>
      </c>
      <c r="M1108">
        <v>84</v>
      </c>
      <c r="N1108">
        <v>15</v>
      </c>
      <c r="O1108" s="9">
        <v>0</v>
      </c>
      <c r="P1108">
        <v>0</v>
      </c>
      <c r="Q1108">
        <v>31</v>
      </c>
      <c r="R1108">
        <v>0</v>
      </c>
      <c r="S1108">
        <v>38</v>
      </c>
      <c r="T1108">
        <v>0</v>
      </c>
      <c r="U1108" s="3">
        <v>1</v>
      </c>
      <c r="V1108" s="3">
        <v>1</v>
      </c>
    </row>
    <row r="1109" spans="1:22" x14ac:dyDescent="0.25">
      <c r="A1109" s="2">
        <v>2017</v>
      </c>
      <c r="B1109" t="s">
        <v>47</v>
      </c>
      <c r="C1109" t="s">
        <v>22</v>
      </c>
      <c r="D1109" s="2">
        <v>23</v>
      </c>
      <c r="E1109" s="2">
        <v>5832</v>
      </c>
      <c r="F1109" t="s">
        <v>358</v>
      </c>
      <c r="G1109">
        <v>6</v>
      </c>
      <c r="H1109">
        <v>6</v>
      </c>
      <c r="I1109">
        <v>0</v>
      </c>
      <c r="J1109">
        <v>0</v>
      </c>
      <c r="K1109">
        <v>0</v>
      </c>
      <c r="L1109" s="6">
        <f t="shared" si="120"/>
        <v>1</v>
      </c>
      <c r="M1109">
        <v>63</v>
      </c>
      <c r="N1109">
        <v>7</v>
      </c>
      <c r="O1109" s="9">
        <v>0</v>
      </c>
      <c r="P1109">
        <v>0</v>
      </c>
      <c r="Q1109">
        <v>29</v>
      </c>
      <c r="R1109">
        <v>1</v>
      </c>
      <c r="S1109">
        <v>26</v>
      </c>
      <c r="T1109">
        <v>0</v>
      </c>
      <c r="U1109" s="3">
        <v>0.98412698412698407</v>
      </c>
      <c r="V1109" s="3">
        <v>0.98550724637681164</v>
      </c>
    </row>
    <row r="1110" spans="1:22" x14ac:dyDescent="0.25">
      <c r="A1110" s="2">
        <v>2017</v>
      </c>
      <c r="B1110" t="s">
        <v>47</v>
      </c>
      <c r="C1110" t="s">
        <v>22</v>
      </c>
      <c r="D1110" s="2">
        <v>77</v>
      </c>
      <c r="E1110" s="2">
        <v>9967</v>
      </c>
      <c r="F1110" t="s">
        <v>359</v>
      </c>
      <c r="G1110">
        <v>37</v>
      </c>
      <c r="H1110">
        <v>37</v>
      </c>
      <c r="I1110">
        <v>0</v>
      </c>
      <c r="J1110">
        <v>0</v>
      </c>
      <c r="K1110">
        <v>0</v>
      </c>
      <c r="L1110" s="6">
        <f t="shared" si="120"/>
        <v>1</v>
      </c>
      <c r="M1110">
        <v>423</v>
      </c>
      <c r="N1110">
        <v>74</v>
      </c>
      <c r="O1110" s="9">
        <v>0</v>
      </c>
      <c r="P1110">
        <v>0</v>
      </c>
      <c r="Q1110">
        <v>207</v>
      </c>
      <c r="R1110">
        <v>0</v>
      </c>
      <c r="S1110">
        <v>142</v>
      </c>
      <c r="T1110">
        <v>0</v>
      </c>
      <c r="U1110" s="3">
        <v>1</v>
      </c>
      <c r="V1110" s="3">
        <v>1</v>
      </c>
    </row>
    <row r="1111" spans="1:22" x14ac:dyDescent="0.25">
      <c r="A1111" s="2">
        <v>2017</v>
      </c>
      <c r="B1111" t="s">
        <v>47</v>
      </c>
      <c r="C1111" t="s">
        <v>22</v>
      </c>
      <c r="D1111" s="2">
        <v>28</v>
      </c>
      <c r="E1111" s="2">
        <v>4356</v>
      </c>
      <c r="F1111" t="s">
        <v>360</v>
      </c>
      <c r="G1111">
        <v>36</v>
      </c>
      <c r="H1111">
        <v>35</v>
      </c>
      <c r="I1111">
        <v>0</v>
      </c>
      <c r="J1111">
        <v>0</v>
      </c>
      <c r="K1111">
        <v>1</v>
      </c>
      <c r="L1111" s="6">
        <f t="shared" si="120"/>
        <v>0.97222222222222221</v>
      </c>
      <c r="M1111">
        <v>640</v>
      </c>
      <c r="N1111">
        <v>116</v>
      </c>
      <c r="O1111" s="9">
        <v>0</v>
      </c>
      <c r="P1111">
        <v>0</v>
      </c>
      <c r="Q1111">
        <v>319</v>
      </c>
      <c r="R1111">
        <v>0</v>
      </c>
      <c r="S1111">
        <v>204</v>
      </c>
      <c r="T1111">
        <v>1</v>
      </c>
      <c r="U1111" s="3">
        <v>1</v>
      </c>
      <c r="V1111" s="3">
        <v>0.99852071005917165</v>
      </c>
    </row>
    <row r="1112" spans="1:22" x14ac:dyDescent="0.25">
      <c r="A1112" s="2">
        <v>2017</v>
      </c>
      <c r="B1112" t="s">
        <v>47</v>
      </c>
      <c r="C1112" t="s">
        <v>22</v>
      </c>
      <c r="D1112" s="2">
        <v>63</v>
      </c>
      <c r="E1112" s="2">
        <v>7817</v>
      </c>
      <c r="F1112" t="s">
        <v>361</v>
      </c>
      <c r="G1112">
        <v>27</v>
      </c>
      <c r="H1112">
        <v>27</v>
      </c>
      <c r="I1112">
        <v>0</v>
      </c>
      <c r="J1112">
        <v>0</v>
      </c>
      <c r="K1112">
        <v>0</v>
      </c>
      <c r="L1112" s="6">
        <f t="shared" si="120"/>
        <v>1</v>
      </c>
      <c r="M1112">
        <v>380</v>
      </c>
      <c r="N1112">
        <v>70</v>
      </c>
      <c r="O1112" s="9">
        <v>0</v>
      </c>
      <c r="P1112">
        <v>0</v>
      </c>
      <c r="Q1112">
        <v>172</v>
      </c>
      <c r="R1112">
        <v>0</v>
      </c>
      <c r="S1112">
        <v>135</v>
      </c>
      <c r="T1112">
        <v>3</v>
      </c>
      <c r="U1112" s="3">
        <v>1</v>
      </c>
      <c r="V1112" s="3">
        <v>1</v>
      </c>
    </row>
    <row r="1113" spans="1:22" x14ac:dyDescent="0.25">
      <c r="A1113" s="2">
        <v>2017</v>
      </c>
      <c r="B1113" t="s">
        <v>47</v>
      </c>
      <c r="C1113" t="s">
        <v>22</v>
      </c>
      <c r="D1113" s="2">
        <v>19</v>
      </c>
      <c r="E1113" s="2">
        <v>5831</v>
      </c>
      <c r="F1113" t="s">
        <v>362</v>
      </c>
      <c r="G1113">
        <v>31</v>
      </c>
      <c r="H1113">
        <v>31</v>
      </c>
      <c r="I1113">
        <v>0</v>
      </c>
      <c r="J1113">
        <v>0</v>
      </c>
      <c r="K1113">
        <v>0</v>
      </c>
      <c r="L1113" s="6">
        <f t="shared" si="120"/>
        <v>1</v>
      </c>
      <c r="M1113">
        <v>311</v>
      </c>
      <c r="N1113">
        <v>62</v>
      </c>
      <c r="O1113" s="9">
        <v>0</v>
      </c>
      <c r="P1113">
        <v>2</v>
      </c>
      <c r="Q1113">
        <v>120</v>
      </c>
      <c r="R1113">
        <v>8</v>
      </c>
      <c r="S1113">
        <v>117</v>
      </c>
      <c r="T1113">
        <v>2</v>
      </c>
      <c r="U1113" s="3">
        <v>0.96784565916398713</v>
      </c>
      <c r="V1113" s="3">
        <v>0.9707602339181286</v>
      </c>
    </row>
    <row r="1114" spans="1:22" x14ac:dyDescent="0.25">
      <c r="A1114" s="2">
        <v>2017</v>
      </c>
      <c r="B1114" t="s">
        <v>47</v>
      </c>
      <c r="C1114" t="s">
        <v>22</v>
      </c>
      <c r="D1114" s="2">
        <v>68</v>
      </c>
      <c r="E1114" s="2">
        <v>7923</v>
      </c>
      <c r="F1114" t="s">
        <v>363</v>
      </c>
      <c r="G1114">
        <v>30</v>
      </c>
      <c r="H1114">
        <v>30</v>
      </c>
      <c r="I1114">
        <v>0</v>
      </c>
      <c r="J1114">
        <v>0</v>
      </c>
      <c r="K1114">
        <v>0</v>
      </c>
      <c r="L1114" s="6">
        <f t="shared" si="120"/>
        <v>1</v>
      </c>
      <c r="M1114">
        <v>425</v>
      </c>
      <c r="N1114">
        <v>75</v>
      </c>
      <c r="O1114" s="9">
        <v>0</v>
      </c>
      <c r="P1114">
        <v>0</v>
      </c>
      <c r="Q1114">
        <v>224</v>
      </c>
      <c r="R1114">
        <v>2</v>
      </c>
      <c r="S1114">
        <v>124</v>
      </c>
      <c r="T1114">
        <v>0</v>
      </c>
      <c r="U1114" s="3">
        <v>0.99529411764705877</v>
      </c>
      <c r="V1114" s="3">
        <v>0.99560439560439562</v>
      </c>
    </row>
    <row r="1115" spans="1:22" x14ac:dyDescent="0.25">
      <c r="A1115" s="2">
        <v>2017</v>
      </c>
      <c r="B1115" t="s">
        <v>47</v>
      </c>
      <c r="C1115" t="s">
        <v>22</v>
      </c>
      <c r="D1115" s="2">
        <v>118</v>
      </c>
      <c r="E1115" s="2">
        <v>4623</v>
      </c>
      <c r="F1115" t="s">
        <v>443</v>
      </c>
      <c r="G1115">
        <v>5</v>
      </c>
      <c r="H1115">
        <v>5</v>
      </c>
      <c r="I1115">
        <v>0</v>
      </c>
      <c r="J1115">
        <v>0</v>
      </c>
      <c r="K1115">
        <v>0</v>
      </c>
      <c r="L1115" s="6">
        <f t="shared" si="120"/>
        <v>1</v>
      </c>
      <c r="M1115">
        <v>75</v>
      </c>
      <c r="N1115">
        <v>13</v>
      </c>
      <c r="O1115" s="9">
        <v>0</v>
      </c>
      <c r="P1115">
        <v>0</v>
      </c>
      <c r="Q1115">
        <v>28</v>
      </c>
      <c r="R1115">
        <v>0</v>
      </c>
      <c r="S1115">
        <v>34</v>
      </c>
      <c r="T1115">
        <v>0</v>
      </c>
      <c r="U1115" s="3">
        <v>1</v>
      </c>
      <c r="V1115" s="3">
        <v>1</v>
      </c>
    </row>
    <row r="1116" spans="1:22" x14ac:dyDescent="0.25">
      <c r="A1116" s="2">
        <v>2017</v>
      </c>
      <c r="B1116" t="s">
        <v>47</v>
      </c>
      <c r="C1116" t="s">
        <v>22</v>
      </c>
      <c r="D1116" s="2">
        <v>145</v>
      </c>
      <c r="E1116" s="2">
        <v>5597</v>
      </c>
      <c r="F1116" t="s">
        <v>33</v>
      </c>
      <c r="G1116">
        <v>7</v>
      </c>
      <c r="H1116">
        <v>7</v>
      </c>
      <c r="I1116">
        <v>0</v>
      </c>
      <c r="J1116">
        <v>0</v>
      </c>
      <c r="K1116">
        <v>0</v>
      </c>
      <c r="L1116" s="6">
        <f t="shared" si="120"/>
        <v>1</v>
      </c>
      <c r="M1116">
        <v>136</v>
      </c>
      <c r="N1116">
        <v>28</v>
      </c>
      <c r="O1116" s="9">
        <v>0</v>
      </c>
      <c r="P1116">
        <v>0</v>
      </c>
      <c r="Q1116">
        <v>51</v>
      </c>
      <c r="R1116">
        <v>0</v>
      </c>
      <c r="S1116">
        <v>56</v>
      </c>
      <c r="T1116">
        <v>1</v>
      </c>
      <c r="U1116" s="3">
        <v>1</v>
      </c>
      <c r="V1116" s="3">
        <v>1</v>
      </c>
    </row>
    <row r="1117" spans="1:22" x14ac:dyDescent="0.25">
      <c r="A1117" s="2">
        <v>2017</v>
      </c>
      <c r="B1117" t="s">
        <v>47</v>
      </c>
      <c r="C1117" t="s">
        <v>22</v>
      </c>
      <c r="D1117" s="2">
        <v>65</v>
      </c>
      <c r="E1117" s="2">
        <v>7806</v>
      </c>
      <c r="F1117" t="s">
        <v>328</v>
      </c>
      <c r="G1117">
        <v>33</v>
      </c>
      <c r="H1117">
        <v>33</v>
      </c>
      <c r="I1117">
        <v>0</v>
      </c>
      <c r="J1117">
        <v>0</v>
      </c>
      <c r="K1117">
        <v>0</v>
      </c>
      <c r="L1117" s="6">
        <f t="shared" si="120"/>
        <v>1</v>
      </c>
      <c r="M1117">
        <v>420</v>
      </c>
      <c r="N1117">
        <v>71</v>
      </c>
      <c r="O1117" s="9">
        <v>0</v>
      </c>
      <c r="P1117">
        <v>0</v>
      </c>
      <c r="Q1117">
        <v>214</v>
      </c>
      <c r="R1117">
        <v>2</v>
      </c>
      <c r="S1117">
        <v>131</v>
      </c>
      <c r="T1117">
        <v>2</v>
      </c>
      <c r="U1117" s="3">
        <v>0.99523809523809526</v>
      </c>
      <c r="V1117" s="3">
        <v>0.99558498896247238</v>
      </c>
    </row>
    <row r="1118" spans="1:22" x14ac:dyDescent="0.25">
      <c r="A1118" s="2">
        <v>2017</v>
      </c>
      <c r="B1118" t="s">
        <v>47</v>
      </c>
      <c r="C1118" t="s">
        <v>22</v>
      </c>
      <c r="D1118" s="2">
        <v>27</v>
      </c>
      <c r="E1118" s="2">
        <v>4492</v>
      </c>
      <c r="F1118" t="s">
        <v>367</v>
      </c>
      <c r="G1118">
        <v>33</v>
      </c>
      <c r="H1118">
        <v>33</v>
      </c>
      <c r="I1118">
        <v>0</v>
      </c>
      <c r="J1118">
        <v>0</v>
      </c>
      <c r="K1118">
        <v>0</v>
      </c>
      <c r="L1118" s="6">
        <f t="shared" si="120"/>
        <v>1</v>
      </c>
      <c r="M1118">
        <v>312</v>
      </c>
      <c r="N1118">
        <v>76</v>
      </c>
      <c r="O1118" s="9">
        <v>0</v>
      </c>
      <c r="P1118">
        <v>0</v>
      </c>
      <c r="Q1118">
        <v>130</v>
      </c>
      <c r="R1118">
        <v>1</v>
      </c>
      <c r="S1118">
        <v>104</v>
      </c>
      <c r="T1118">
        <v>1</v>
      </c>
      <c r="U1118" s="3">
        <v>0.99679487179487181</v>
      </c>
      <c r="V1118" s="3">
        <v>0.99710144927536237</v>
      </c>
    </row>
    <row r="1119" spans="1:22" x14ac:dyDescent="0.25">
      <c r="A1119" s="2">
        <v>2017</v>
      </c>
      <c r="B1119" t="s">
        <v>47</v>
      </c>
      <c r="C1119" t="s">
        <v>22</v>
      </c>
      <c r="D1119" s="2">
        <v>119</v>
      </c>
      <c r="E1119" s="2">
        <v>8697</v>
      </c>
      <c r="F1119" t="s">
        <v>368</v>
      </c>
      <c r="G1119">
        <v>2</v>
      </c>
      <c r="H1119">
        <v>2</v>
      </c>
      <c r="I1119">
        <v>0</v>
      </c>
      <c r="J1119">
        <v>0</v>
      </c>
      <c r="K1119">
        <v>0</v>
      </c>
      <c r="L1119" s="6">
        <f t="shared" si="120"/>
        <v>1</v>
      </c>
      <c r="M1119">
        <v>155</v>
      </c>
      <c r="N1119">
        <v>19</v>
      </c>
      <c r="O1119" s="9">
        <v>0</v>
      </c>
      <c r="P1119">
        <v>0</v>
      </c>
      <c r="Q1119">
        <v>92</v>
      </c>
      <c r="R1119">
        <v>0</v>
      </c>
      <c r="S1119">
        <v>42</v>
      </c>
      <c r="T1119">
        <v>2</v>
      </c>
      <c r="U1119" s="3">
        <v>1</v>
      </c>
      <c r="V1119" s="3">
        <v>1</v>
      </c>
    </row>
    <row r="1120" spans="1:22" x14ac:dyDescent="0.25">
      <c r="A1120" s="2">
        <v>2017</v>
      </c>
      <c r="B1120" t="s">
        <v>47</v>
      </c>
      <c r="C1120" t="s">
        <v>22</v>
      </c>
      <c r="D1120" s="2">
        <v>156</v>
      </c>
      <c r="E1120" s="2">
        <v>222222222</v>
      </c>
      <c r="F1120" t="s">
        <v>438</v>
      </c>
      <c r="G1120">
        <v>6</v>
      </c>
      <c r="H1120">
        <v>6</v>
      </c>
      <c r="I1120">
        <v>0</v>
      </c>
      <c r="J1120">
        <v>0</v>
      </c>
      <c r="K1120">
        <v>0</v>
      </c>
      <c r="L1120" s="6">
        <f t="shared" si="120"/>
        <v>1</v>
      </c>
      <c r="M1120">
        <v>59</v>
      </c>
      <c r="N1120">
        <v>7</v>
      </c>
      <c r="O1120" s="9">
        <v>0</v>
      </c>
      <c r="P1120">
        <v>0</v>
      </c>
      <c r="Q1120">
        <v>29</v>
      </c>
      <c r="R1120">
        <v>0</v>
      </c>
      <c r="S1120">
        <v>22</v>
      </c>
      <c r="T1120">
        <v>1</v>
      </c>
      <c r="U1120" s="3">
        <v>1</v>
      </c>
      <c r="V1120" s="3">
        <v>1</v>
      </c>
    </row>
    <row r="1121" spans="1:22" x14ac:dyDescent="0.25">
      <c r="A1121" s="2">
        <v>2017</v>
      </c>
      <c r="B1121" t="s">
        <v>47</v>
      </c>
      <c r="C1121" t="s">
        <v>22</v>
      </c>
      <c r="D1121" s="2">
        <v>158</v>
      </c>
      <c r="E1121" s="2">
        <v>222222222</v>
      </c>
      <c r="F1121" t="s">
        <v>435</v>
      </c>
      <c r="G1121">
        <v>1</v>
      </c>
      <c r="H1121">
        <v>1</v>
      </c>
      <c r="I1121">
        <v>0</v>
      </c>
      <c r="J1121">
        <v>0</v>
      </c>
      <c r="K1121">
        <v>0</v>
      </c>
      <c r="L1121" s="6">
        <f t="shared" si="120"/>
        <v>1</v>
      </c>
      <c r="M1121">
        <v>69</v>
      </c>
      <c r="N1121">
        <v>11</v>
      </c>
      <c r="O1121" s="9">
        <v>0</v>
      </c>
      <c r="P1121">
        <v>0</v>
      </c>
      <c r="Q1121">
        <v>38</v>
      </c>
      <c r="R1121">
        <v>0</v>
      </c>
      <c r="S1121">
        <v>20</v>
      </c>
      <c r="T1121">
        <v>0</v>
      </c>
      <c r="U1121" s="3">
        <v>1</v>
      </c>
      <c r="V1121" s="3">
        <v>1</v>
      </c>
    </row>
    <row r="1122" spans="1:22" x14ac:dyDescent="0.25">
      <c r="A1122" s="2">
        <v>2017</v>
      </c>
      <c r="B1122" t="s">
        <v>47</v>
      </c>
      <c r="C1122" t="s">
        <v>22</v>
      </c>
      <c r="D1122" s="2">
        <v>25</v>
      </c>
      <c r="E1122" s="2">
        <v>4357</v>
      </c>
      <c r="F1122" t="s">
        <v>369</v>
      </c>
      <c r="G1122">
        <v>29</v>
      </c>
      <c r="H1122">
        <v>29</v>
      </c>
      <c r="I1122">
        <v>0</v>
      </c>
      <c r="J1122">
        <v>0</v>
      </c>
      <c r="K1122">
        <v>0</v>
      </c>
      <c r="L1122" s="6">
        <f t="shared" si="120"/>
        <v>1</v>
      </c>
      <c r="M1122">
        <v>384</v>
      </c>
      <c r="N1122">
        <v>79</v>
      </c>
      <c r="O1122" s="9">
        <v>0</v>
      </c>
      <c r="P1122">
        <v>1</v>
      </c>
      <c r="Q1122">
        <v>170</v>
      </c>
      <c r="R1122">
        <v>7</v>
      </c>
      <c r="S1122">
        <v>125</v>
      </c>
      <c r="T1122">
        <v>2</v>
      </c>
      <c r="U1122" s="3">
        <v>0.97916666666666663</v>
      </c>
      <c r="V1122" s="3">
        <v>0.98062953995157387</v>
      </c>
    </row>
    <row r="1123" spans="1:22" x14ac:dyDescent="0.25">
      <c r="A1123" s="2">
        <v>2017</v>
      </c>
      <c r="B1123" t="s">
        <v>47</v>
      </c>
      <c r="C1123" t="s">
        <v>22</v>
      </c>
      <c r="D1123" s="2">
        <v>43</v>
      </c>
      <c r="E1123" s="2">
        <v>7308</v>
      </c>
      <c r="F1123" t="s">
        <v>418</v>
      </c>
      <c r="G1123">
        <v>0</v>
      </c>
      <c r="H1123">
        <v>0</v>
      </c>
      <c r="I1123">
        <v>0</v>
      </c>
      <c r="J1123">
        <v>0</v>
      </c>
      <c r="K1123">
        <v>0</v>
      </c>
      <c r="L1123" s="6">
        <f t="shared" si="120"/>
        <v>0</v>
      </c>
      <c r="M1123">
        <v>1</v>
      </c>
      <c r="N1123">
        <v>0</v>
      </c>
      <c r="O1123" s="9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 s="3">
        <v>1</v>
      </c>
      <c r="V1123" s="3">
        <v>1</v>
      </c>
    </row>
    <row r="1124" spans="1:22" x14ac:dyDescent="0.25">
      <c r="A1124" s="2">
        <v>2017</v>
      </c>
      <c r="B1124" t="s">
        <v>47</v>
      </c>
      <c r="C1124" t="s">
        <v>22</v>
      </c>
      <c r="D1124" s="2">
        <v>184</v>
      </c>
      <c r="E1124" s="2">
        <v>120870</v>
      </c>
      <c r="F1124" t="s">
        <v>371</v>
      </c>
      <c r="G1124">
        <v>6</v>
      </c>
      <c r="H1124">
        <v>6</v>
      </c>
      <c r="I1124">
        <v>0</v>
      </c>
      <c r="J1124">
        <v>0</v>
      </c>
      <c r="K1124">
        <v>0</v>
      </c>
      <c r="L1124" s="6">
        <f t="shared" si="120"/>
        <v>1</v>
      </c>
      <c r="M1124">
        <v>276</v>
      </c>
      <c r="N1124">
        <v>48</v>
      </c>
      <c r="O1124" s="9">
        <v>0</v>
      </c>
      <c r="P1124">
        <v>1</v>
      </c>
      <c r="Q1124">
        <v>119</v>
      </c>
      <c r="R1124">
        <v>0</v>
      </c>
      <c r="S1124">
        <v>102</v>
      </c>
      <c r="T1124">
        <v>6</v>
      </c>
      <c r="U1124" s="3">
        <v>0.99637681159420288</v>
      </c>
      <c r="V1124" s="3">
        <v>0.99645390070921991</v>
      </c>
    </row>
    <row r="1125" spans="1:22" x14ac:dyDescent="0.25">
      <c r="A1125" s="2">
        <v>2017</v>
      </c>
      <c r="B1125" t="s">
        <v>47</v>
      </c>
      <c r="C1125" t="s">
        <v>22</v>
      </c>
      <c r="D1125" s="2">
        <v>37</v>
      </c>
      <c r="E1125" s="2">
        <v>7073</v>
      </c>
      <c r="F1125" t="s">
        <v>444</v>
      </c>
      <c r="G1125">
        <v>0</v>
      </c>
      <c r="H1125">
        <v>0</v>
      </c>
      <c r="I1125">
        <v>0</v>
      </c>
      <c r="J1125">
        <v>0</v>
      </c>
      <c r="K1125">
        <v>0</v>
      </c>
      <c r="L1125" s="6">
        <f t="shared" si="120"/>
        <v>0</v>
      </c>
      <c r="M1125">
        <v>1</v>
      </c>
      <c r="N1125">
        <v>1</v>
      </c>
      <c r="O1125" s="9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 s="3">
        <v>1</v>
      </c>
      <c r="V1125" s="3">
        <v>1</v>
      </c>
    </row>
    <row r="1126" spans="1:22" x14ac:dyDescent="0.25">
      <c r="A1126" s="2">
        <v>2017</v>
      </c>
      <c r="B1126" t="s">
        <v>47</v>
      </c>
      <c r="C1126" t="s">
        <v>22</v>
      </c>
      <c r="D1126" s="2">
        <v>162</v>
      </c>
      <c r="E1126" s="2">
        <v>124131</v>
      </c>
      <c r="F1126" t="s">
        <v>439</v>
      </c>
      <c r="G1126">
        <v>0</v>
      </c>
      <c r="H1126">
        <v>0</v>
      </c>
      <c r="I1126">
        <v>0</v>
      </c>
      <c r="J1126">
        <v>0</v>
      </c>
      <c r="K1126">
        <v>0</v>
      </c>
      <c r="L1126" s="6">
        <f t="shared" si="120"/>
        <v>0</v>
      </c>
      <c r="M1126">
        <v>30</v>
      </c>
      <c r="N1126">
        <v>4</v>
      </c>
      <c r="O1126" s="9">
        <v>0</v>
      </c>
      <c r="P1126">
        <v>0</v>
      </c>
      <c r="Q1126">
        <v>19</v>
      </c>
      <c r="R1126">
        <v>0</v>
      </c>
      <c r="S1126">
        <v>7</v>
      </c>
      <c r="T1126">
        <v>0</v>
      </c>
      <c r="U1126" s="3">
        <v>1</v>
      </c>
      <c r="V1126" s="3">
        <v>1</v>
      </c>
    </row>
    <row r="1127" spans="1:22" x14ac:dyDescent="0.25">
      <c r="A1127" s="2">
        <v>2017</v>
      </c>
      <c r="B1127" t="s">
        <v>47</v>
      </c>
      <c r="C1127" t="s">
        <v>22</v>
      </c>
      <c r="D1127" s="2">
        <v>142</v>
      </c>
      <c r="E1127" s="2">
        <v>122502</v>
      </c>
      <c r="F1127" t="s">
        <v>372</v>
      </c>
      <c r="G1127">
        <v>16</v>
      </c>
      <c r="H1127">
        <v>16</v>
      </c>
      <c r="I1127">
        <v>0</v>
      </c>
      <c r="J1127">
        <v>0</v>
      </c>
      <c r="K1127">
        <v>0</v>
      </c>
      <c r="L1127" s="6">
        <f t="shared" si="120"/>
        <v>1</v>
      </c>
      <c r="M1127">
        <v>291</v>
      </c>
      <c r="N1127">
        <v>50</v>
      </c>
      <c r="O1127" s="9">
        <v>0</v>
      </c>
      <c r="P1127">
        <v>0</v>
      </c>
      <c r="Q1127">
        <v>142</v>
      </c>
      <c r="R1127">
        <v>0</v>
      </c>
      <c r="S1127">
        <v>96</v>
      </c>
      <c r="T1127">
        <v>3</v>
      </c>
      <c r="U1127" s="3">
        <v>1</v>
      </c>
      <c r="V1127" s="3">
        <v>1</v>
      </c>
    </row>
    <row r="1128" spans="1:22" x14ac:dyDescent="0.25">
      <c r="A1128" s="2">
        <v>2017</v>
      </c>
      <c r="B1128" t="s">
        <v>47</v>
      </c>
      <c r="C1128" t="s">
        <v>20</v>
      </c>
      <c r="D1128" s="2">
        <v>573</v>
      </c>
      <c r="E1128" s="2">
        <v>222222222</v>
      </c>
      <c r="F1128" t="s">
        <v>49</v>
      </c>
      <c r="G1128">
        <v>0</v>
      </c>
      <c r="H1128">
        <v>0</v>
      </c>
      <c r="I1128">
        <v>0</v>
      </c>
      <c r="J1128">
        <v>0</v>
      </c>
      <c r="K1128">
        <v>0</v>
      </c>
      <c r="L1128" s="6">
        <f t="shared" si="120"/>
        <v>0</v>
      </c>
      <c r="M1128">
        <v>2</v>
      </c>
      <c r="N1128">
        <v>0</v>
      </c>
      <c r="O1128" s="9">
        <v>0</v>
      </c>
      <c r="P1128">
        <v>0</v>
      </c>
      <c r="Q1128">
        <v>0</v>
      </c>
      <c r="R1128">
        <v>0</v>
      </c>
      <c r="S1128">
        <v>2</v>
      </c>
      <c r="T1128">
        <v>0</v>
      </c>
      <c r="U1128" s="3">
        <v>1</v>
      </c>
      <c r="V1128" s="3">
        <v>1</v>
      </c>
    </row>
    <row r="1129" spans="1:22" x14ac:dyDescent="0.25">
      <c r="A1129" s="2">
        <v>2017</v>
      </c>
      <c r="B1129" t="s">
        <v>47</v>
      </c>
      <c r="C1129" t="s">
        <v>20</v>
      </c>
      <c r="D1129" s="2">
        <v>578</v>
      </c>
      <c r="E1129" s="2">
        <v>122349</v>
      </c>
      <c r="F1129" t="s">
        <v>43</v>
      </c>
      <c r="G1129">
        <v>19</v>
      </c>
      <c r="H1129">
        <v>19</v>
      </c>
      <c r="I1129">
        <v>0</v>
      </c>
      <c r="J1129">
        <v>0</v>
      </c>
      <c r="K1129">
        <v>0</v>
      </c>
      <c r="L1129" s="6">
        <f t="shared" si="120"/>
        <v>1</v>
      </c>
      <c r="M1129">
        <v>224</v>
      </c>
      <c r="N1129">
        <v>16</v>
      </c>
      <c r="O1129" s="9">
        <v>0</v>
      </c>
      <c r="P1129">
        <v>0</v>
      </c>
      <c r="Q1129">
        <v>150</v>
      </c>
      <c r="R1129">
        <v>0</v>
      </c>
      <c r="S1129">
        <v>57</v>
      </c>
      <c r="T1129">
        <v>1</v>
      </c>
      <c r="U1129" s="3">
        <v>1</v>
      </c>
      <c r="V1129" s="3">
        <v>1</v>
      </c>
    </row>
    <row r="1130" spans="1:22" x14ac:dyDescent="0.25">
      <c r="A1130" s="2">
        <v>2017</v>
      </c>
      <c r="B1130" t="s">
        <v>47</v>
      </c>
      <c r="C1130" t="s">
        <v>20</v>
      </c>
      <c r="D1130" s="2">
        <v>605</v>
      </c>
      <c r="E1130" s="2">
        <v>7198</v>
      </c>
      <c r="F1130" t="s">
        <v>440</v>
      </c>
      <c r="G1130">
        <v>0</v>
      </c>
      <c r="H1130">
        <v>0</v>
      </c>
      <c r="I1130">
        <v>0</v>
      </c>
      <c r="J1130">
        <v>0</v>
      </c>
      <c r="K1130">
        <v>0</v>
      </c>
      <c r="L1130" s="6">
        <f t="shared" si="120"/>
        <v>0</v>
      </c>
      <c r="M1130">
        <v>60</v>
      </c>
      <c r="N1130">
        <v>7</v>
      </c>
      <c r="O1130" s="9">
        <v>0</v>
      </c>
      <c r="P1130">
        <v>0</v>
      </c>
      <c r="Q1130">
        <v>34</v>
      </c>
      <c r="R1130">
        <v>0</v>
      </c>
      <c r="S1130">
        <v>19</v>
      </c>
      <c r="T1130">
        <v>0</v>
      </c>
      <c r="U1130" s="3">
        <v>1</v>
      </c>
      <c r="V1130" s="3">
        <v>1</v>
      </c>
    </row>
    <row r="1131" spans="1:22" x14ac:dyDescent="0.25">
      <c r="A1131" s="2">
        <v>2017</v>
      </c>
      <c r="B1131" t="s">
        <v>47</v>
      </c>
      <c r="C1131" t="s">
        <v>20</v>
      </c>
      <c r="D1131" s="2">
        <v>590</v>
      </c>
      <c r="E1131" s="2">
        <v>122682</v>
      </c>
      <c r="F1131" t="s">
        <v>334</v>
      </c>
      <c r="G1131">
        <v>4</v>
      </c>
      <c r="H1131">
        <v>4</v>
      </c>
      <c r="I1131">
        <v>0</v>
      </c>
      <c r="J1131">
        <v>0</v>
      </c>
      <c r="K1131">
        <v>0</v>
      </c>
      <c r="L1131" s="6">
        <f t="shared" si="120"/>
        <v>1</v>
      </c>
      <c r="M1131">
        <v>79</v>
      </c>
      <c r="N1131">
        <v>1</v>
      </c>
      <c r="O1131" s="9">
        <v>0</v>
      </c>
      <c r="P1131">
        <v>0</v>
      </c>
      <c r="Q1131">
        <v>33</v>
      </c>
      <c r="R1131">
        <v>0</v>
      </c>
      <c r="S1131">
        <v>44</v>
      </c>
      <c r="T1131">
        <v>1</v>
      </c>
      <c r="U1131" s="3">
        <v>1</v>
      </c>
      <c r="V1131" s="3">
        <v>1</v>
      </c>
    </row>
    <row r="1132" spans="1:22" x14ac:dyDescent="0.25">
      <c r="A1132" s="2">
        <v>2017</v>
      </c>
      <c r="B1132" t="s">
        <v>47</v>
      </c>
      <c r="C1132" t="s">
        <v>20</v>
      </c>
      <c r="D1132" s="2">
        <v>586</v>
      </c>
      <c r="E1132" s="2">
        <v>122754</v>
      </c>
      <c r="F1132" t="s">
        <v>335</v>
      </c>
      <c r="G1132">
        <v>18</v>
      </c>
      <c r="H1132">
        <v>18</v>
      </c>
      <c r="I1132">
        <v>0</v>
      </c>
      <c r="J1132">
        <v>0</v>
      </c>
      <c r="K1132">
        <v>0</v>
      </c>
      <c r="L1132" s="6">
        <f t="shared" si="120"/>
        <v>1</v>
      </c>
      <c r="M1132">
        <v>160</v>
      </c>
      <c r="N1132">
        <v>22</v>
      </c>
      <c r="O1132" s="9">
        <v>0</v>
      </c>
      <c r="P1132">
        <v>0</v>
      </c>
      <c r="Q1132">
        <v>65</v>
      </c>
      <c r="R1132">
        <v>0</v>
      </c>
      <c r="S1132">
        <v>72</v>
      </c>
      <c r="T1132">
        <v>1</v>
      </c>
      <c r="U1132" s="3">
        <v>1</v>
      </c>
      <c r="V1132" s="3">
        <v>1</v>
      </c>
    </row>
    <row r="1133" spans="1:22" x14ac:dyDescent="0.25">
      <c r="A1133" s="2">
        <v>2017</v>
      </c>
      <c r="B1133" t="s">
        <v>47</v>
      </c>
      <c r="C1133" t="s">
        <v>20</v>
      </c>
      <c r="D1133" s="2">
        <v>530</v>
      </c>
      <c r="E1133" s="2">
        <v>10559</v>
      </c>
      <c r="F1133" t="s">
        <v>32</v>
      </c>
      <c r="G1133">
        <v>5</v>
      </c>
      <c r="H1133">
        <v>5</v>
      </c>
      <c r="I1133">
        <v>0</v>
      </c>
      <c r="J1133">
        <v>0</v>
      </c>
      <c r="K1133">
        <v>0</v>
      </c>
      <c r="L1133" s="6">
        <f t="shared" si="120"/>
        <v>1</v>
      </c>
      <c r="M1133">
        <v>126</v>
      </c>
      <c r="N1133">
        <v>18</v>
      </c>
      <c r="O1133" s="9">
        <v>0</v>
      </c>
      <c r="P1133">
        <v>1</v>
      </c>
      <c r="Q1133">
        <v>64</v>
      </c>
      <c r="R1133">
        <v>0</v>
      </c>
      <c r="S1133">
        <v>42</v>
      </c>
      <c r="T1133">
        <v>1</v>
      </c>
      <c r="U1133" s="3">
        <v>0.99206349206349209</v>
      </c>
      <c r="V1133" s="3">
        <v>0.99236641221374045</v>
      </c>
    </row>
    <row r="1134" spans="1:22" x14ac:dyDescent="0.25">
      <c r="A1134" s="2">
        <v>2017</v>
      </c>
      <c r="B1134" t="s">
        <v>47</v>
      </c>
      <c r="C1134" t="s">
        <v>20</v>
      </c>
      <c r="D1134" s="2">
        <v>519</v>
      </c>
      <c r="E1134" s="2">
        <v>8952</v>
      </c>
      <c r="F1134" t="s">
        <v>445</v>
      </c>
      <c r="G1134">
        <v>0</v>
      </c>
      <c r="H1134">
        <v>0</v>
      </c>
      <c r="I1134">
        <v>0</v>
      </c>
      <c r="J1134">
        <v>0</v>
      </c>
      <c r="K1134">
        <v>0</v>
      </c>
      <c r="L1134" s="6">
        <f t="shared" si="120"/>
        <v>0</v>
      </c>
      <c r="M1134">
        <v>1</v>
      </c>
      <c r="N1134">
        <v>0</v>
      </c>
      <c r="O1134" s="9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 s="3">
        <v>1</v>
      </c>
      <c r="V1134" s="3">
        <v>1</v>
      </c>
    </row>
    <row r="1135" spans="1:22" x14ac:dyDescent="0.25">
      <c r="A1135" s="2">
        <v>2017</v>
      </c>
      <c r="B1135" t="s">
        <v>47</v>
      </c>
      <c r="C1135" t="s">
        <v>20</v>
      </c>
      <c r="D1135" s="2">
        <v>527</v>
      </c>
      <c r="E1135" s="2">
        <v>9715</v>
      </c>
      <c r="F1135" t="s">
        <v>337</v>
      </c>
      <c r="G1135">
        <v>58</v>
      </c>
      <c r="H1135">
        <v>58</v>
      </c>
      <c r="I1135">
        <v>0</v>
      </c>
      <c r="J1135">
        <v>0</v>
      </c>
      <c r="K1135">
        <v>0</v>
      </c>
      <c r="L1135" s="6">
        <f t="shared" si="120"/>
        <v>1</v>
      </c>
      <c r="M1135">
        <v>507</v>
      </c>
      <c r="N1135">
        <v>55</v>
      </c>
      <c r="O1135" s="9">
        <v>0</v>
      </c>
      <c r="P1135">
        <v>0</v>
      </c>
      <c r="Q1135">
        <v>238</v>
      </c>
      <c r="R1135">
        <v>1</v>
      </c>
      <c r="S1135">
        <v>212</v>
      </c>
      <c r="T1135">
        <v>1</v>
      </c>
      <c r="U1135" s="3">
        <v>0.99802761341222879</v>
      </c>
      <c r="V1135" s="3">
        <v>0.99823008849557526</v>
      </c>
    </row>
    <row r="1136" spans="1:22" x14ac:dyDescent="0.25">
      <c r="A1136" s="2">
        <v>2017</v>
      </c>
      <c r="B1136" t="s">
        <v>47</v>
      </c>
      <c r="C1136" t="s">
        <v>20</v>
      </c>
      <c r="D1136" s="2">
        <v>548</v>
      </c>
      <c r="E1136" s="2">
        <v>10618</v>
      </c>
      <c r="F1136" t="s">
        <v>338</v>
      </c>
      <c r="G1136">
        <v>5</v>
      </c>
      <c r="H1136">
        <v>5</v>
      </c>
      <c r="I1136">
        <v>0</v>
      </c>
      <c r="J1136">
        <v>0</v>
      </c>
      <c r="K1136">
        <v>0</v>
      </c>
      <c r="L1136" s="6">
        <f t="shared" si="120"/>
        <v>1</v>
      </c>
      <c r="M1136">
        <v>80</v>
      </c>
      <c r="N1136">
        <v>10</v>
      </c>
      <c r="O1136" s="9">
        <v>0</v>
      </c>
      <c r="P1136">
        <v>0</v>
      </c>
      <c r="Q1136">
        <v>44</v>
      </c>
      <c r="R1136">
        <v>0</v>
      </c>
      <c r="S1136">
        <v>26</v>
      </c>
      <c r="T1136">
        <v>0</v>
      </c>
      <c r="U1136" s="3">
        <v>1</v>
      </c>
      <c r="V1136" s="3">
        <v>1</v>
      </c>
    </row>
    <row r="1137" spans="1:22" x14ac:dyDescent="0.25">
      <c r="A1137" s="2">
        <v>2017</v>
      </c>
      <c r="B1137" t="s">
        <v>47</v>
      </c>
      <c r="C1137" t="s">
        <v>20</v>
      </c>
      <c r="D1137" s="2">
        <v>404</v>
      </c>
      <c r="E1137" s="2">
        <v>6777</v>
      </c>
      <c r="F1137" t="s">
        <v>34</v>
      </c>
      <c r="G1137">
        <v>10</v>
      </c>
      <c r="H1137">
        <v>10</v>
      </c>
      <c r="I1137">
        <v>0</v>
      </c>
      <c r="J1137">
        <v>0</v>
      </c>
      <c r="K1137">
        <v>0</v>
      </c>
      <c r="L1137" s="6">
        <f t="shared" si="120"/>
        <v>1</v>
      </c>
      <c r="M1137">
        <v>172</v>
      </c>
      <c r="N1137">
        <v>22</v>
      </c>
      <c r="O1137" s="9">
        <v>0</v>
      </c>
      <c r="P1137">
        <v>0</v>
      </c>
      <c r="Q1137">
        <v>78</v>
      </c>
      <c r="R1137">
        <v>0</v>
      </c>
      <c r="S1137">
        <v>71</v>
      </c>
      <c r="T1137">
        <v>1</v>
      </c>
      <c r="U1137" s="3">
        <v>1</v>
      </c>
      <c r="V1137" s="3">
        <v>1</v>
      </c>
    </row>
    <row r="1138" spans="1:22" x14ac:dyDescent="0.25">
      <c r="A1138" s="2">
        <v>2017</v>
      </c>
      <c r="B1138" t="s">
        <v>47</v>
      </c>
      <c r="C1138" t="s">
        <v>20</v>
      </c>
      <c r="D1138" s="2">
        <v>455</v>
      </c>
      <c r="E1138" s="2">
        <v>7401</v>
      </c>
      <c r="F1138" t="s">
        <v>36</v>
      </c>
      <c r="G1138">
        <v>8</v>
      </c>
      <c r="H1138">
        <v>8</v>
      </c>
      <c r="I1138">
        <v>0</v>
      </c>
      <c r="J1138">
        <v>0</v>
      </c>
      <c r="K1138">
        <v>0</v>
      </c>
      <c r="L1138" s="6">
        <f t="shared" si="120"/>
        <v>1</v>
      </c>
      <c r="M1138">
        <v>113</v>
      </c>
      <c r="N1138">
        <v>20</v>
      </c>
      <c r="O1138" s="9">
        <v>0</v>
      </c>
      <c r="P1138">
        <v>0</v>
      </c>
      <c r="Q1138">
        <v>52</v>
      </c>
      <c r="R1138">
        <v>0</v>
      </c>
      <c r="S1138">
        <v>41</v>
      </c>
      <c r="T1138">
        <v>0</v>
      </c>
      <c r="U1138" s="3">
        <v>1</v>
      </c>
      <c r="V1138" s="3">
        <v>1</v>
      </c>
    </row>
    <row r="1139" spans="1:22" x14ac:dyDescent="0.25">
      <c r="A1139" s="2">
        <v>2017</v>
      </c>
      <c r="B1139" t="s">
        <v>47</v>
      </c>
      <c r="C1139" t="s">
        <v>20</v>
      </c>
      <c r="D1139" s="2">
        <v>356</v>
      </c>
      <c r="E1139" s="2">
        <v>1674</v>
      </c>
      <c r="F1139" t="s">
        <v>340</v>
      </c>
      <c r="G1139">
        <v>16</v>
      </c>
      <c r="H1139">
        <v>16</v>
      </c>
      <c r="I1139">
        <v>0</v>
      </c>
      <c r="J1139">
        <v>0</v>
      </c>
      <c r="K1139">
        <v>0</v>
      </c>
      <c r="L1139" s="6">
        <f t="shared" si="120"/>
        <v>1</v>
      </c>
      <c r="M1139">
        <v>238</v>
      </c>
      <c r="N1139">
        <v>29</v>
      </c>
      <c r="O1139" s="9">
        <v>0</v>
      </c>
      <c r="P1139">
        <v>0</v>
      </c>
      <c r="Q1139">
        <v>130</v>
      </c>
      <c r="R1139">
        <v>0</v>
      </c>
      <c r="S1139">
        <v>79</v>
      </c>
      <c r="T1139">
        <v>0</v>
      </c>
      <c r="U1139" s="3">
        <v>1</v>
      </c>
      <c r="V1139" s="3">
        <v>1</v>
      </c>
    </row>
    <row r="1140" spans="1:22" x14ac:dyDescent="0.25">
      <c r="A1140" s="2">
        <v>2017</v>
      </c>
      <c r="B1140" t="s">
        <v>47</v>
      </c>
      <c r="C1140" t="s">
        <v>20</v>
      </c>
      <c r="D1140" s="2">
        <v>842</v>
      </c>
      <c r="E1140" s="2">
        <v>5618</v>
      </c>
      <c r="F1140" t="s">
        <v>37</v>
      </c>
      <c r="G1140">
        <v>7</v>
      </c>
      <c r="H1140">
        <v>7</v>
      </c>
      <c r="I1140">
        <v>0</v>
      </c>
      <c r="J1140">
        <v>0</v>
      </c>
      <c r="K1140">
        <v>0</v>
      </c>
      <c r="L1140" s="6">
        <f t="shared" si="120"/>
        <v>1</v>
      </c>
      <c r="M1140">
        <v>115</v>
      </c>
      <c r="N1140">
        <v>14</v>
      </c>
      <c r="O1140" s="9">
        <v>0</v>
      </c>
      <c r="P1140">
        <v>0</v>
      </c>
      <c r="Q1140">
        <v>63</v>
      </c>
      <c r="R1140">
        <v>0</v>
      </c>
      <c r="S1140">
        <v>37</v>
      </c>
      <c r="T1140">
        <v>1</v>
      </c>
      <c r="U1140" s="3">
        <v>1</v>
      </c>
      <c r="V1140" s="3">
        <v>1</v>
      </c>
    </row>
    <row r="1141" spans="1:22" x14ac:dyDescent="0.25">
      <c r="A1141" s="2">
        <v>2017</v>
      </c>
      <c r="B1141" t="s">
        <v>47</v>
      </c>
      <c r="C1141" t="s">
        <v>20</v>
      </c>
      <c r="D1141" s="2">
        <v>600</v>
      </c>
      <c r="E1141" s="2">
        <v>222222222</v>
      </c>
      <c r="F1141" t="s">
        <v>435</v>
      </c>
      <c r="G1141">
        <v>4</v>
      </c>
      <c r="H1141">
        <v>4</v>
      </c>
      <c r="I1141">
        <v>0</v>
      </c>
      <c r="J1141">
        <v>0</v>
      </c>
      <c r="K1141">
        <v>0</v>
      </c>
      <c r="L1141" s="6">
        <f t="shared" si="120"/>
        <v>1</v>
      </c>
      <c r="M1141">
        <v>156</v>
      </c>
      <c r="N1141">
        <v>16</v>
      </c>
      <c r="O1141" s="9">
        <v>0</v>
      </c>
      <c r="P1141">
        <v>0</v>
      </c>
      <c r="Q1141">
        <v>90</v>
      </c>
      <c r="R1141">
        <v>0</v>
      </c>
      <c r="S1141">
        <v>50</v>
      </c>
      <c r="T1141">
        <v>0</v>
      </c>
      <c r="U1141" s="3">
        <v>1</v>
      </c>
      <c r="V1141" s="3">
        <v>1</v>
      </c>
    </row>
    <row r="1142" spans="1:22" x14ac:dyDescent="0.25">
      <c r="A1142" s="2">
        <v>2017</v>
      </c>
      <c r="B1142" t="s">
        <v>47</v>
      </c>
      <c r="C1142" t="s">
        <v>20</v>
      </c>
      <c r="D1142" s="2">
        <v>543</v>
      </c>
      <c r="E1142" s="2">
        <v>10917</v>
      </c>
      <c r="F1142" t="s">
        <v>341</v>
      </c>
      <c r="G1142">
        <v>4</v>
      </c>
      <c r="H1142">
        <v>4</v>
      </c>
      <c r="I1142">
        <v>0</v>
      </c>
      <c r="J1142">
        <v>0</v>
      </c>
      <c r="K1142">
        <v>0</v>
      </c>
      <c r="L1142" s="6">
        <f t="shared" si="120"/>
        <v>1</v>
      </c>
      <c r="M1142">
        <v>78</v>
      </c>
      <c r="N1142">
        <v>8</v>
      </c>
      <c r="O1142" s="9">
        <v>0</v>
      </c>
      <c r="P1142">
        <v>0</v>
      </c>
      <c r="Q1142">
        <v>40</v>
      </c>
      <c r="R1142">
        <v>1</v>
      </c>
      <c r="S1142">
        <v>29</v>
      </c>
      <c r="T1142">
        <v>0</v>
      </c>
      <c r="U1142" s="3">
        <v>0.98717948717948723</v>
      </c>
      <c r="V1142" s="3">
        <v>0.98780487804878048</v>
      </c>
    </row>
    <row r="1143" spans="1:22" x14ac:dyDescent="0.25">
      <c r="A1143" s="2">
        <v>2017</v>
      </c>
      <c r="B1143" t="s">
        <v>47</v>
      </c>
      <c r="C1143" t="s">
        <v>20</v>
      </c>
      <c r="D1143" s="2">
        <v>565</v>
      </c>
      <c r="E1143" s="2">
        <v>9507</v>
      </c>
      <c r="F1143" t="s">
        <v>432</v>
      </c>
      <c r="G1143">
        <v>2</v>
      </c>
      <c r="H1143">
        <v>2</v>
      </c>
      <c r="I1143">
        <v>0</v>
      </c>
      <c r="J1143">
        <v>0</v>
      </c>
      <c r="K1143">
        <v>0</v>
      </c>
      <c r="L1143" s="6">
        <f t="shared" si="120"/>
        <v>1</v>
      </c>
      <c r="M1143">
        <v>113</v>
      </c>
      <c r="N1143">
        <v>13</v>
      </c>
      <c r="O1143" s="9">
        <v>0</v>
      </c>
      <c r="P1143">
        <v>0</v>
      </c>
      <c r="Q1143">
        <v>78</v>
      </c>
      <c r="R1143">
        <v>0</v>
      </c>
      <c r="S1143">
        <v>21</v>
      </c>
      <c r="T1143">
        <v>1</v>
      </c>
      <c r="U1143" s="3">
        <v>1</v>
      </c>
      <c r="V1143" s="3">
        <v>1</v>
      </c>
    </row>
    <row r="1144" spans="1:22" x14ac:dyDescent="0.25">
      <c r="A1144" s="2">
        <v>2017</v>
      </c>
      <c r="B1144" t="s">
        <v>47</v>
      </c>
      <c r="C1144" t="s">
        <v>20</v>
      </c>
      <c r="D1144" s="2">
        <v>576</v>
      </c>
      <c r="E1144" s="2">
        <v>122114</v>
      </c>
      <c r="F1144" t="s">
        <v>342</v>
      </c>
      <c r="G1144">
        <v>4</v>
      </c>
      <c r="H1144">
        <v>4</v>
      </c>
      <c r="I1144">
        <v>0</v>
      </c>
      <c r="J1144">
        <v>0</v>
      </c>
      <c r="K1144">
        <v>0</v>
      </c>
      <c r="L1144" s="6">
        <f t="shared" si="120"/>
        <v>1</v>
      </c>
      <c r="M1144">
        <v>142</v>
      </c>
      <c r="N1144">
        <v>27</v>
      </c>
      <c r="O1144" s="9">
        <v>0</v>
      </c>
      <c r="P1144">
        <v>0</v>
      </c>
      <c r="Q1144">
        <v>76</v>
      </c>
      <c r="R1144">
        <v>0</v>
      </c>
      <c r="S1144">
        <v>39</v>
      </c>
      <c r="T1144">
        <v>0</v>
      </c>
      <c r="U1144" s="3">
        <v>1</v>
      </c>
      <c r="V1144" s="3">
        <v>1</v>
      </c>
    </row>
    <row r="1145" spans="1:22" x14ac:dyDescent="0.25">
      <c r="A1145" s="2">
        <v>2017</v>
      </c>
      <c r="B1145" t="s">
        <v>47</v>
      </c>
      <c r="C1145" t="s">
        <v>20</v>
      </c>
      <c r="D1145" s="2">
        <v>525</v>
      </c>
      <c r="E1145" s="2">
        <v>10340</v>
      </c>
      <c r="F1145" t="s">
        <v>343</v>
      </c>
      <c r="G1145">
        <v>40</v>
      </c>
      <c r="H1145">
        <v>40</v>
      </c>
      <c r="I1145">
        <v>0</v>
      </c>
      <c r="J1145">
        <v>0</v>
      </c>
      <c r="K1145">
        <v>0</v>
      </c>
      <c r="L1145" s="6">
        <f t="shared" si="120"/>
        <v>1</v>
      </c>
      <c r="M1145">
        <v>318</v>
      </c>
      <c r="N1145">
        <v>29</v>
      </c>
      <c r="O1145" s="9">
        <v>0</v>
      </c>
      <c r="P1145">
        <v>2</v>
      </c>
      <c r="Q1145">
        <v>131</v>
      </c>
      <c r="R1145">
        <v>4</v>
      </c>
      <c r="S1145">
        <v>152</v>
      </c>
      <c r="T1145">
        <v>0</v>
      </c>
      <c r="U1145" s="3">
        <v>0.98113207547169812</v>
      </c>
      <c r="V1145" s="3">
        <v>0.98324022346368711</v>
      </c>
    </row>
    <row r="1146" spans="1:22" x14ac:dyDescent="0.25">
      <c r="A1146" s="2">
        <v>2017</v>
      </c>
      <c r="B1146" t="s">
        <v>47</v>
      </c>
      <c r="C1146" t="s">
        <v>20</v>
      </c>
      <c r="D1146" s="2">
        <v>588</v>
      </c>
      <c r="E1146" s="2">
        <v>122737</v>
      </c>
      <c r="F1146" t="s">
        <v>352</v>
      </c>
      <c r="G1146">
        <v>0</v>
      </c>
      <c r="H1146">
        <v>0</v>
      </c>
      <c r="I1146">
        <v>0</v>
      </c>
      <c r="J1146">
        <v>0</v>
      </c>
      <c r="K1146">
        <v>0</v>
      </c>
      <c r="L1146" s="6">
        <f t="shared" si="120"/>
        <v>0</v>
      </c>
      <c r="M1146">
        <v>83</v>
      </c>
      <c r="N1146">
        <v>10</v>
      </c>
      <c r="O1146" s="9">
        <v>0</v>
      </c>
      <c r="P1146">
        <v>0</v>
      </c>
      <c r="Q1146">
        <v>57</v>
      </c>
      <c r="R1146">
        <v>0</v>
      </c>
      <c r="S1146">
        <v>16</v>
      </c>
      <c r="T1146">
        <v>0</v>
      </c>
      <c r="U1146" s="3">
        <v>1</v>
      </c>
      <c r="V1146" s="3">
        <v>1</v>
      </c>
    </row>
    <row r="1147" spans="1:22" x14ac:dyDescent="0.25">
      <c r="A1147" s="2">
        <v>2017</v>
      </c>
      <c r="B1147" t="s">
        <v>47</v>
      </c>
      <c r="C1147" t="s">
        <v>20</v>
      </c>
      <c r="D1147" s="2">
        <v>550</v>
      </c>
      <c r="E1147" s="2">
        <v>119292</v>
      </c>
      <c r="F1147" t="s">
        <v>344</v>
      </c>
      <c r="G1147">
        <v>7</v>
      </c>
      <c r="H1147">
        <v>7</v>
      </c>
      <c r="I1147">
        <v>0</v>
      </c>
      <c r="J1147">
        <v>0</v>
      </c>
      <c r="K1147">
        <v>0</v>
      </c>
      <c r="L1147" s="6">
        <f t="shared" si="120"/>
        <v>1</v>
      </c>
      <c r="M1147">
        <v>91</v>
      </c>
      <c r="N1147">
        <v>6</v>
      </c>
      <c r="O1147" s="9">
        <v>0</v>
      </c>
      <c r="P1147">
        <v>0</v>
      </c>
      <c r="Q1147">
        <v>34</v>
      </c>
      <c r="R1147">
        <v>2</v>
      </c>
      <c r="S1147">
        <v>48</v>
      </c>
      <c r="T1147">
        <v>1</v>
      </c>
      <c r="U1147" s="3">
        <v>0.97802197802197799</v>
      </c>
      <c r="V1147" s="3">
        <v>0.97959183673469385</v>
      </c>
    </row>
    <row r="1148" spans="1:22" x14ac:dyDescent="0.25">
      <c r="A1148" s="2">
        <v>2017</v>
      </c>
      <c r="B1148" t="s">
        <v>47</v>
      </c>
      <c r="C1148" t="s">
        <v>20</v>
      </c>
      <c r="D1148" s="2">
        <v>546</v>
      </c>
      <c r="E1148" s="2">
        <v>119467</v>
      </c>
      <c r="F1148" t="s">
        <v>345</v>
      </c>
      <c r="G1148">
        <v>11</v>
      </c>
      <c r="H1148">
        <v>11</v>
      </c>
      <c r="I1148">
        <v>0</v>
      </c>
      <c r="J1148">
        <v>0</v>
      </c>
      <c r="K1148">
        <v>0</v>
      </c>
      <c r="L1148" s="6">
        <f t="shared" si="120"/>
        <v>1</v>
      </c>
      <c r="M1148">
        <v>255</v>
      </c>
      <c r="N1148">
        <v>23</v>
      </c>
      <c r="O1148" s="9">
        <v>0</v>
      </c>
      <c r="P1148">
        <v>0</v>
      </c>
      <c r="Q1148">
        <v>128</v>
      </c>
      <c r="R1148">
        <v>1</v>
      </c>
      <c r="S1148">
        <v>103</v>
      </c>
      <c r="T1148">
        <v>0</v>
      </c>
      <c r="U1148" s="3">
        <v>0.99607843137254903</v>
      </c>
      <c r="V1148" s="3">
        <v>0.99624060150375937</v>
      </c>
    </row>
    <row r="1149" spans="1:22" x14ac:dyDescent="0.25">
      <c r="A1149" s="2">
        <v>2017</v>
      </c>
      <c r="B1149" t="s">
        <v>47</v>
      </c>
      <c r="C1149" t="s">
        <v>20</v>
      </c>
      <c r="D1149" s="2">
        <v>520</v>
      </c>
      <c r="E1149" s="2">
        <v>8687</v>
      </c>
      <c r="F1149" t="s">
        <v>346</v>
      </c>
      <c r="G1149">
        <v>6</v>
      </c>
      <c r="H1149">
        <v>6</v>
      </c>
      <c r="I1149">
        <v>0</v>
      </c>
      <c r="J1149">
        <v>0</v>
      </c>
      <c r="K1149">
        <v>0</v>
      </c>
      <c r="L1149" s="6">
        <f t="shared" si="120"/>
        <v>1</v>
      </c>
      <c r="M1149">
        <v>204</v>
      </c>
      <c r="N1149">
        <v>25</v>
      </c>
      <c r="O1149" s="9">
        <v>0</v>
      </c>
      <c r="P1149">
        <v>1</v>
      </c>
      <c r="Q1149">
        <v>126</v>
      </c>
      <c r="R1149">
        <v>0</v>
      </c>
      <c r="S1149">
        <v>52</v>
      </c>
      <c r="T1149">
        <v>0</v>
      </c>
      <c r="U1149" s="3">
        <v>0.99509803921568629</v>
      </c>
      <c r="V1149" s="3">
        <v>0.99523809523809526</v>
      </c>
    </row>
    <row r="1150" spans="1:22" x14ac:dyDescent="0.25">
      <c r="A1150" s="2">
        <v>2017</v>
      </c>
      <c r="B1150" t="s">
        <v>47</v>
      </c>
      <c r="C1150" t="s">
        <v>23</v>
      </c>
      <c r="D1150" s="2">
        <v>489</v>
      </c>
      <c r="E1150" s="2">
        <v>7740</v>
      </c>
      <c r="F1150" t="s">
        <v>40</v>
      </c>
      <c r="G1150">
        <v>20</v>
      </c>
      <c r="H1150">
        <v>20</v>
      </c>
      <c r="I1150">
        <v>0</v>
      </c>
      <c r="J1150">
        <v>0</v>
      </c>
      <c r="K1150">
        <v>0</v>
      </c>
      <c r="L1150" s="6">
        <f t="shared" si="120"/>
        <v>1</v>
      </c>
      <c r="M1150">
        <v>254</v>
      </c>
      <c r="N1150">
        <v>53</v>
      </c>
      <c r="O1150" s="9">
        <v>0</v>
      </c>
      <c r="P1150">
        <v>0</v>
      </c>
      <c r="Q1150">
        <v>87</v>
      </c>
      <c r="R1150">
        <v>0</v>
      </c>
      <c r="S1150">
        <v>114</v>
      </c>
      <c r="T1150">
        <v>0</v>
      </c>
      <c r="U1150" s="3">
        <v>1</v>
      </c>
      <c r="V1150" s="3">
        <v>1</v>
      </c>
    </row>
    <row r="1151" spans="1:22" x14ac:dyDescent="0.25">
      <c r="A1151" s="2">
        <v>2017</v>
      </c>
      <c r="B1151" t="s">
        <v>47</v>
      </c>
      <c r="C1151" t="s">
        <v>23</v>
      </c>
      <c r="D1151" s="2">
        <v>492</v>
      </c>
      <c r="E1151" s="2">
        <v>7744</v>
      </c>
      <c r="F1151" t="s">
        <v>374</v>
      </c>
      <c r="G1151">
        <v>15</v>
      </c>
      <c r="H1151">
        <v>15</v>
      </c>
      <c r="I1151">
        <v>0</v>
      </c>
      <c r="J1151">
        <v>0</v>
      </c>
      <c r="K1151">
        <v>0</v>
      </c>
      <c r="L1151" s="6">
        <f t="shared" si="120"/>
        <v>1</v>
      </c>
      <c r="M1151">
        <v>272</v>
      </c>
      <c r="N1151">
        <v>48</v>
      </c>
      <c r="O1151" s="9">
        <v>0</v>
      </c>
      <c r="P1151">
        <v>0</v>
      </c>
      <c r="Q1151">
        <v>123</v>
      </c>
      <c r="R1151">
        <v>0</v>
      </c>
      <c r="S1151">
        <v>98</v>
      </c>
      <c r="T1151">
        <v>3</v>
      </c>
      <c r="U1151" s="3">
        <v>1</v>
      </c>
      <c r="V1151" s="3">
        <v>1</v>
      </c>
    </row>
    <row r="1152" spans="1:22" x14ac:dyDescent="0.25">
      <c r="A1152" s="2">
        <v>2017</v>
      </c>
      <c r="B1152" t="s">
        <v>47</v>
      </c>
      <c r="C1152" t="s">
        <v>23</v>
      </c>
      <c r="D1152" s="2">
        <v>555</v>
      </c>
      <c r="E1152" s="2">
        <v>119114</v>
      </c>
      <c r="F1152" t="s">
        <v>375</v>
      </c>
      <c r="G1152">
        <v>17</v>
      </c>
      <c r="H1152">
        <v>17</v>
      </c>
      <c r="I1152">
        <v>0</v>
      </c>
      <c r="J1152">
        <v>0</v>
      </c>
      <c r="K1152">
        <v>0</v>
      </c>
      <c r="L1152" s="6">
        <f t="shared" si="120"/>
        <v>1</v>
      </c>
      <c r="M1152">
        <v>234</v>
      </c>
      <c r="N1152">
        <v>44</v>
      </c>
      <c r="O1152" s="9">
        <v>0</v>
      </c>
      <c r="P1152">
        <v>2</v>
      </c>
      <c r="Q1152">
        <v>110</v>
      </c>
      <c r="R1152">
        <v>1</v>
      </c>
      <c r="S1152">
        <v>76</v>
      </c>
      <c r="T1152">
        <v>1</v>
      </c>
      <c r="U1152" s="3">
        <v>0.98717948717948723</v>
      </c>
      <c r="V1152" s="3">
        <v>0.98804780876494025</v>
      </c>
    </row>
    <row r="1153" spans="1:22" x14ac:dyDescent="0.25">
      <c r="A1153" s="2">
        <v>2017</v>
      </c>
      <c r="B1153" t="s">
        <v>47</v>
      </c>
      <c r="C1153" t="s">
        <v>23</v>
      </c>
      <c r="D1153" s="2">
        <v>493</v>
      </c>
      <c r="E1153" s="2">
        <v>7742</v>
      </c>
      <c r="F1153" t="s">
        <v>376</v>
      </c>
      <c r="G1153">
        <v>9</v>
      </c>
      <c r="H1153">
        <v>9</v>
      </c>
      <c r="I1153">
        <v>0</v>
      </c>
      <c r="J1153">
        <v>0</v>
      </c>
      <c r="K1153">
        <v>0</v>
      </c>
      <c r="L1153" s="6">
        <f t="shared" si="120"/>
        <v>1</v>
      </c>
      <c r="M1153">
        <v>163</v>
      </c>
      <c r="N1153">
        <v>32</v>
      </c>
      <c r="O1153" s="9">
        <v>0</v>
      </c>
      <c r="P1153">
        <v>0</v>
      </c>
      <c r="Q1153">
        <v>57</v>
      </c>
      <c r="R1153">
        <v>1</v>
      </c>
      <c r="S1153">
        <v>73</v>
      </c>
      <c r="T1153">
        <v>0</v>
      </c>
      <c r="U1153" s="3">
        <v>0.99386503067484666</v>
      </c>
      <c r="V1153" s="3">
        <v>0.9941860465116279</v>
      </c>
    </row>
    <row r="1154" spans="1:22" x14ac:dyDescent="0.25">
      <c r="A1154" s="2">
        <v>2017</v>
      </c>
      <c r="B1154" t="s">
        <v>47</v>
      </c>
      <c r="C1154" t="s">
        <v>23</v>
      </c>
      <c r="D1154" s="2">
        <v>593</v>
      </c>
      <c r="E1154" s="2">
        <v>122796</v>
      </c>
      <c r="F1154" t="s">
        <v>379</v>
      </c>
      <c r="G1154">
        <v>13</v>
      </c>
      <c r="H1154">
        <v>13</v>
      </c>
      <c r="I1154">
        <v>0</v>
      </c>
      <c r="J1154">
        <v>0</v>
      </c>
      <c r="K1154">
        <v>0</v>
      </c>
      <c r="L1154" s="6">
        <f t="shared" si="120"/>
        <v>1</v>
      </c>
      <c r="M1154">
        <v>280</v>
      </c>
      <c r="N1154">
        <v>49</v>
      </c>
      <c r="O1154" s="9">
        <v>0</v>
      </c>
      <c r="P1154">
        <v>0</v>
      </c>
      <c r="Q1154">
        <v>131</v>
      </c>
      <c r="R1154">
        <v>0</v>
      </c>
      <c r="S1154">
        <v>100</v>
      </c>
      <c r="T1154">
        <v>0</v>
      </c>
      <c r="U1154" s="3">
        <v>1</v>
      </c>
      <c r="V1154" s="3">
        <v>1</v>
      </c>
    </row>
    <row r="1155" spans="1:22" x14ac:dyDescent="0.25">
      <c r="A1155" s="2">
        <v>2017</v>
      </c>
      <c r="B1155" t="s">
        <v>47</v>
      </c>
      <c r="C1155" t="s">
        <v>23</v>
      </c>
      <c r="D1155" s="2">
        <v>592</v>
      </c>
      <c r="E1155" s="2">
        <v>122956</v>
      </c>
      <c r="F1155" t="s">
        <v>381</v>
      </c>
      <c r="G1155">
        <v>5</v>
      </c>
      <c r="H1155">
        <v>5</v>
      </c>
      <c r="I1155">
        <v>0</v>
      </c>
      <c r="J1155">
        <v>0</v>
      </c>
      <c r="K1155">
        <v>0</v>
      </c>
      <c r="L1155" s="6">
        <f t="shared" si="120"/>
        <v>1</v>
      </c>
      <c r="M1155">
        <v>174</v>
      </c>
      <c r="N1155">
        <v>43</v>
      </c>
      <c r="O1155" s="9">
        <v>0</v>
      </c>
      <c r="P1155">
        <v>0</v>
      </c>
      <c r="Q1155">
        <v>72</v>
      </c>
      <c r="R1155">
        <v>2</v>
      </c>
      <c r="S1155">
        <v>57</v>
      </c>
      <c r="T1155">
        <v>0</v>
      </c>
      <c r="U1155" s="3">
        <v>0.9885057471264368</v>
      </c>
      <c r="V1155" s="3">
        <v>0.98882681564245811</v>
      </c>
    </row>
    <row r="1156" spans="1:22" x14ac:dyDescent="0.25">
      <c r="A1156" s="2">
        <v>2017</v>
      </c>
      <c r="B1156" t="s">
        <v>47</v>
      </c>
      <c r="C1156" t="s">
        <v>23</v>
      </c>
      <c r="D1156" s="2">
        <v>494</v>
      </c>
      <c r="E1156" s="2">
        <v>7743</v>
      </c>
      <c r="F1156" t="s">
        <v>383</v>
      </c>
      <c r="G1156">
        <v>31</v>
      </c>
      <c r="H1156">
        <v>31</v>
      </c>
      <c r="I1156">
        <v>0</v>
      </c>
      <c r="J1156">
        <v>0</v>
      </c>
      <c r="K1156">
        <v>0</v>
      </c>
      <c r="L1156" s="6">
        <f t="shared" si="120"/>
        <v>1</v>
      </c>
      <c r="M1156">
        <v>312</v>
      </c>
      <c r="N1156">
        <v>65</v>
      </c>
      <c r="O1156" s="9">
        <v>0</v>
      </c>
      <c r="P1156">
        <v>2</v>
      </c>
      <c r="Q1156">
        <v>98</v>
      </c>
      <c r="R1156">
        <v>6</v>
      </c>
      <c r="S1156">
        <v>141</v>
      </c>
      <c r="T1156">
        <v>0</v>
      </c>
      <c r="U1156" s="3">
        <v>0.97435897435897434</v>
      </c>
      <c r="V1156" s="3">
        <v>0.97667638483965014</v>
      </c>
    </row>
    <row r="1157" spans="1:22" x14ac:dyDescent="0.25">
      <c r="A1157" s="2">
        <v>2017</v>
      </c>
      <c r="B1157" t="s">
        <v>47</v>
      </c>
      <c r="C1157" t="s">
        <v>23</v>
      </c>
      <c r="D1157" s="2">
        <v>279</v>
      </c>
      <c r="E1157" s="2">
        <v>10480</v>
      </c>
      <c r="F1157" t="s">
        <v>384</v>
      </c>
      <c r="G1157">
        <v>0</v>
      </c>
      <c r="H1157">
        <v>0</v>
      </c>
      <c r="I1157">
        <v>0</v>
      </c>
      <c r="J1157">
        <v>0</v>
      </c>
      <c r="K1157">
        <v>0</v>
      </c>
      <c r="L1157" s="6">
        <f t="shared" si="120"/>
        <v>0</v>
      </c>
      <c r="M1157">
        <v>1</v>
      </c>
      <c r="N1157">
        <v>1</v>
      </c>
      <c r="O1157" s="9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s="3">
        <v>1</v>
      </c>
      <c r="V1157" s="3">
        <v>1</v>
      </c>
    </row>
    <row r="1158" spans="1:22" x14ac:dyDescent="0.25">
      <c r="A1158" s="2">
        <v>2017</v>
      </c>
      <c r="B1158" t="s">
        <v>47</v>
      </c>
      <c r="C1158" t="s">
        <v>23</v>
      </c>
      <c r="D1158" s="2">
        <v>534</v>
      </c>
      <c r="E1158" s="2">
        <v>10480</v>
      </c>
      <c r="F1158" t="s">
        <v>384</v>
      </c>
      <c r="G1158">
        <v>0</v>
      </c>
      <c r="H1158">
        <v>0</v>
      </c>
      <c r="I1158">
        <v>0</v>
      </c>
      <c r="J1158">
        <v>0</v>
      </c>
      <c r="K1158">
        <v>0</v>
      </c>
      <c r="L1158" s="6">
        <f t="shared" si="120"/>
        <v>0</v>
      </c>
      <c r="M1158">
        <v>1</v>
      </c>
      <c r="N1158">
        <v>0</v>
      </c>
      <c r="O1158" s="9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 s="3">
        <v>1</v>
      </c>
      <c r="V1158" s="3">
        <v>1</v>
      </c>
    </row>
    <row r="1159" spans="1:22" x14ac:dyDescent="0.25">
      <c r="A1159" s="2">
        <v>2017</v>
      </c>
      <c r="B1159" t="s">
        <v>47</v>
      </c>
      <c r="C1159" t="s">
        <v>23</v>
      </c>
      <c r="D1159" s="2">
        <v>496</v>
      </c>
      <c r="E1159" s="2">
        <v>7741</v>
      </c>
      <c r="F1159" t="s">
        <v>387</v>
      </c>
      <c r="G1159">
        <v>21</v>
      </c>
      <c r="H1159">
        <v>20</v>
      </c>
      <c r="I1159">
        <v>1</v>
      </c>
      <c r="J1159">
        <v>0</v>
      </c>
      <c r="K1159">
        <v>0</v>
      </c>
      <c r="L1159" s="6">
        <f t="shared" si="120"/>
        <v>1</v>
      </c>
      <c r="M1159">
        <v>265</v>
      </c>
      <c r="N1159">
        <v>41</v>
      </c>
      <c r="O1159" s="9">
        <v>0</v>
      </c>
      <c r="P1159">
        <v>0</v>
      </c>
      <c r="Q1159">
        <v>101</v>
      </c>
      <c r="R1159">
        <v>0</v>
      </c>
      <c r="S1159">
        <v>123</v>
      </c>
      <c r="T1159">
        <v>0</v>
      </c>
      <c r="U1159" s="3">
        <v>1</v>
      </c>
      <c r="V1159" s="3">
        <v>1</v>
      </c>
    </row>
    <row r="1160" spans="1:22" x14ac:dyDescent="0.25">
      <c r="A1160" s="2">
        <v>2017</v>
      </c>
      <c r="B1160" t="s">
        <v>47</v>
      </c>
      <c r="C1160" t="s">
        <v>23</v>
      </c>
      <c r="D1160" s="2">
        <v>444</v>
      </c>
      <c r="E1160" s="2">
        <v>7314</v>
      </c>
      <c r="F1160" t="s">
        <v>388</v>
      </c>
      <c r="G1160">
        <v>16</v>
      </c>
      <c r="H1160">
        <v>16</v>
      </c>
      <c r="I1160">
        <v>0</v>
      </c>
      <c r="J1160">
        <v>0</v>
      </c>
      <c r="K1160">
        <v>0</v>
      </c>
      <c r="L1160" s="6">
        <f t="shared" si="120"/>
        <v>1</v>
      </c>
      <c r="M1160">
        <v>158</v>
      </c>
      <c r="N1160">
        <v>28</v>
      </c>
      <c r="O1160" s="9">
        <v>0</v>
      </c>
      <c r="P1160">
        <v>0</v>
      </c>
      <c r="Q1160">
        <v>45</v>
      </c>
      <c r="R1160">
        <v>0</v>
      </c>
      <c r="S1160">
        <v>85</v>
      </c>
      <c r="T1160">
        <v>0</v>
      </c>
      <c r="U1160" s="3">
        <v>1</v>
      </c>
      <c r="V1160" s="3">
        <v>1</v>
      </c>
    </row>
    <row r="1161" spans="1:22" x14ac:dyDescent="0.25">
      <c r="A1161" s="2">
        <v>2017</v>
      </c>
      <c r="B1161" t="s">
        <v>47</v>
      </c>
      <c r="C1161" t="s">
        <v>23</v>
      </c>
      <c r="D1161" s="2">
        <v>505</v>
      </c>
      <c r="E1161" s="2">
        <v>8344</v>
      </c>
      <c r="F1161" t="s">
        <v>389</v>
      </c>
      <c r="G1161">
        <v>14</v>
      </c>
      <c r="H1161">
        <v>14</v>
      </c>
      <c r="I1161">
        <v>0</v>
      </c>
      <c r="J1161">
        <v>0</v>
      </c>
      <c r="K1161">
        <v>0</v>
      </c>
      <c r="L1161" s="6">
        <f t="shared" si="120"/>
        <v>1</v>
      </c>
      <c r="M1161">
        <v>316</v>
      </c>
      <c r="N1161">
        <v>44</v>
      </c>
      <c r="O1161" s="9">
        <v>0</v>
      </c>
      <c r="P1161">
        <v>0</v>
      </c>
      <c r="Q1161">
        <v>143</v>
      </c>
      <c r="R1161">
        <v>1</v>
      </c>
      <c r="S1161">
        <v>128</v>
      </c>
      <c r="T1161">
        <v>0</v>
      </c>
      <c r="U1161" s="3">
        <v>0.99683544303797467</v>
      </c>
      <c r="V1161" s="3">
        <v>0.99696969696969695</v>
      </c>
    </row>
    <row r="1162" spans="1:22" x14ac:dyDescent="0.25">
      <c r="A1162" s="2">
        <v>2017</v>
      </c>
      <c r="B1162" t="s">
        <v>47</v>
      </c>
      <c r="C1162" t="s">
        <v>21</v>
      </c>
      <c r="D1162" s="2">
        <v>528</v>
      </c>
      <c r="E1162" s="2">
        <v>10623</v>
      </c>
      <c r="F1162" t="s">
        <v>42</v>
      </c>
      <c r="G1162">
        <v>0</v>
      </c>
      <c r="H1162">
        <v>0</v>
      </c>
      <c r="I1162">
        <v>0</v>
      </c>
      <c r="J1162">
        <v>0</v>
      </c>
      <c r="K1162">
        <v>0</v>
      </c>
      <c r="L1162" s="6">
        <f t="shared" si="120"/>
        <v>0</v>
      </c>
      <c r="M1162">
        <v>134</v>
      </c>
      <c r="N1162">
        <v>18</v>
      </c>
      <c r="O1162" s="9">
        <v>0</v>
      </c>
      <c r="P1162">
        <v>0</v>
      </c>
      <c r="Q1162">
        <v>81</v>
      </c>
      <c r="R1162">
        <v>0</v>
      </c>
      <c r="S1162">
        <v>35</v>
      </c>
      <c r="T1162">
        <v>0</v>
      </c>
      <c r="U1162" s="3">
        <v>1</v>
      </c>
      <c r="V1162" s="3">
        <v>1</v>
      </c>
    </row>
    <row r="1163" spans="1:22" x14ac:dyDescent="0.25">
      <c r="A1163" s="2">
        <v>2017</v>
      </c>
      <c r="B1163" t="s">
        <v>47</v>
      </c>
      <c r="C1163" t="s">
        <v>21</v>
      </c>
      <c r="D1163" s="2">
        <v>578</v>
      </c>
      <c r="E1163" s="2">
        <v>122349</v>
      </c>
      <c r="F1163" t="s">
        <v>43</v>
      </c>
      <c r="G1163">
        <v>3</v>
      </c>
      <c r="H1163">
        <v>3</v>
      </c>
      <c r="I1163">
        <v>0</v>
      </c>
      <c r="J1163">
        <v>0</v>
      </c>
      <c r="K1163">
        <v>0</v>
      </c>
      <c r="L1163" s="6">
        <f t="shared" si="120"/>
        <v>1</v>
      </c>
      <c r="M1163">
        <v>42</v>
      </c>
      <c r="N1163">
        <v>6</v>
      </c>
      <c r="O1163" s="9">
        <v>0</v>
      </c>
      <c r="P1163">
        <v>0</v>
      </c>
      <c r="Q1163">
        <v>17</v>
      </c>
      <c r="R1163">
        <v>0</v>
      </c>
      <c r="S1163">
        <v>19</v>
      </c>
      <c r="T1163">
        <v>0</v>
      </c>
      <c r="U1163" s="3">
        <v>1</v>
      </c>
      <c r="V1163" s="3">
        <v>1</v>
      </c>
    </row>
    <row r="1164" spans="1:22" x14ac:dyDescent="0.25">
      <c r="A1164" s="2">
        <v>2017</v>
      </c>
      <c r="B1164" t="s">
        <v>47</v>
      </c>
      <c r="C1164" t="s">
        <v>21</v>
      </c>
      <c r="D1164" s="2">
        <v>589</v>
      </c>
      <c r="E1164" s="2">
        <v>124030</v>
      </c>
      <c r="F1164" t="s">
        <v>441</v>
      </c>
      <c r="G1164">
        <v>1</v>
      </c>
      <c r="H1164">
        <v>1</v>
      </c>
      <c r="I1164">
        <v>0</v>
      </c>
      <c r="J1164">
        <v>0</v>
      </c>
      <c r="K1164">
        <v>0</v>
      </c>
      <c r="L1164" s="6">
        <f t="shared" si="120"/>
        <v>1</v>
      </c>
      <c r="M1164">
        <v>88</v>
      </c>
      <c r="N1164">
        <v>13</v>
      </c>
      <c r="O1164" s="9">
        <v>0</v>
      </c>
      <c r="P1164">
        <v>0</v>
      </c>
      <c r="Q1164">
        <v>51</v>
      </c>
      <c r="R1164">
        <v>0</v>
      </c>
      <c r="S1164">
        <v>24</v>
      </c>
      <c r="T1164">
        <v>0</v>
      </c>
      <c r="U1164" s="3">
        <v>1</v>
      </c>
      <c r="V1164" s="3">
        <v>1</v>
      </c>
    </row>
    <row r="1165" spans="1:22" x14ac:dyDescent="0.25">
      <c r="A1165" s="2">
        <v>2017</v>
      </c>
      <c r="B1165" t="s">
        <v>47</v>
      </c>
      <c r="C1165" t="s">
        <v>21</v>
      </c>
      <c r="D1165" s="2">
        <v>605</v>
      </c>
      <c r="E1165" s="2">
        <v>7198</v>
      </c>
      <c r="F1165" t="s">
        <v>440</v>
      </c>
      <c r="G1165">
        <v>1</v>
      </c>
      <c r="H1165">
        <v>1</v>
      </c>
      <c r="I1165">
        <v>0</v>
      </c>
      <c r="J1165">
        <v>0</v>
      </c>
      <c r="K1165">
        <v>0</v>
      </c>
      <c r="L1165" s="6">
        <f t="shared" si="120"/>
        <v>1</v>
      </c>
      <c r="M1165">
        <v>21</v>
      </c>
      <c r="N1165">
        <v>3</v>
      </c>
      <c r="O1165" s="9">
        <v>0</v>
      </c>
      <c r="P1165">
        <v>0</v>
      </c>
      <c r="Q1165">
        <v>10</v>
      </c>
      <c r="R1165">
        <v>0</v>
      </c>
      <c r="S1165">
        <v>8</v>
      </c>
      <c r="T1165">
        <v>0</v>
      </c>
      <c r="U1165" s="3">
        <v>1</v>
      </c>
      <c r="V1165" s="3">
        <v>1</v>
      </c>
    </row>
    <row r="1166" spans="1:22" x14ac:dyDescent="0.25">
      <c r="A1166" s="2">
        <v>2017</v>
      </c>
      <c r="B1166" t="s">
        <v>47</v>
      </c>
      <c r="C1166" t="s">
        <v>21</v>
      </c>
      <c r="D1166" s="2">
        <v>586</v>
      </c>
      <c r="E1166" s="2">
        <v>122754</v>
      </c>
      <c r="F1166" t="s">
        <v>335</v>
      </c>
      <c r="G1166">
        <v>0</v>
      </c>
      <c r="H1166">
        <v>0</v>
      </c>
      <c r="I1166">
        <v>0</v>
      </c>
      <c r="J1166">
        <v>0</v>
      </c>
      <c r="K1166">
        <v>0</v>
      </c>
      <c r="L1166" s="6">
        <f t="shared" si="120"/>
        <v>0</v>
      </c>
      <c r="M1166">
        <v>1</v>
      </c>
      <c r="N1166">
        <v>0</v>
      </c>
      <c r="O1166" s="9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 s="3">
        <v>1</v>
      </c>
      <c r="V1166" s="3">
        <v>1</v>
      </c>
    </row>
    <row r="1167" spans="1:22" x14ac:dyDescent="0.25">
      <c r="A1167" s="2">
        <v>2017</v>
      </c>
      <c r="B1167" t="s">
        <v>47</v>
      </c>
      <c r="C1167" t="s">
        <v>21</v>
      </c>
      <c r="D1167" s="2">
        <v>403</v>
      </c>
      <c r="E1167" s="2">
        <v>6783</v>
      </c>
      <c r="F1167" t="s">
        <v>348</v>
      </c>
      <c r="G1167">
        <v>11</v>
      </c>
      <c r="H1167">
        <v>11</v>
      </c>
      <c r="I1167">
        <v>0</v>
      </c>
      <c r="J1167">
        <v>0</v>
      </c>
      <c r="K1167">
        <v>0</v>
      </c>
      <c r="L1167" s="6">
        <f t="shared" si="120"/>
        <v>1</v>
      </c>
      <c r="M1167">
        <v>403</v>
      </c>
      <c r="N1167">
        <v>44</v>
      </c>
      <c r="O1167" s="9">
        <v>0</v>
      </c>
      <c r="P1167">
        <v>1</v>
      </c>
      <c r="Q1167">
        <v>238</v>
      </c>
      <c r="R1167">
        <v>1</v>
      </c>
      <c r="S1167">
        <v>119</v>
      </c>
      <c r="T1167">
        <v>0</v>
      </c>
      <c r="U1167" s="3">
        <v>0.99503722084367241</v>
      </c>
      <c r="V1167" s="3">
        <v>0.99516908212560384</v>
      </c>
    </row>
    <row r="1168" spans="1:22" x14ac:dyDescent="0.25">
      <c r="A1168" s="2">
        <v>2017</v>
      </c>
      <c r="B1168" t="s">
        <v>47</v>
      </c>
      <c r="C1168" t="s">
        <v>21</v>
      </c>
      <c r="D1168" s="2">
        <v>530</v>
      </c>
      <c r="E1168" s="2">
        <v>10559</v>
      </c>
      <c r="F1168" t="s">
        <v>32</v>
      </c>
      <c r="G1168">
        <v>2</v>
      </c>
      <c r="H1168">
        <v>2</v>
      </c>
      <c r="I1168">
        <v>0</v>
      </c>
      <c r="J1168">
        <v>0</v>
      </c>
      <c r="K1168">
        <v>0</v>
      </c>
      <c r="L1168" s="6">
        <f t="shared" si="120"/>
        <v>1</v>
      </c>
      <c r="M1168">
        <v>55</v>
      </c>
      <c r="N1168">
        <v>5</v>
      </c>
      <c r="O1168" s="9">
        <v>0</v>
      </c>
      <c r="P1168">
        <v>0</v>
      </c>
      <c r="Q1168">
        <v>28</v>
      </c>
      <c r="R1168">
        <v>0</v>
      </c>
      <c r="S1168">
        <v>22</v>
      </c>
      <c r="T1168">
        <v>0</v>
      </c>
      <c r="U1168" s="3">
        <v>1</v>
      </c>
      <c r="V1168" s="3">
        <v>1</v>
      </c>
    </row>
    <row r="1169" spans="1:22" x14ac:dyDescent="0.25">
      <c r="A1169" s="2">
        <v>2017</v>
      </c>
      <c r="B1169" t="s">
        <v>47</v>
      </c>
      <c r="C1169" t="s">
        <v>21</v>
      </c>
      <c r="D1169" s="2">
        <v>527</v>
      </c>
      <c r="E1169" s="2">
        <v>9715</v>
      </c>
      <c r="F1169" t="s">
        <v>337</v>
      </c>
      <c r="G1169">
        <v>4</v>
      </c>
      <c r="H1169">
        <v>4</v>
      </c>
      <c r="I1169">
        <v>0</v>
      </c>
      <c r="J1169">
        <v>0</v>
      </c>
      <c r="K1169">
        <v>0</v>
      </c>
      <c r="L1169" s="6">
        <f t="shared" si="120"/>
        <v>1</v>
      </c>
      <c r="M1169">
        <v>33</v>
      </c>
      <c r="N1169">
        <v>3</v>
      </c>
      <c r="O1169" s="9">
        <v>0</v>
      </c>
      <c r="P1169">
        <v>0</v>
      </c>
      <c r="Q1169">
        <v>17</v>
      </c>
      <c r="R1169">
        <v>0</v>
      </c>
      <c r="S1169">
        <v>13</v>
      </c>
      <c r="T1169">
        <v>0</v>
      </c>
      <c r="U1169" s="3">
        <v>1</v>
      </c>
      <c r="V1169" s="3">
        <v>1</v>
      </c>
    </row>
    <row r="1170" spans="1:22" x14ac:dyDescent="0.25">
      <c r="A1170" s="2">
        <v>2017</v>
      </c>
      <c r="B1170" t="s">
        <v>47</v>
      </c>
      <c r="C1170" t="s">
        <v>21</v>
      </c>
      <c r="D1170" s="2">
        <v>548</v>
      </c>
      <c r="E1170" s="2">
        <v>10618</v>
      </c>
      <c r="F1170" t="s">
        <v>338</v>
      </c>
      <c r="G1170">
        <v>4</v>
      </c>
      <c r="H1170">
        <v>4</v>
      </c>
      <c r="I1170">
        <v>0</v>
      </c>
      <c r="J1170">
        <v>0</v>
      </c>
      <c r="K1170">
        <v>0</v>
      </c>
      <c r="L1170" s="6">
        <f t="shared" ref="L1170:L1233" si="121">IF(G1170=0,0,SUM(H1170:J1170)/G1170)</f>
        <v>1</v>
      </c>
      <c r="M1170">
        <v>34</v>
      </c>
      <c r="N1170">
        <v>8</v>
      </c>
      <c r="O1170" s="9">
        <v>0</v>
      </c>
      <c r="P1170">
        <v>0</v>
      </c>
      <c r="Q1170">
        <v>14</v>
      </c>
      <c r="R1170">
        <v>0</v>
      </c>
      <c r="S1170">
        <v>12</v>
      </c>
      <c r="T1170">
        <v>0</v>
      </c>
      <c r="U1170" s="3">
        <v>1</v>
      </c>
      <c r="V1170" s="3">
        <v>1</v>
      </c>
    </row>
    <row r="1171" spans="1:22" x14ac:dyDescent="0.25">
      <c r="A1171" s="2">
        <v>2017</v>
      </c>
      <c r="B1171" t="s">
        <v>47</v>
      </c>
      <c r="C1171" t="s">
        <v>21</v>
      </c>
      <c r="D1171" s="2">
        <v>404</v>
      </c>
      <c r="E1171" s="2">
        <v>6777</v>
      </c>
      <c r="F1171" t="s">
        <v>34</v>
      </c>
      <c r="G1171">
        <v>4</v>
      </c>
      <c r="H1171">
        <v>4</v>
      </c>
      <c r="I1171">
        <v>0</v>
      </c>
      <c r="J1171">
        <v>0</v>
      </c>
      <c r="K1171">
        <v>0</v>
      </c>
      <c r="L1171" s="6">
        <f t="shared" si="121"/>
        <v>1</v>
      </c>
      <c r="M1171">
        <v>113</v>
      </c>
      <c r="N1171">
        <v>13</v>
      </c>
      <c r="O1171" s="9">
        <v>0</v>
      </c>
      <c r="P1171">
        <v>0</v>
      </c>
      <c r="Q1171">
        <v>58</v>
      </c>
      <c r="R1171">
        <v>0</v>
      </c>
      <c r="S1171">
        <v>41</v>
      </c>
      <c r="T1171">
        <v>1</v>
      </c>
      <c r="U1171" s="3">
        <v>1</v>
      </c>
      <c r="V1171" s="3">
        <v>1</v>
      </c>
    </row>
    <row r="1172" spans="1:22" x14ac:dyDescent="0.25">
      <c r="A1172" s="2">
        <v>2017</v>
      </c>
      <c r="B1172" t="s">
        <v>47</v>
      </c>
      <c r="C1172" t="s">
        <v>21</v>
      </c>
      <c r="D1172" s="2">
        <v>595</v>
      </c>
      <c r="E1172" s="2">
        <v>123208</v>
      </c>
      <c r="F1172" t="s">
        <v>35</v>
      </c>
      <c r="G1172">
        <v>4</v>
      </c>
      <c r="H1172">
        <v>4</v>
      </c>
      <c r="I1172">
        <v>0</v>
      </c>
      <c r="J1172">
        <v>0</v>
      </c>
      <c r="K1172">
        <v>0</v>
      </c>
      <c r="L1172" s="6">
        <f t="shared" si="121"/>
        <v>1</v>
      </c>
      <c r="M1172">
        <v>314</v>
      </c>
      <c r="N1172">
        <v>46</v>
      </c>
      <c r="O1172" s="9">
        <v>0</v>
      </c>
      <c r="P1172">
        <v>0</v>
      </c>
      <c r="Q1172">
        <v>205</v>
      </c>
      <c r="R1172">
        <v>0</v>
      </c>
      <c r="S1172">
        <v>63</v>
      </c>
      <c r="T1172">
        <v>0</v>
      </c>
      <c r="U1172" s="3">
        <v>1</v>
      </c>
      <c r="V1172" s="3">
        <v>1</v>
      </c>
    </row>
    <row r="1173" spans="1:22" x14ac:dyDescent="0.25">
      <c r="A1173" s="2">
        <v>2017</v>
      </c>
      <c r="B1173" t="s">
        <v>47</v>
      </c>
      <c r="C1173" t="s">
        <v>21</v>
      </c>
      <c r="D1173" s="2">
        <v>455</v>
      </c>
      <c r="E1173" s="2">
        <v>7401</v>
      </c>
      <c r="F1173" t="s">
        <v>36</v>
      </c>
      <c r="G1173">
        <v>10</v>
      </c>
      <c r="H1173">
        <v>10</v>
      </c>
      <c r="I1173">
        <v>0</v>
      </c>
      <c r="J1173">
        <v>0</v>
      </c>
      <c r="K1173">
        <v>0</v>
      </c>
      <c r="L1173" s="6">
        <f t="shared" si="121"/>
        <v>1</v>
      </c>
      <c r="M1173">
        <v>114</v>
      </c>
      <c r="N1173">
        <v>15</v>
      </c>
      <c r="O1173" s="9">
        <v>0</v>
      </c>
      <c r="P1173">
        <v>0</v>
      </c>
      <c r="Q1173">
        <v>57</v>
      </c>
      <c r="R1173">
        <v>0</v>
      </c>
      <c r="S1173">
        <v>42</v>
      </c>
      <c r="T1173">
        <v>0</v>
      </c>
      <c r="U1173" s="3">
        <v>1</v>
      </c>
      <c r="V1173" s="3">
        <v>1</v>
      </c>
    </row>
    <row r="1174" spans="1:22" x14ac:dyDescent="0.25">
      <c r="A1174" s="2">
        <v>2017</v>
      </c>
      <c r="B1174" t="s">
        <v>47</v>
      </c>
      <c r="C1174" t="s">
        <v>21</v>
      </c>
      <c r="D1174" s="2">
        <v>842</v>
      </c>
      <c r="E1174" s="2">
        <v>5618</v>
      </c>
      <c r="F1174" t="s">
        <v>37</v>
      </c>
      <c r="G1174">
        <v>6</v>
      </c>
      <c r="H1174">
        <v>6</v>
      </c>
      <c r="I1174">
        <v>0</v>
      </c>
      <c r="J1174">
        <v>0</v>
      </c>
      <c r="K1174">
        <v>0</v>
      </c>
      <c r="L1174" s="6">
        <f t="shared" si="121"/>
        <v>1</v>
      </c>
      <c r="M1174">
        <v>79</v>
      </c>
      <c r="N1174">
        <v>6</v>
      </c>
      <c r="O1174" s="9">
        <v>0</v>
      </c>
      <c r="P1174">
        <v>0</v>
      </c>
      <c r="Q1174">
        <v>29</v>
      </c>
      <c r="R1174">
        <v>0</v>
      </c>
      <c r="S1174">
        <v>43</v>
      </c>
      <c r="T1174">
        <v>1</v>
      </c>
      <c r="U1174" s="3">
        <v>1</v>
      </c>
      <c r="V1174" s="3">
        <v>1</v>
      </c>
    </row>
    <row r="1175" spans="1:22" x14ac:dyDescent="0.25">
      <c r="A1175" s="2">
        <v>2017</v>
      </c>
      <c r="B1175" t="s">
        <v>47</v>
      </c>
      <c r="C1175" t="s">
        <v>21</v>
      </c>
      <c r="D1175" s="2">
        <v>554</v>
      </c>
      <c r="E1175" s="2">
        <v>119543</v>
      </c>
      <c r="F1175" t="s">
        <v>502</v>
      </c>
      <c r="G1175">
        <v>1</v>
      </c>
      <c r="H1175">
        <v>1</v>
      </c>
      <c r="I1175">
        <v>0</v>
      </c>
      <c r="J1175">
        <v>0</v>
      </c>
      <c r="K1175">
        <v>0</v>
      </c>
      <c r="L1175" s="6">
        <f t="shared" si="121"/>
        <v>1</v>
      </c>
      <c r="M1175">
        <v>49</v>
      </c>
      <c r="N1175">
        <v>13</v>
      </c>
      <c r="O1175" s="9">
        <v>0</v>
      </c>
      <c r="P1175">
        <v>0</v>
      </c>
      <c r="Q1175">
        <v>32</v>
      </c>
      <c r="R1175">
        <v>0</v>
      </c>
      <c r="S1175">
        <v>4</v>
      </c>
      <c r="T1175">
        <v>0</v>
      </c>
      <c r="U1175" s="3">
        <v>1</v>
      </c>
      <c r="V1175" s="3">
        <v>1</v>
      </c>
    </row>
    <row r="1176" spans="1:22" x14ac:dyDescent="0.25">
      <c r="A1176" s="2">
        <v>2017</v>
      </c>
      <c r="B1176" t="s">
        <v>47</v>
      </c>
      <c r="C1176" t="s">
        <v>21</v>
      </c>
      <c r="D1176" s="2">
        <v>766</v>
      </c>
      <c r="E1176" s="2">
        <v>6781</v>
      </c>
      <c r="F1176" t="s">
        <v>349</v>
      </c>
      <c r="G1176">
        <v>27</v>
      </c>
      <c r="H1176">
        <v>27</v>
      </c>
      <c r="I1176">
        <v>0</v>
      </c>
      <c r="J1176">
        <v>0</v>
      </c>
      <c r="K1176">
        <v>0</v>
      </c>
      <c r="L1176" s="6">
        <f t="shared" si="121"/>
        <v>1</v>
      </c>
      <c r="M1176">
        <v>310</v>
      </c>
      <c r="N1176">
        <v>43</v>
      </c>
      <c r="O1176" s="9">
        <v>0</v>
      </c>
      <c r="P1176">
        <v>0</v>
      </c>
      <c r="Q1176">
        <v>124</v>
      </c>
      <c r="R1176">
        <v>1</v>
      </c>
      <c r="S1176">
        <v>138</v>
      </c>
      <c r="T1176">
        <v>4</v>
      </c>
      <c r="U1176" s="3">
        <v>0.99677419354838714</v>
      </c>
      <c r="V1176" s="3">
        <v>0.9970326409495549</v>
      </c>
    </row>
    <row r="1177" spans="1:22" x14ac:dyDescent="0.25">
      <c r="A1177" s="2">
        <v>2017</v>
      </c>
      <c r="B1177" t="s">
        <v>47</v>
      </c>
      <c r="C1177" t="s">
        <v>21</v>
      </c>
      <c r="D1177" s="2">
        <v>777</v>
      </c>
      <c r="E1177" s="2">
        <v>5357</v>
      </c>
      <c r="F1177" t="s">
        <v>350</v>
      </c>
      <c r="G1177">
        <v>39</v>
      </c>
      <c r="H1177">
        <v>38</v>
      </c>
      <c r="I1177">
        <v>0</v>
      </c>
      <c r="J1177">
        <v>0</v>
      </c>
      <c r="K1177">
        <v>1</v>
      </c>
      <c r="L1177" s="6">
        <f t="shared" si="121"/>
        <v>0.97435897435897434</v>
      </c>
      <c r="M1177">
        <v>419</v>
      </c>
      <c r="N1177">
        <v>41</v>
      </c>
      <c r="O1177" s="9">
        <v>0</v>
      </c>
      <c r="P1177">
        <v>0</v>
      </c>
      <c r="Q1177">
        <v>196</v>
      </c>
      <c r="R1177">
        <v>0</v>
      </c>
      <c r="S1177">
        <v>179</v>
      </c>
      <c r="T1177">
        <v>3</v>
      </c>
      <c r="U1177" s="3">
        <v>1</v>
      </c>
      <c r="V1177" s="3">
        <v>0.99781659388646293</v>
      </c>
    </row>
    <row r="1178" spans="1:22" x14ac:dyDescent="0.25">
      <c r="A1178" s="2">
        <v>2017</v>
      </c>
      <c r="B1178" t="s">
        <v>47</v>
      </c>
      <c r="C1178" t="s">
        <v>21</v>
      </c>
      <c r="D1178" s="2">
        <v>543</v>
      </c>
      <c r="E1178" s="2">
        <v>10917</v>
      </c>
      <c r="F1178" t="s">
        <v>341</v>
      </c>
      <c r="G1178">
        <v>24</v>
      </c>
      <c r="H1178">
        <v>24</v>
      </c>
      <c r="I1178">
        <v>0</v>
      </c>
      <c r="J1178">
        <v>0</v>
      </c>
      <c r="K1178">
        <v>0</v>
      </c>
      <c r="L1178" s="6">
        <f t="shared" si="121"/>
        <v>1</v>
      </c>
      <c r="M1178">
        <v>347</v>
      </c>
      <c r="N1178">
        <v>38</v>
      </c>
      <c r="O1178" s="9">
        <v>0</v>
      </c>
      <c r="P1178">
        <v>0</v>
      </c>
      <c r="Q1178">
        <v>164</v>
      </c>
      <c r="R1178">
        <v>0</v>
      </c>
      <c r="S1178">
        <v>145</v>
      </c>
      <c r="T1178">
        <v>0</v>
      </c>
      <c r="U1178" s="3">
        <v>1</v>
      </c>
      <c r="V1178" s="3">
        <v>1</v>
      </c>
    </row>
    <row r="1179" spans="1:22" x14ac:dyDescent="0.25">
      <c r="A1179" s="2">
        <v>2017</v>
      </c>
      <c r="B1179" t="s">
        <v>47</v>
      </c>
      <c r="C1179" t="s">
        <v>21</v>
      </c>
      <c r="D1179" s="2">
        <v>576</v>
      </c>
      <c r="E1179" s="2">
        <v>122114</v>
      </c>
      <c r="F1179" t="s">
        <v>342</v>
      </c>
      <c r="G1179">
        <v>11</v>
      </c>
      <c r="H1179">
        <v>11</v>
      </c>
      <c r="I1179">
        <v>0</v>
      </c>
      <c r="J1179">
        <v>0</v>
      </c>
      <c r="K1179">
        <v>0</v>
      </c>
      <c r="L1179" s="6">
        <f t="shared" si="121"/>
        <v>1</v>
      </c>
      <c r="M1179">
        <v>186</v>
      </c>
      <c r="N1179">
        <v>24</v>
      </c>
      <c r="O1179" s="9">
        <v>0</v>
      </c>
      <c r="P1179">
        <v>0</v>
      </c>
      <c r="Q1179">
        <v>106</v>
      </c>
      <c r="R1179">
        <v>0</v>
      </c>
      <c r="S1179">
        <v>56</v>
      </c>
      <c r="T1179">
        <v>0</v>
      </c>
      <c r="U1179" s="3">
        <v>1</v>
      </c>
      <c r="V1179" s="3">
        <v>1</v>
      </c>
    </row>
    <row r="1180" spans="1:22" x14ac:dyDescent="0.25">
      <c r="A1180" s="2">
        <v>2017</v>
      </c>
      <c r="B1180" t="s">
        <v>47</v>
      </c>
      <c r="C1180" t="s">
        <v>21</v>
      </c>
      <c r="D1180" s="2">
        <v>536</v>
      </c>
      <c r="E1180" s="2">
        <v>10757</v>
      </c>
      <c r="F1180" t="s">
        <v>351</v>
      </c>
      <c r="G1180">
        <v>1</v>
      </c>
      <c r="H1180">
        <v>1</v>
      </c>
      <c r="I1180">
        <v>0</v>
      </c>
      <c r="J1180">
        <v>0</v>
      </c>
      <c r="K1180">
        <v>0</v>
      </c>
      <c r="L1180" s="6">
        <f t="shared" si="121"/>
        <v>1</v>
      </c>
      <c r="M1180">
        <v>263</v>
      </c>
      <c r="N1180">
        <v>36</v>
      </c>
      <c r="O1180" s="9">
        <v>0</v>
      </c>
      <c r="P1180">
        <v>1</v>
      </c>
      <c r="Q1180">
        <v>172</v>
      </c>
      <c r="R1180">
        <v>0</v>
      </c>
      <c r="S1180">
        <v>54</v>
      </c>
      <c r="T1180">
        <v>0</v>
      </c>
      <c r="U1180" s="3">
        <v>0.99619771863117867</v>
      </c>
      <c r="V1180" s="3">
        <v>0.99621212121212122</v>
      </c>
    </row>
    <row r="1181" spans="1:22" x14ac:dyDescent="0.25">
      <c r="A1181" s="2">
        <v>2017</v>
      </c>
      <c r="B1181" t="s">
        <v>47</v>
      </c>
      <c r="C1181" t="s">
        <v>21</v>
      </c>
      <c r="D1181" s="2">
        <v>550</v>
      </c>
      <c r="E1181" s="2">
        <v>119292</v>
      </c>
      <c r="F1181" t="s">
        <v>344</v>
      </c>
      <c r="G1181">
        <v>8</v>
      </c>
      <c r="H1181">
        <v>8</v>
      </c>
      <c r="I1181">
        <v>0</v>
      </c>
      <c r="J1181">
        <v>0</v>
      </c>
      <c r="K1181">
        <v>0</v>
      </c>
      <c r="L1181" s="6">
        <f t="shared" si="121"/>
        <v>1</v>
      </c>
      <c r="M1181">
        <v>111</v>
      </c>
      <c r="N1181">
        <v>17</v>
      </c>
      <c r="O1181" s="9">
        <v>0</v>
      </c>
      <c r="P1181">
        <v>0</v>
      </c>
      <c r="Q1181">
        <v>46</v>
      </c>
      <c r="R1181">
        <v>2</v>
      </c>
      <c r="S1181">
        <v>46</v>
      </c>
      <c r="T1181">
        <v>0</v>
      </c>
      <c r="U1181" s="3">
        <v>0.98198198198198194</v>
      </c>
      <c r="V1181" s="3">
        <v>0.98319327731092432</v>
      </c>
    </row>
    <row r="1182" spans="1:22" x14ac:dyDescent="0.25">
      <c r="A1182" s="2">
        <v>2017</v>
      </c>
      <c r="B1182" t="s">
        <v>47</v>
      </c>
      <c r="C1182" t="s">
        <v>21</v>
      </c>
      <c r="D1182" s="2">
        <v>546</v>
      </c>
      <c r="E1182" s="2">
        <v>119467</v>
      </c>
      <c r="F1182" t="s">
        <v>345</v>
      </c>
      <c r="G1182">
        <v>1</v>
      </c>
      <c r="H1182">
        <v>1</v>
      </c>
      <c r="I1182">
        <v>0</v>
      </c>
      <c r="J1182">
        <v>0</v>
      </c>
      <c r="K1182">
        <v>0</v>
      </c>
      <c r="L1182" s="6">
        <f t="shared" si="121"/>
        <v>1</v>
      </c>
      <c r="M1182">
        <v>21</v>
      </c>
      <c r="N1182">
        <v>3</v>
      </c>
      <c r="O1182" s="9">
        <v>0</v>
      </c>
      <c r="P1182">
        <v>0</v>
      </c>
      <c r="Q1182">
        <v>10</v>
      </c>
      <c r="R1182">
        <v>0</v>
      </c>
      <c r="S1182">
        <v>8</v>
      </c>
      <c r="T1182">
        <v>0</v>
      </c>
      <c r="U1182" s="3">
        <v>1</v>
      </c>
      <c r="V1182" s="3">
        <v>1</v>
      </c>
    </row>
    <row r="1183" spans="1:22" x14ac:dyDescent="0.25">
      <c r="A1183" s="2">
        <v>2017</v>
      </c>
      <c r="B1183" t="s">
        <v>50</v>
      </c>
      <c r="C1183" t="s">
        <v>1</v>
      </c>
      <c r="D1183" s="2">
        <v>53</v>
      </c>
      <c r="E1183" s="2">
        <v>4713</v>
      </c>
      <c r="F1183" t="s">
        <v>470</v>
      </c>
      <c r="G1183">
        <v>13</v>
      </c>
      <c r="H1183">
        <v>13</v>
      </c>
      <c r="I1183">
        <v>0</v>
      </c>
      <c r="J1183">
        <v>0</v>
      </c>
      <c r="K1183">
        <v>0</v>
      </c>
      <c r="L1183" s="6">
        <f t="shared" si="121"/>
        <v>1</v>
      </c>
      <c r="M1183">
        <v>219</v>
      </c>
      <c r="N1183">
        <v>41</v>
      </c>
      <c r="O1183" s="9">
        <v>0</v>
      </c>
      <c r="P1183">
        <v>0</v>
      </c>
      <c r="Q1183">
        <v>84</v>
      </c>
      <c r="R1183">
        <v>0</v>
      </c>
      <c r="S1183">
        <v>93</v>
      </c>
      <c r="T1183">
        <v>1</v>
      </c>
      <c r="U1183" s="3">
        <v>1</v>
      </c>
      <c r="V1183" s="3">
        <v>1</v>
      </c>
    </row>
    <row r="1184" spans="1:22" x14ac:dyDescent="0.25">
      <c r="A1184" s="2">
        <v>2017</v>
      </c>
      <c r="B1184" t="s">
        <v>50</v>
      </c>
      <c r="C1184" t="s">
        <v>1</v>
      </c>
      <c r="D1184" s="2">
        <v>243</v>
      </c>
      <c r="E1184" s="2">
        <v>4498</v>
      </c>
      <c r="F1184" t="s">
        <v>471</v>
      </c>
      <c r="G1184">
        <v>11</v>
      </c>
      <c r="H1184">
        <v>11</v>
      </c>
      <c r="I1184">
        <v>0</v>
      </c>
      <c r="J1184">
        <v>0</v>
      </c>
      <c r="K1184">
        <v>0</v>
      </c>
      <c r="L1184" s="6">
        <f t="shared" si="121"/>
        <v>1</v>
      </c>
      <c r="M1184">
        <v>128</v>
      </c>
      <c r="N1184">
        <v>19</v>
      </c>
      <c r="O1184" s="9">
        <v>0</v>
      </c>
      <c r="P1184">
        <v>0</v>
      </c>
      <c r="Q1184">
        <v>62</v>
      </c>
      <c r="R1184">
        <v>0</v>
      </c>
      <c r="S1184">
        <v>47</v>
      </c>
      <c r="T1184">
        <v>0</v>
      </c>
      <c r="U1184" s="3">
        <v>1</v>
      </c>
      <c r="V1184" s="3">
        <v>1</v>
      </c>
    </row>
    <row r="1185" spans="1:22" x14ac:dyDescent="0.25">
      <c r="A1185" s="2">
        <v>2017</v>
      </c>
      <c r="B1185" t="s">
        <v>50</v>
      </c>
      <c r="C1185" t="s">
        <v>1</v>
      </c>
      <c r="D1185" s="2">
        <v>0</v>
      </c>
      <c r="E1185" s="2">
        <v>119331</v>
      </c>
      <c r="F1185" t="s">
        <v>506</v>
      </c>
      <c r="G1185">
        <v>0</v>
      </c>
      <c r="H1185">
        <v>0</v>
      </c>
      <c r="I1185">
        <v>0</v>
      </c>
      <c r="J1185">
        <v>0</v>
      </c>
      <c r="K1185">
        <v>0</v>
      </c>
      <c r="L1185" s="6">
        <f t="shared" si="121"/>
        <v>0</v>
      </c>
      <c r="M1185">
        <v>1</v>
      </c>
      <c r="N1185">
        <v>1</v>
      </c>
      <c r="O1185" s="9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 s="3">
        <v>1</v>
      </c>
      <c r="V1185" s="3">
        <v>1</v>
      </c>
    </row>
    <row r="1186" spans="1:22" x14ac:dyDescent="0.25">
      <c r="A1186" s="2">
        <v>2017</v>
      </c>
      <c r="B1186" t="s">
        <v>50</v>
      </c>
      <c r="C1186" t="s">
        <v>1</v>
      </c>
      <c r="D1186" s="2">
        <v>16594</v>
      </c>
      <c r="E1186" s="2">
        <v>119329</v>
      </c>
      <c r="F1186" t="s">
        <v>472</v>
      </c>
      <c r="G1186">
        <v>14</v>
      </c>
      <c r="H1186">
        <v>14</v>
      </c>
      <c r="I1186">
        <v>0</v>
      </c>
      <c r="J1186">
        <v>0</v>
      </c>
      <c r="K1186">
        <v>0</v>
      </c>
      <c r="L1186" s="6">
        <f t="shared" si="121"/>
        <v>1</v>
      </c>
      <c r="M1186">
        <v>192</v>
      </c>
      <c r="N1186">
        <v>30</v>
      </c>
      <c r="O1186" s="9">
        <v>0</v>
      </c>
      <c r="P1186">
        <v>0</v>
      </c>
      <c r="Q1186">
        <v>73</v>
      </c>
      <c r="R1186">
        <v>0</v>
      </c>
      <c r="S1186">
        <v>89</v>
      </c>
      <c r="T1186">
        <v>0</v>
      </c>
      <c r="U1186" s="3">
        <v>1</v>
      </c>
      <c r="V1186" s="3">
        <v>1</v>
      </c>
    </row>
    <row r="1187" spans="1:22" x14ac:dyDescent="0.25">
      <c r="A1187" s="2">
        <v>2017</v>
      </c>
      <c r="B1187" t="s">
        <v>50</v>
      </c>
      <c r="C1187" t="s">
        <v>1</v>
      </c>
      <c r="D1187" s="2">
        <v>335</v>
      </c>
      <c r="E1187" s="2">
        <v>2726</v>
      </c>
      <c r="F1187" t="s">
        <v>473</v>
      </c>
      <c r="G1187">
        <v>37</v>
      </c>
      <c r="H1187">
        <v>37</v>
      </c>
      <c r="I1187">
        <v>0</v>
      </c>
      <c r="J1187">
        <v>0</v>
      </c>
      <c r="K1187">
        <v>0</v>
      </c>
      <c r="L1187" s="6">
        <f t="shared" si="121"/>
        <v>1</v>
      </c>
      <c r="M1187">
        <v>332</v>
      </c>
      <c r="N1187">
        <v>54</v>
      </c>
      <c r="O1187" s="9">
        <v>0</v>
      </c>
      <c r="P1187">
        <v>0</v>
      </c>
      <c r="Q1187">
        <v>122</v>
      </c>
      <c r="R1187">
        <v>0</v>
      </c>
      <c r="S1187">
        <v>156</v>
      </c>
      <c r="T1187">
        <v>0</v>
      </c>
      <c r="U1187" s="3">
        <v>1</v>
      </c>
      <c r="V1187" s="3">
        <v>1</v>
      </c>
    </row>
    <row r="1188" spans="1:22" x14ac:dyDescent="0.25">
      <c r="A1188" s="2">
        <v>2017</v>
      </c>
      <c r="B1188" t="s">
        <v>50</v>
      </c>
      <c r="C1188" t="s">
        <v>1</v>
      </c>
      <c r="D1188" s="2">
        <v>473</v>
      </c>
      <c r="E1188" s="2">
        <v>5243</v>
      </c>
      <c r="F1188" t="s">
        <v>474</v>
      </c>
      <c r="G1188">
        <v>14</v>
      </c>
      <c r="H1188">
        <v>14</v>
      </c>
      <c r="I1188">
        <v>0</v>
      </c>
      <c r="J1188">
        <v>0</v>
      </c>
      <c r="K1188">
        <v>0</v>
      </c>
      <c r="L1188" s="6">
        <f t="shared" si="121"/>
        <v>1</v>
      </c>
      <c r="M1188">
        <v>238</v>
      </c>
      <c r="N1188">
        <v>43</v>
      </c>
      <c r="O1188" s="9">
        <v>0</v>
      </c>
      <c r="P1188">
        <v>0</v>
      </c>
      <c r="Q1188">
        <v>108</v>
      </c>
      <c r="R1188">
        <v>0</v>
      </c>
      <c r="S1188">
        <v>86</v>
      </c>
      <c r="T1188">
        <v>1</v>
      </c>
      <c r="U1188" s="3">
        <v>1</v>
      </c>
      <c r="V1188" s="3">
        <v>1</v>
      </c>
    </row>
    <row r="1189" spans="1:22" x14ac:dyDescent="0.25">
      <c r="A1189" s="2">
        <v>2017</v>
      </c>
      <c r="B1189" t="s">
        <v>50</v>
      </c>
      <c r="C1189" t="s">
        <v>1</v>
      </c>
      <c r="D1189" s="2">
        <v>67</v>
      </c>
      <c r="E1189" s="2">
        <v>2833</v>
      </c>
      <c r="F1189" t="s">
        <v>475</v>
      </c>
      <c r="G1189">
        <v>9</v>
      </c>
      <c r="H1189">
        <v>9</v>
      </c>
      <c r="I1189">
        <v>0</v>
      </c>
      <c r="J1189">
        <v>0</v>
      </c>
      <c r="K1189">
        <v>0</v>
      </c>
      <c r="L1189" s="6">
        <f t="shared" si="121"/>
        <v>1</v>
      </c>
      <c r="M1189">
        <v>146</v>
      </c>
      <c r="N1189">
        <v>29</v>
      </c>
      <c r="O1189" s="9">
        <v>0</v>
      </c>
      <c r="P1189">
        <v>0</v>
      </c>
      <c r="Q1189">
        <v>57</v>
      </c>
      <c r="R1189">
        <v>0</v>
      </c>
      <c r="S1189">
        <v>59</v>
      </c>
      <c r="T1189">
        <v>1</v>
      </c>
      <c r="U1189" s="3">
        <v>1</v>
      </c>
      <c r="V1189" s="3">
        <v>1</v>
      </c>
    </row>
    <row r="1190" spans="1:22" x14ac:dyDescent="0.25">
      <c r="A1190" s="2">
        <v>2017</v>
      </c>
      <c r="B1190" t="s">
        <v>50</v>
      </c>
      <c r="C1190" t="s">
        <v>1</v>
      </c>
      <c r="D1190" s="2">
        <v>3621</v>
      </c>
      <c r="E1190" s="2">
        <v>9748</v>
      </c>
      <c r="F1190" t="s">
        <v>476</v>
      </c>
      <c r="G1190">
        <v>8</v>
      </c>
      <c r="H1190">
        <v>8</v>
      </c>
      <c r="I1190">
        <v>0</v>
      </c>
      <c r="J1190">
        <v>0</v>
      </c>
      <c r="K1190">
        <v>0</v>
      </c>
      <c r="L1190" s="6">
        <f t="shared" si="121"/>
        <v>1</v>
      </c>
      <c r="M1190">
        <v>206</v>
      </c>
      <c r="N1190">
        <v>32</v>
      </c>
      <c r="O1190" s="9">
        <v>0</v>
      </c>
      <c r="P1190">
        <v>0</v>
      </c>
      <c r="Q1190">
        <v>90</v>
      </c>
      <c r="R1190">
        <v>0</v>
      </c>
      <c r="S1190">
        <v>84</v>
      </c>
      <c r="T1190">
        <v>0</v>
      </c>
      <c r="U1190" s="3">
        <v>1</v>
      </c>
      <c r="V1190" s="3">
        <v>1</v>
      </c>
    </row>
    <row r="1191" spans="1:22" x14ac:dyDescent="0.25">
      <c r="A1191" s="2">
        <v>2017</v>
      </c>
      <c r="B1191" t="s">
        <v>50</v>
      </c>
      <c r="C1191" t="s">
        <v>1</v>
      </c>
      <c r="D1191" s="2">
        <v>567</v>
      </c>
      <c r="E1191" s="2">
        <v>3218</v>
      </c>
      <c r="F1191" t="s">
        <v>477</v>
      </c>
      <c r="G1191">
        <v>11</v>
      </c>
      <c r="H1191">
        <v>11</v>
      </c>
      <c r="I1191">
        <v>0</v>
      </c>
      <c r="J1191">
        <v>0</v>
      </c>
      <c r="K1191">
        <v>0</v>
      </c>
      <c r="L1191" s="6">
        <f t="shared" si="121"/>
        <v>1</v>
      </c>
      <c r="M1191">
        <v>307</v>
      </c>
      <c r="N1191">
        <v>49</v>
      </c>
      <c r="O1191" s="9">
        <v>0</v>
      </c>
      <c r="P1191">
        <v>0</v>
      </c>
      <c r="Q1191">
        <v>107</v>
      </c>
      <c r="R1191">
        <v>0</v>
      </c>
      <c r="S1191">
        <v>151</v>
      </c>
      <c r="T1191">
        <v>0</v>
      </c>
      <c r="U1191" s="3">
        <v>1</v>
      </c>
      <c r="V1191" s="3">
        <v>1</v>
      </c>
    </row>
    <row r="1192" spans="1:22" x14ac:dyDescent="0.25">
      <c r="A1192" s="2">
        <v>2017</v>
      </c>
      <c r="B1192" t="s">
        <v>50</v>
      </c>
      <c r="C1192" t="s">
        <v>1</v>
      </c>
      <c r="D1192" s="2">
        <v>20430</v>
      </c>
      <c r="E1192" s="2">
        <v>120449</v>
      </c>
      <c r="F1192" t="s">
        <v>505</v>
      </c>
      <c r="G1192">
        <v>0</v>
      </c>
      <c r="H1192">
        <v>0</v>
      </c>
      <c r="I1192">
        <v>0</v>
      </c>
      <c r="J1192">
        <v>0</v>
      </c>
      <c r="K1192">
        <v>0</v>
      </c>
      <c r="L1192" s="6">
        <f t="shared" si="121"/>
        <v>0</v>
      </c>
      <c r="M1192">
        <v>24</v>
      </c>
      <c r="N1192">
        <v>4</v>
      </c>
      <c r="O1192" s="9">
        <v>0</v>
      </c>
      <c r="P1192">
        <v>0</v>
      </c>
      <c r="Q1192">
        <v>11</v>
      </c>
      <c r="R1192">
        <v>0</v>
      </c>
      <c r="S1192">
        <v>9</v>
      </c>
      <c r="T1192">
        <v>0</v>
      </c>
      <c r="U1192" s="3">
        <v>1</v>
      </c>
      <c r="V1192" s="3">
        <v>1</v>
      </c>
    </row>
    <row r="1193" spans="1:22" x14ac:dyDescent="0.25">
      <c r="A1193" s="2">
        <v>2017</v>
      </c>
      <c r="B1193" t="s">
        <v>50</v>
      </c>
      <c r="C1193" t="s">
        <v>1</v>
      </c>
      <c r="D1193" s="2">
        <v>627</v>
      </c>
      <c r="E1193" s="2">
        <v>3693</v>
      </c>
      <c r="F1193" t="s">
        <v>478</v>
      </c>
      <c r="G1193">
        <v>38</v>
      </c>
      <c r="H1193">
        <v>38</v>
      </c>
      <c r="I1193">
        <v>0</v>
      </c>
      <c r="J1193">
        <v>0</v>
      </c>
      <c r="K1193">
        <v>0</v>
      </c>
      <c r="L1193" s="6">
        <f t="shared" si="121"/>
        <v>1</v>
      </c>
      <c r="M1193">
        <v>386</v>
      </c>
      <c r="N1193">
        <v>64</v>
      </c>
      <c r="O1193" s="9">
        <v>0</v>
      </c>
      <c r="P1193">
        <v>0</v>
      </c>
      <c r="Q1193">
        <v>141</v>
      </c>
      <c r="R1193">
        <v>0</v>
      </c>
      <c r="S1193">
        <v>181</v>
      </c>
      <c r="T1193">
        <v>0</v>
      </c>
      <c r="U1193" s="3">
        <v>1</v>
      </c>
      <c r="V1193" s="3">
        <v>1</v>
      </c>
    </row>
    <row r="1194" spans="1:22" x14ac:dyDescent="0.25">
      <c r="A1194" s="2">
        <v>2017</v>
      </c>
      <c r="B1194" t="s">
        <v>50</v>
      </c>
      <c r="C1194" t="s">
        <v>1</v>
      </c>
      <c r="D1194" s="2">
        <v>130</v>
      </c>
      <c r="E1194" s="2">
        <v>5419</v>
      </c>
      <c r="F1194" t="s">
        <v>479</v>
      </c>
      <c r="G1194">
        <v>10</v>
      </c>
      <c r="H1194">
        <v>10</v>
      </c>
      <c r="I1194">
        <v>0</v>
      </c>
      <c r="J1194">
        <v>0</v>
      </c>
      <c r="K1194">
        <v>0</v>
      </c>
      <c r="L1194" s="6">
        <f t="shared" si="121"/>
        <v>1</v>
      </c>
      <c r="M1194">
        <v>244</v>
      </c>
      <c r="N1194">
        <v>39</v>
      </c>
      <c r="O1194" s="9">
        <v>0</v>
      </c>
      <c r="P1194">
        <v>0</v>
      </c>
      <c r="Q1194">
        <v>121</v>
      </c>
      <c r="R1194">
        <v>0</v>
      </c>
      <c r="S1194">
        <v>83</v>
      </c>
      <c r="T1194">
        <v>1</v>
      </c>
      <c r="U1194" s="3">
        <v>1</v>
      </c>
      <c r="V1194" s="3">
        <v>1</v>
      </c>
    </row>
    <row r="1195" spans="1:22" x14ac:dyDescent="0.25">
      <c r="A1195" s="2">
        <v>2017</v>
      </c>
      <c r="B1195" t="s">
        <v>50</v>
      </c>
      <c r="C1195" t="s">
        <v>1</v>
      </c>
      <c r="D1195" s="2">
        <v>1397</v>
      </c>
      <c r="E1195" s="2">
        <v>3661</v>
      </c>
      <c r="F1195" t="s">
        <v>480</v>
      </c>
      <c r="G1195">
        <v>14</v>
      </c>
      <c r="H1195">
        <v>14</v>
      </c>
      <c r="I1195">
        <v>0</v>
      </c>
      <c r="J1195">
        <v>0</v>
      </c>
      <c r="K1195">
        <v>0</v>
      </c>
      <c r="L1195" s="6">
        <f t="shared" si="121"/>
        <v>1</v>
      </c>
      <c r="M1195">
        <v>162</v>
      </c>
      <c r="N1195">
        <v>33</v>
      </c>
      <c r="O1195" s="9">
        <v>0</v>
      </c>
      <c r="P1195">
        <v>0</v>
      </c>
      <c r="Q1195">
        <v>82</v>
      </c>
      <c r="R1195">
        <v>0</v>
      </c>
      <c r="S1195">
        <v>47</v>
      </c>
      <c r="T1195">
        <v>0</v>
      </c>
      <c r="U1195" s="3">
        <v>1</v>
      </c>
      <c r="V1195" s="3">
        <v>1</v>
      </c>
    </row>
    <row r="1196" spans="1:22" x14ac:dyDescent="0.25">
      <c r="A1196" s="2">
        <v>2017</v>
      </c>
      <c r="B1196" t="s">
        <v>50</v>
      </c>
      <c r="C1196" t="s">
        <v>1</v>
      </c>
      <c r="D1196" s="2">
        <v>1508</v>
      </c>
      <c r="E1196" s="2">
        <v>3157</v>
      </c>
      <c r="F1196" t="s">
        <v>481</v>
      </c>
      <c r="G1196">
        <v>5</v>
      </c>
      <c r="H1196">
        <v>5</v>
      </c>
      <c r="I1196">
        <v>0</v>
      </c>
      <c r="J1196">
        <v>0</v>
      </c>
      <c r="K1196">
        <v>0</v>
      </c>
      <c r="L1196" s="6">
        <f t="shared" si="121"/>
        <v>1</v>
      </c>
      <c r="M1196">
        <v>166</v>
      </c>
      <c r="N1196">
        <v>31</v>
      </c>
      <c r="O1196" s="9">
        <v>0</v>
      </c>
      <c r="P1196">
        <v>0</v>
      </c>
      <c r="Q1196">
        <v>80</v>
      </c>
      <c r="R1196">
        <v>0</v>
      </c>
      <c r="S1196">
        <v>54</v>
      </c>
      <c r="T1196">
        <v>1</v>
      </c>
      <c r="U1196" s="3">
        <v>1</v>
      </c>
      <c r="V1196" s="3">
        <v>1</v>
      </c>
    </row>
    <row r="1197" spans="1:22" x14ac:dyDescent="0.25">
      <c r="A1197" s="2">
        <v>2017</v>
      </c>
      <c r="B1197" t="s">
        <v>50</v>
      </c>
      <c r="C1197" t="s">
        <v>1</v>
      </c>
      <c r="D1197" s="2">
        <v>136</v>
      </c>
      <c r="E1197" s="2">
        <v>2834</v>
      </c>
      <c r="F1197" t="s">
        <v>482</v>
      </c>
      <c r="G1197">
        <v>13</v>
      </c>
      <c r="H1197">
        <v>13</v>
      </c>
      <c r="I1197">
        <v>0</v>
      </c>
      <c r="J1197">
        <v>0</v>
      </c>
      <c r="K1197">
        <v>0</v>
      </c>
      <c r="L1197" s="6">
        <f t="shared" si="121"/>
        <v>1</v>
      </c>
      <c r="M1197">
        <v>246</v>
      </c>
      <c r="N1197">
        <v>50</v>
      </c>
      <c r="O1197" s="9">
        <v>0</v>
      </c>
      <c r="P1197">
        <v>0</v>
      </c>
      <c r="Q1197">
        <v>116</v>
      </c>
      <c r="R1197">
        <v>0</v>
      </c>
      <c r="S1197">
        <v>80</v>
      </c>
      <c r="T1197">
        <v>0</v>
      </c>
      <c r="U1197" s="3">
        <v>1</v>
      </c>
      <c r="V1197" s="3">
        <v>1</v>
      </c>
    </row>
    <row r="1198" spans="1:22" x14ac:dyDescent="0.25">
      <c r="A1198" s="2">
        <v>2017</v>
      </c>
      <c r="B1198" t="s">
        <v>50</v>
      </c>
      <c r="C1198" t="s">
        <v>1</v>
      </c>
      <c r="D1198" s="2">
        <v>138</v>
      </c>
      <c r="E1198" s="2">
        <v>2741</v>
      </c>
      <c r="F1198" t="s">
        <v>483</v>
      </c>
      <c r="G1198">
        <v>12</v>
      </c>
      <c r="H1198">
        <v>12</v>
      </c>
      <c r="I1198">
        <v>0</v>
      </c>
      <c r="J1198">
        <v>0</v>
      </c>
      <c r="K1198">
        <v>0</v>
      </c>
      <c r="L1198" s="6">
        <f t="shared" si="121"/>
        <v>1</v>
      </c>
      <c r="M1198">
        <v>185</v>
      </c>
      <c r="N1198">
        <v>27</v>
      </c>
      <c r="O1198" s="9">
        <v>0</v>
      </c>
      <c r="P1198">
        <v>0</v>
      </c>
      <c r="Q1198">
        <v>67</v>
      </c>
      <c r="R1198">
        <v>0</v>
      </c>
      <c r="S1198">
        <v>89</v>
      </c>
      <c r="T1198">
        <v>2</v>
      </c>
      <c r="U1198" s="3">
        <v>1</v>
      </c>
      <c r="V1198" s="3">
        <v>1</v>
      </c>
    </row>
    <row r="1199" spans="1:22" x14ac:dyDescent="0.25">
      <c r="A1199" s="2">
        <v>2017</v>
      </c>
      <c r="B1199" t="s">
        <v>50</v>
      </c>
      <c r="C1199" t="s">
        <v>1</v>
      </c>
      <c r="D1199" s="2">
        <v>19352</v>
      </c>
      <c r="E1199" s="2">
        <v>122191</v>
      </c>
      <c r="F1199" t="s">
        <v>484</v>
      </c>
      <c r="G1199">
        <v>12</v>
      </c>
      <c r="H1199">
        <v>12</v>
      </c>
      <c r="I1199">
        <v>0</v>
      </c>
      <c r="J1199">
        <v>0</v>
      </c>
      <c r="K1199">
        <v>0</v>
      </c>
      <c r="L1199" s="6">
        <f t="shared" si="121"/>
        <v>1</v>
      </c>
      <c r="M1199">
        <v>313</v>
      </c>
      <c r="N1199">
        <v>61</v>
      </c>
      <c r="O1199" s="9">
        <v>0</v>
      </c>
      <c r="P1199">
        <v>0</v>
      </c>
      <c r="Q1199">
        <v>135</v>
      </c>
      <c r="R1199">
        <v>0</v>
      </c>
      <c r="S1199">
        <v>117</v>
      </c>
      <c r="T1199">
        <v>0</v>
      </c>
      <c r="U1199" s="3">
        <v>1</v>
      </c>
      <c r="V1199" s="3">
        <v>1</v>
      </c>
    </row>
    <row r="1200" spans="1:22" x14ac:dyDescent="0.25">
      <c r="A1200" s="2">
        <v>2017</v>
      </c>
      <c r="B1200" t="s">
        <v>50</v>
      </c>
      <c r="C1200" t="s">
        <v>1</v>
      </c>
      <c r="D1200" s="2">
        <v>1632</v>
      </c>
      <c r="E1200" s="2">
        <v>2953</v>
      </c>
      <c r="F1200" t="s">
        <v>485</v>
      </c>
      <c r="G1200">
        <v>9</v>
      </c>
      <c r="H1200">
        <v>9</v>
      </c>
      <c r="I1200">
        <v>0</v>
      </c>
      <c r="J1200">
        <v>0</v>
      </c>
      <c r="K1200">
        <v>0</v>
      </c>
      <c r="L1200" s="6">
        <f t="shared" si="121"/>
        <v>1</v>
      </c>
      <c r="M1200">
        <v>192</v>
      </c>
      <c r="N1200">
        <v>28</v>
      </c>
      <c r="O1200" s="9">
        <v>0</v>
      </c>
      <c r="P1200">
        <v>1</v>
      </c>
      <c r="Q1200">
        <v>76</v>
      </c>
      <c r="R1200">
        <v>3</v>
      </c>
      <c r="S1200">
        <v>84</v>
      </c>
      <c r="T1200">
        <v>0</v>
      </c>
      <c r="U1200" s="3">
        <v>0.97916666666666663</v>
      </c>
      <c r="V1200" s="3">
        <v>0.98009950248756217</v>
      </c>
    </row>
    <row r="1201" spans="1:22" x14ac:dyDescent="0.25">
      <c r="A1201" s="2">
        <v>2017</v>
      </c>
      <c r="B1201" t="s">
        <v>50</v>
      </c>
      <c r="C1201" t="s">
        <v>1</v>
      </c>
      <c r="D1201" s="2">
        <v>1667</v>
      </c>
      <c r="E1201" s="2">
        <v>4727</v>
      </c>
      <c r="F1201" t="s">
        <v>487</v>
      </c>
      <c r="G1201">
        <v>3</v>
      </c>
      <c r="H1201">
        <v>3</v>
      </c>
      <c r="I1201">
        <v>0</v>
      </c>
      <c r="J1201">
        <v>0</v>
      </c>
      <c r="K1201">
        <v>0</v>
      </c>
      <c r="L1201" s="6">
        <f t="shared" si="121"/>
        <v>1</v>
      </c>
      <c r="M1201">
        <v>134</v>
      </c>
      <c r="N1201">
        <v>32</v>
      </c>
      <c r="O1201" s="9">
        <v>0</v>
      </c>
      <c r="P1201">
        <v>0</v>
      </c>
      <c r="Q1201">
        <v>61</v>
      </c>
      <c r="R1201">
        <v>0</v>
      </c>
      <c r="S1201">
        <v>41</v>
      </c>
      <c r="T1201">
        <v>0</v>
      </c>
      <c r="U1201" s="3">
        <v>1</v>
      </c>
      <c r="V1201" s="3">
        <v>1</v>
      </c>
    </row>
    <row r="1202" spans="1:22" x14ac:dyDescent="0.25">
      <c r="A1202" s="2">
        <v>2017</v>
      </c>
      <c r="B1202" t="s">
        <v>50</v>
      </c>
      <c r="C1202" t="s">
        <v>1</v>
      </c>
      <c r="D1202" s="2">
        <v>20010</v>
      </c>
      <c r="E1202" s="2">
        <v>119432</v>
      </c>
      <c r="F1202" t="s">
        <v>488</v>
      </c>
      <c r="G1202">
        <v>7</v>
      </c>
      <c r="H1202">
        <v>7</v>
      </c>
      <c r="I1202">
        <v>0</v>
      </c>
      <c r="J1202">
        <v>0</v>
      </c>
      <c r="K1202">
        <v>0</v>
      </c>
      <c r="L1202" s="6">
        <f t="shared" si="121"/>
        <v>1</v>
      </c>
      <c r="M1202">
        <v>231</v>
      </c>
      <c r="N1202">
        <v>35</v>
      </c>
      <c r="O1202" s="9">
        <v>0</v>
      </c>
      <c r="P1202">
        <v>0</v>
      </c>
      <c r="Q1202">
        <v>107</v>
      </c>
      <c r="R1202">
        <v>0</v>
      </c>
      <c r="S1202">
        <v>89</v>
      </c>
      <c r="T1202">
        <v>0</v>
      </c>
      <c r="U1202" s="3">
        <v>1</v>
      </c>
      <c r="V1202" s="3">
        <v>1</v>
      </c>
    </row>
    <row r="1203" spans="1:22" x14ac:dyDescent="0.25">
      <c r="A1203" s="2">
        <v>2017</v>
      </c>
      <c r="B1203" t="s">
        <v>50</v>
      </c>
      <c r="C1203" t="s">
        <v>1</v>
      </c>
      <c r="D1203" s="2">
        <v>639</v>
      </c>
      <c r="E1203" s="2">
        <v>4723</v>
      </c>
      <c r="F1203" t="s">
        <v>489</v>
      </c>
      <c r="G1203">
        <v>11</v>
      </c>
      <c r="H1203">
        <v>11</v>
      </c>
      <c r="I1203">
        <v>0</v>
      </c>
      <c r="J1203">
        <v>0</v>
      </c>
      <c r="K1203">
        <v>0</v>
      </c>
      <c r="L1203" s="6">
        <f t="shared" si="121"/>
        <v>1</v>
      </c>
      <c r="M1203">
        <v>209</v>
      </c>
      <c r="N1203">
        <v>34</v>
      </c>
      <c r="O1203" s="9">
        <v>0</v>
      </c>
      <c r="P1203">
        <v>1</v>
      </c>
      <c r="Q1203">
        <v>80</v>
      </c>
      <c r="R1203">
        <v>0</v>
      </c>
      <c r="S1203">
        <v>93</v>
      </c>
      <c r="T1203">
        <v>1</v>
      </c>
      <c r="U1203" s="3">
        <v>0.99521531100478466</v>
      </c>
      <c r="V1203" s="3">
        <v>0.99545454545454548</v>
      </c>
    </row>
    <row r="1204" spans="1:22" x14ac:dyDescent="0.25">
      <c r="A1204" s="2">
        <v>2017</v>
      </c>
      <c r="B1204" t="s">
        <v>50</v>
      </c>
      <c r="C1204" t="s">
        <v>1</v>
      </c>
      <c r="D1204" s="2">
        <v>1909</v>
      </c>
      <c r="E1204" s="2">
        <v>5437</v>
      </c>
      <c r="F1204" t="s">
        <v>490</v>
      </c>
      <c r="G1204">
        <v>13</v>
      </c>
      <c r="H1204">
        <v>13</v>
      </c>
      <c r="I1204">
        <v>0</v>
      </c>
      <c r="J1204">
        <v>0</v>
      </c>
      <c r="K1204">
        <v>0</v>
      </c>
      <c r="L1204" s="6">
        <f t="shared" si="121"/>
        <v>1</v>
      </c>
      <c r="M1204">
        <v>216</v>
      </c>
      <c r="N1204">
        <v>29</v>
      </c>
      <c r="O1204" s="9">
        <v>0</v>
      </c>
      <c r="P1204">
        <v>1</v>
      </c>
      <c r="Q1204">
        <v>84</v>
      </c>
      <c r="R1204">
        <v>0</v>
      </c>
      <c r="S1204">
        <v>102</v>
      </c>
      <c r="T1204">
        <v>0</v>
      </c>
      <c r="U1204" s="3">
        <v>0.99537037037037035</v>
      </c>
      <c r="V1204" s="3">
        <v>0.99563318777292575</v>
      </c>
    </row>
    <row r="1205" spans="1:22" x14ac:dyDescent="0.25">
      <c r="A1205" s="2">
        <v>2017</v>
      </c>
      <c r="B1205" t="s">
        <v>50</v>
      </c>
      <c r="C1205" t="s">
        <v>1</v>
      </c>
      <c r="D1205" s="2">
        <v>3622</v>
      </c>
      <c r="E1205" s="2">
        <v>5670</v>
      </c>
      <c r="F1205" t="s">
        <v>491</v>
      </c>
      <c r="G1205">
        <v>17</v>
      </c>
      <c r="H1205">
        <v>17</v>
      </c>
      <c r="I1205">
        <v>0</v>
      </c>
      <c r="J1205">
        <v>0</v>
      </c>
      <c r="K1205">
        <v>0</v>
      </c>
      <c r="L1205" s="6">
        <f t="shared" si="121"/>
        <v>1</v>
      </c>
      <c r="M1205">
        <v>284</v>
      </c>
      <c r="N1205">
        <v>41</v>
      </c>
      <c r="O1205" s="9">
        <v>0</v>
      </c>
      <c r="P1205">
        <v>0</v>
      </c>
      <c r="Q1205">
        <v>96</v>
      </c>
      <c r="R1205">
        <v>0</v>
      </c>
      <c r="S1205">
        <v>147</v>
      </c>
      <c r="T1205">
        <v>0</v>
      </c>
      <c r="U1205" s="3">
        <v>1</v>
      </c>
      <c r="V1205" s="3">
        <v>1</v>
      </c>
    </row>
    <row r="1206" spans="1:22" x14ac:dyDescent="0.25">
      <c r="A1206" s="2">
        <v>2017</v>
      </c>
      <c r="B1206" t="s">
        <v>50</v>
      </c>
      <c r="C1206" t="s">
        <v>1</v>
      </c>
      <c r="D1206" s="2">
        <v>15555</v>
      </c>
      <c r="E1206" s="2">
        <v>9514</v>
      </c>
      <c r="F1206" t="s">
        <v>492</v>
      </c>
      <c r="G1206">
        <v>3</v>
      </c>
      <c r="H1206">
        <v>3</v>
      </c>
      <c r="I1206">
        <v>0</v>
      </c>
      <c r="J1206">
        <v>0</v>
      </c>
      <c r="K1206">
        <v>0</v>
      </c>
      <c r="L1206" s="6">
        <f t="shared" si="121"/>
        <v>1</v>
      </c>
      <c r="M1206">
        <v>237</v>
      </c>
      <c r="N1206">
        <v>35</v>
      </c>
      <c r="O1206" s="9">
        <v>0</v>
      </c>
      <c r="P1206">
        <v>0</v>
      </c>
      <c r="Q1206">
        <v>105</v>
      </c>
      <c r="R1206">
        <v>0</v>
      </c>
      <c r="S1206">
        <v>96</v>
      </c>
      <c r="T1206">
        <v>1</v>
      </c>
      <c r="U1206" s="3">
        <v>1</v>
      </c>
      <c r="V1206" s="3">
        <v>1</v>
      </c>
    </row>
    <row r="1207" spans="1:22" x14ac:dyDescent="0.25">
      <c r="A1207" s="2">
        <v>2017</v>
      </c>
      <c r="B1207" t="s">
        <v>50</v>
      </c>
      <c r="C1207" t="s">
        <v>1</v>
      </c>
      <c r="D1207" s="2">
        <v>820</v>
      </c>
      <c r="E1207" s="2">
        <v>5431</v>
      </c>
      <c r="F1207" t="s">
        <v>493</v>
      </c>
      <c r="G1207">
        <v>14</v>
      </c>
      <c r="H1207">
        <v>14</v>
      </c>
      <c r="I1207">
        <v>0</v>
      </c>
      <c r="J1207">
        <v>0</v>
      </c>
      <c r="K1207">
        <v>0</v>
      </c>
      <c r="L1207" s="6">
        <f t="shared" si="121"/>
        <v>1</v>
      </c>
      <c r="M1207">
        <v>259</v>
      </c>
      <c r="N1207">
        <v>32</v>
      </c>
      <c r="O1207" s="9">
        <v>0</v>
      </c>
      <c r="P1207">
        <v>0</v>
      </c>
      <c r="Q1207">
        <v>131</v>
      </c>
      <c r="R1207">
        <v>0</v>
      </c>
      <c r="S1207">
        <v>96</v>
      </c>
      <c r="T1207">
        <v>0</v>
      </c>
      <c r="U1207" s="3">
        <v>1</v>
      </c>
      <c r="V1207" s="3">
        <v>1</v>
      </c>
    </row>
    <row r="1208" spans="1:22" x14ac:dyDescent="0.25">
      <c r="A1208" s="2">
        <v>2017</v>
      </c>
      <c r="B1208" t="s">
        <v>50</v>
      </c>
      <c r="C1208" t="s">
        <v>1</v>
      </c>
      <c r="D1208" s="2">
        <v>3595</v>
      </c>
      <c r="E1208" s="2">
        <v>9918</v>
      </c>
      <c r="F1208" t="s">
        <v>495</v>
      </c>
      <c r="G1208">
        <v>11</v>
      </c>
      <c r="H1208">
        <v>11</v>
      </c>
      <c r="I1208">
        <v>0</v>
      </c>
      <c r="J1208">
        <v>0</v>
      </c>
      <c r="K1208">
        <v>0</v>
      </c>
      <c r="L1208" s="6">
        <f t="shared" si="121"/>
        <v>1</v>
      </c>
      <c r="M1208">
        <v>150</v>
      </c>
      <c r="N1208">
        <v>25</v>
      </c>
      <c r="O1208" s="9">
        <v>0</v>
      </c>
      <c r="P1208">
        <v>0</v>
      </c>
      <c r="Q1208">
        <v>64</v>
      </c>
      <c r="R1208">
        <v>0</v>
      </c>
      <c r="S1208">
        <v>61</v>
      </c>
      <c r="T1208">
        <v>0</v>
      </c>
      <c r="U1208" s="3">
        <v>1</v>
      </c>
      <c r="V1208" s="3">
        <v>1</v>
      </c>
    </row>
    <row r="1209" spans="1:22" x14ac:dyDescent="0.25">
      <c r="A1209" s="2">
        <v>2017</v>
      </c>
      <c r="B1209" t="s">
        <v>50</v>
      </c>
      <c r="C1209" t="s">
        <v>1</v>
      </c>
      <c r="D1209" s="2">
        <v>1016</v>
      </c>
      <c r="E1209" s="2">
        <v>2749</v>
      </c>
      <c r="F1209" t="s">
        <v>496</v>
      </c>
      <c r="G1209">
        <v>7</v>
      </c>
      <c r="H1209">
        <v>7</v>
      </c>
      <c r="I1209">
        <v>0</v>
      </c>
      <c r="J1209">
        <v>0</v>
      </c>
      <c r="K1209">
        <v>0</v>
      </c>
      <c r="L1209" s="6">
        <f t="shared" si="121"/>
        <v>1</v>
      </c>
      <c r="M1209">
        <v>165</v>
      </c>
      <c r="N1209">
        <v>28</v>
      </c>
      <c r="O1209" s="9">
        <v>0</v>
      </c>
      <c r="P1209">
        <v>0</v>
      </c>
      <c r="Q1209">
        <v>71</v>
      </c>
      <c r="R1209">
        <v>0</v>
      </c>
      <c r="S1209">
        <v>66</v>
      </c>
      <c r="T1209">
        <v>0</v>
      </c>
      <c r="U1209" s="3">
        <v>1</v>
      </c>
      <c r="V1209" s="3">
        <v>1</v>
      </c>
    </row>
    <row r="1210" spans="1:22" x14ac:dyDescent="0.25">
      <c r="A1210" s="2">
        <v>2017</v>
      </c>
      <c r="B1210" t="s">
        <v>50</v>
      </c>
      <c r="C1210" t="s">
        <v>1</v>
      </c>
      <c r="D1210" s="2">
        <v>1050</v>
      </c>
      <c r="E1210" s="2">
        <v>5302</v>
      </c>
      <c r="F1210" t="s">
        <v>497</v>
      </c>
      <c r="G1210">
        <v>0</v>
      </c>
      <c r="H1210">
        <v>0</v>
      </c>
      <c r="I1210">
        <v>0</v>
      </c>
      <c r="J1210">
        <v>0</v>
      </c>
      <c r="K1210">
        <v>0</v>
      </c>
      <c r="L1210" s="6">
        <f t="shared" si="121"/>
        <v>0</v>
      </c>
      <c r="M1210">
        <v>6</v>
      </c>
      <c r="N1210">
        <v>1</v>
      </c>
      <c r="O1210" s="9">
        <v>0</v>
      </c>
      <c r="P1210">
        <v>0</v>
      </c>
      <c r="Q1210">
        <v>5</v>
      </c>
      <c r="R1210">
        <v>0</v>
      </c>
      <c r="S1210">
        <v>0</v>
      </c>
      <c r="T1210">
        <v>0</v>
      </c>
      <c r="U1210" s="3">
        <v>1</v>
      </c>
      <c r="V1210" s="3">
        <v>1</v>
      </c>
    </row>
    <row r="1211" spans="1:22" x14ac:dyDescent="0.25">
      <c r="A1211" s="2">
        <v>2017</v>
      </c>
      <c r="B1211" t="s">
        <v>50</v>
      </c>
      <c r="C1211" t="s">
        <v>1</v>
      </c>
      <c r="D1211" s="2">
        <v>1108</v>
      </c>
      <c r="E1211" s="2">
        <v>4332</v>
      </c>
      <c r="F1211" t="s">
        <v>498</v>
      </c>
      <c r="G1211">
        <v>14</v>
      </c>
      <c r="H1211">
        <v>14</v>
      </c>
      <c r="I1211">
        <v>0</v>
      </c>
      <c r="J1211">
        <v>0</v>
      </c>
      <c r="K1211">
        <v>0</v>
      </c>
      <c r="L1211" s="6">
        <f t="shared" si="121"/>
        <v>1</v>
      </c>
      <c r="M1211">
        <v>223</v>
      </c>
      <c r="N1211">
        <v>38</v>
      </c>
      <c r="O1211" s="9">
        <v>0</v>
      </c>
      <c r="P1211">
        <v>0</v>
      </c>
      <c r="Q1211">
        <v>89</v>
      </c>
      <c r="R1211">
        <v>0</v>
      </c>
      <c r="S1211">
        <v>96</v>
      </c>
      <c r="T1211">
        <v>0</v>
      </c>
      <c r="U1211" s="3">
        <v>1</v>
      </c>
      <c r="V1211" s="3">
        <v>1</v>
      </c>
    </row>
    <row r="1212" spans="1:22" x14ac:dyDescent="0.25">
      <c r="A1212" s="2">
        <v>2017</v>
      </c>
      <c r="B1212" t="s">
        <v>50</v>
      </c>
      <c r="C1212" t="s">
        <v>1</v>
      </c>
      <c r="D1212" s="2">
        <v>3623</v>
      </c>
      <c r="E1212" s="2">
        <v>6046</v>
      </c>
      <c r="F1212" t="s">
        <v>499</v>
      </c>
      <c r="G1212">
        <v>12</v>
      </c>
      <c r="H1212">
        <v>12</v>
      </c>
      <c r="I1212">
        <v>0</v>
      </c>
      <c r="J1212">
        <v>0</v>
      </c>
      <c r="K1212">
        <v>0</v>
      </c>
      <c r="L1212" s="6">
        <f t="shared" si="121"/>
        <v>1</v>
      </c>
      <c r="M1212">
        <v>191</v>
      </c>
      <c r="N1212">
        <v>33</v>
      </c>
      <c r="O1212" s="9">
        <v>0</v>
      </c>
      <c r="P1212">
        <v>0</v>
      </c>
      <c r="Q1212">
        <v>105</v>
      </c>
      <c r="R1212">
        <v>0</v>
      </c>
      <c r="S1212">
        <v>52</v>
      </c>
      <c r="T1212">
        <v>1</v>
      </c>
      <c r="U1212" s="3">
        <v>1</v>
      </c>
      <c r="V1212" s="3">
        <v>1</v>
      </c>
    </row>
    <row r="1213" spans="1:22" x14ac:dyDescent="0.25">
      <c r="A1213" s="2">
        <v>2017</v>
      </c>
      <c r="B1213" t="s">
        <v>50</v>
      </c>
      <c r="C1213" t="s">
        <v>1</v>
      </c>
      <c r="D1213" s="2">
        <v>14791</v>
      </c>
      <c r="E1213" s="2">
        <v>118895</v>
      </c>
      <c r="F1213" t="s">
        <v>500</v>
      </c>
      <c r="G1213">
        <v>8</v>
      </c>
      <c r="H1213">
        <v>8</v>
      </c>
      <c r="I1213">
        <v>0</v>
      </c>
      <c r="J1213">
        <v>0</v>
      </c>
      <c r="K1213">
        <v>0</v>
      </c>
      <c r="L1213" s="6">
        <f t="shared" si="121"/>
        <v>1</v>
      </c>
      <c r="M1213">
        <v>152</v>
      </c>
      <c r="N1213">
        <v>21</v>
      </c>
      <c r="O1213" s="9">
        <v>0</v>
      </c>
      <c r="P1213">
        <v>0</v>
      </c>
      <c r="Q1213">
        <v>62</v>
      </c>
      <c r="R1213">
        <v>0</v>
      </c>
      <c r="S1213">
        <v>69</v>
      </c>
      <c r="T1213">
        <v>0</v>
      </c>
      <c r="U1213" s="3">
        <v>1</v>
      </c>
      <c r="V1213" s="3">
        <v>1</v>
      </c>
    </row>
    <row r="1214" spans="1:22" x14ac:dyDescent="0.25">
      <c r="A1214" s="2">
        <v>2017</v>
      </c>
      <c r="B1214" t="s">
        <v>50</v>
      </c>
      <c r="C1214" t="s">
        <v>1</v>
      </c>
      <c r="D1214" s="2">
        <v>15880</v>
      </c>
      <c r="E1214" s="2">
        <v>9708</v>
      </c>
      <c r="F1214" t="s">
        <v>501</v>
      </c>
      <c r="G1214">
        <v>17</v>
      </c>
      <c r="H1214">
        <v>16</v>
      </c>
      <c r="I1214">
        <v>0</v>
      </c>
      <c r="J1214">
        <v>0</v>
      </c>
      <c r="K1214">
        <v>1</v>
      </c>
      <c r="L1214" s="6">
        <f t="shared" si="121"/>
        <v>0.94117647058823528</v>
      </c>
      <c r="M1214">
        <v>198</v>
      </c>
      <c r="N1214">
        <v>36</v>
      </c>
      <c r="O1214" s="9">
        <v>0</v>
      </c>
      <c r="P1214">
        <v>0</v>
      </c>
      <c r="Q1214">
        <v>77</v>
      </c>
      <c r="R1214">
        <v>0</v>
      </c>
      <c r="S1214">
        <v>84</v>
      </c>
      <c r="T1214">
        <v>1</v>
      </c>
      <c r="U1214" s="3">
        <v>1</v>
      </c>
      <c r="V1214" s="3">
        <v>0.99534883720930234</v>
      </c>
    </row>
    <row r="1215" spans="1:22" x14ac:dyDescent="0.25">
      <c r="A1215" s="2">
        <v>2017</v>
      </c>
      <c r="B1215" t="s">
        <v>50</v>
      </c>
      <c r="C1215" t="s">
        <v>24</v>
      </c>
      <c r="D1215" s="2">
        <v>136</v>
      </c>
      <c r="E1215" s="2">
        <v>121923</v>
      </c>
      <c r="F1215" t="s">
        <v>41</v>
      </c>
      <c r="G1215">
        <v>1</v>
      </c>
      <c r="H1215">
        <v>1</v>
      </c>
      <c r="I1215">
        <v>0</v>
      </c>
      <c r="J1215">
        <v>0</v>
      </c>
      <c r="K1215">
        <v>0</v>
      </c>
      <c r="L1215" s="6">
        <f t="shared" si="121"/>
        <v>1</v>
      </c>
      <c r="M1215">
        <v>1</v>
      </c>
      <c r="N1215">
        <v>0</v>
      </c>
      <c r="O1215" s="9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 s="3">
        <v>1</v>
      </c>
      <c r="V1215" s="3">
        <v>1</v>
      </c>
    </row>
    <row r="1216" spans="1:22" x14ac:dyDescent="0.25">
      <c r="A1216" s="2">
        <v>2017</v>
      </c>
      <c r="B1216" t="s">
        <v>50</v>
      </c>
      <c r="C1216" t="s">
        <v>24</v>
      </c>
      <c r="D1216" s="2">
        <v>13</v>
      </c>
      <c r="E1216" s="2">
        <v>5621</v>
      </c>
      <c r="F1216" t="s">
        <v>390</v>
      </c>
      <c r="G1216">
        <v>13</v>
      </c>
      <c r="H1216">
        <v>13</v>
      </c>
      <c r="I1216">
        <v>0</v>
      </c>
      <c r="J1216">
        <v>0</v>
      </c>
      <c r="K1216">
        <v>0</v>
      </c>
      <c r="L1216" s="6">
        <f t="shared" si="121"/>
        <v>1</v>
      </c>
      <c r="M1216">
        <v>210</v>
      </c>
      <c r="N1216">
        <v>42</v>
      </c>
      <c r="O1216" s="9">
        <v>0</v>
      </c>
      <c r="P1216">
        <v>1</v>
      </c>
      <c r="Q1216">
        <v>89</v>
      </c>
      <c r="R1216">
        <v>3</v>
      </c>
      <c r="S1216">
        <v>73</v>
      </c>
      <c r="T1216">
        <v>2</v>
      </c>
      <c r="U1216" s="3">
        <v>0.98095238095238091</v>
      </c>
      <c r="V1216" s="3">
        <v>0.98206278026905824</v>
      </c>
    </row>
    <row r="1217" spans="1:22" x14ac:dyDescent="0.25">
      <c r="A1217" s="2">
        <v>2017</v>
      </c>
      <c r="B1217" t="s">
        <v>50</v>
      </c>
      <c r="C1217" t="s">
        <v>24</v>
      </c>
      <c r="D1217" s="2">
        <v>115</v>
      </c>
      <c r="E1217" s="2">
        <v>119430</v>
      </c>
      <c r="F1217" t="s">
        <v>391</v>
      </c>
      <c r="G1217">
        <v>10</v>
      </c>
      <c r="H1217">
        <v>10</v>
      </c>
      <c r="I1217">
        <v>0</v>
      </c>
      <c r="J1217">
        <v>0</v>
      </c>
      <c r="K1217">
        <v>0</v>
      </c>
      <c r="L1217" s="6">
        <f t="shared" si="121"/>
        <v>1</v>
      </c>
      <c r="M1217">
        <v>170</v>
      </c>
      <c r="N1217">
        <v>23</v>
      </c>
      <c r="O1217" s="9">
        <v>0</v>
      </c>
      <c r="P1217">
        <v>0</v>
      </c>
      <c r="Q1217">
        <v>78</v>
      </c>
      <c r="R1217">
        <v>0</v>
      </c>
      <c r="S1217">
        <v>68</v>
      </c>
      <c r="T1217">
        <v>1</v>
      </c>
      <c r="U1217" s="3">
        <v>1</v>
      </c>
      <c r="V1217" s="3">
        <v>1</v>
      </c>
    </row>
    <row r="1218" spans="1:22" x14ac:dyDescent="0.25">
      <c r="A1218" s="2">
        <v>2017</v>
      </c>
      <c r="B1218" t="s">
        <v>50</v>
      </c>
      <c r="C1218" t="s">
        <v>24</v>
      </c>
      <c r="D1218" s="2">
        <v>107</v>
      </c>
      <c r="E1218" s="2">
        <v>119171</v>
      </c>
      <c r="F1218" t="s">
        <v>393</v>
      </c>
      <c r="G1218">
        <v>11</v>
      </c>
      <c r="H1218">
        <v>11</v>
      </c>
      <c r="I1218">
        <v>0</v>
      </c>
      <c r="J1218">
        <v>0</v>
      </c>
      <c r="K1218">
        <v>0</v>
      </c>
      <c r="L1218" s="6">
        <f t="shared" si="121"/>
        <v>1</v>
      </c>
      <c r="M1218">
        <v>132</v>
      </c>
      <c r="N1218">
        <v>28</v>
      </c>
      <c r="O1218" s="9">
        <v>0</v>
      </c>
      <c r="P1218">
        <v>0</v>
      </c>
      <c r="Q1218">
        <v>64</v>
      </c>
      <c r="R1218">
        <v>0</v>
      </c>
      <c r="S1218">
        <v>40</v>
      </c>
      <c r="T1218">
        <v>0</v>
      </c>
      <c r="U1218" s="3">
        <v>1</v>
      </c>
      <c r="V1218" s="3">
        <v>1</v>
      </c>
    </row>
    <row r="1219" spans="1:22" x14ac:dyDescent="0.25">
      <c r="A1219" s="2">
        <v>2017</v>
      </c>
      <c r="B1219" t="s">
        <v>50</v>
      </c>
      <c r="C1219" t="s">
        <v>24</v>
      </c>
      <c r="D1219" s="2">
        <v>104</v>
      </c>
      <c r="E1219" s="2">
        <v>118880</v>
      </c>
      <c r="F1219" t="s">
        <v>394</v>
      </c>
      <c r="G1219">
        <v>19</v>
      </c>
      <c r="H1219">
        <v>19</v>
      </c>
      <c r="I1219">
        <v>0</v>
      </c>
      <c r="J1219">
        <v>0</v>
      </c>
      <c r="K1219">
        <v>0</v>
      </c>
      <c r="L1219" s="6">
        <f t="shared" si="121"/>
        <v>1</v>
      </c>
      <c r="M1219">
        <v>316</v>
      </c>
      <c r="N1219">
        <v>64</v>
      </c>
      <c r="O1219" s="9">
        <v>0</v>
      </c>
      <c r="P1219">
        <v>0</v>
      </c>
      <c r="Q1219">
        <v>163</v>
      </c>
      <c r="R1219">
        <v>1</v>
      </c>
      <c r="S1219">
        <v>85</v>
      </c>
      <c r="T1219">
        <v>3</v>
      </c>
      <c r="U1219" s="3">
        <v>0.99683544303797467</v>
      </c>
      <c r="V1219" s="3">
        <v>0.9970149253731343</v>
      </c>
    </row>
    <row r="1220" spans="1:22" x14ac:dyDescent="0.25">
      <c r="A1220" s="2">
        <v>2017</v>
      </c>
      <c r="B1220" t="s">
        <v>50</v>
      </c>
      <c r="C1220" t="s">
        <v>24</v>
      </c>
      <c r="D1220" s="2">
        <v>132</v>
      </c>
      <c r="E1220" s="2">
        <v>121352</v>
      </c>
      <c r="F1220" t="s">
        <v>395</v>
      </c>
      <c r="G1220">
        <v>28</v>
      </c>
      <c r="H1220">
        <v>28</v>
      </c>
      <c r="I1220">
        <v>0</v>
      </c>
      <c r="J1220">
        <v>0</v>
      </c>
      <c r="K1220">
        <v>0</v>
      </c>
      <c r="L1220" s="6">
        <f t="shared" si="121"/>
        <v>1</v>
      </c>
      <c r="M1220">
        <v>330</v>
      </c>
      <c r="N1220">
        <v>60</v>
      </c>
      <c r="O1220" s="9">
        <v>0</v>
      </c>
      <c r="P1220">
        <v>1</v>
      </c>
      <c r="Q1220">
        <v>138</v>
      </c>
      <c r="R1220">
        <v>3</v>
      </c>
      <c r="S1220">
        <v>126</v>
      </c>
      <c r="T1220">
        <v>2</v>
      </c>
      <c r="U1220" s="3">
        <v>0.98787878787878791</v>
      </c>
      <c r="V1220" s="3">
        <v>0.98882681564245811</v>
      </c>
    </row>
    <row r="1221" spans="1:22" x14ac:dyDescent="0.25">
      <c r="A1221" s="2">
        <v>2017</v>
      </c>
      <c r="B1221" t="s">
        <v>50</v>
      </c>
      <c r="C1221" t="s">
        <v>24</v>
      </c>
      <c r="D1221" s="2">
        <v>113</v>
      </c>
      <c r="E1221" s="2">
        <v>119349</v>
      </c>
      <c r="F1221" t="s">
        <v>397</v>
      </c>
      <c r="G1221">
        <v>11</v>
      </c>
      <c r="H1221">
        <v>11</v>
      </c>
      <c r="I1221">
        <v>0</v>
      </c>
      <c r="J1221">
        <v>0</v>
      </c>
      <c r="K1221">
        <v>0</v>
      </c>
      <c r="L1221" s="6">
        <f t="shared" si="121"/>
        <v>1</v>
      </c>
      <c r="M1221">
        <v>235</v>
      </c>
      <c r="N1221">
        <v>39</v>
      </c>
      <c r="O1221" s="9">
        <v>0</v>
      </c>
      <c r="P1221">
        <v>0</v>
      </c>
      <c r="Q1221">
        <v>103</v>
      </c>
      <c r="R1221">
        <v>0</v>
      </c>
      <c r="S1221">
        <v>93</v>
      </c>
      <c r="T1221">
        <v>0</v>
      </c>
      <c r="U1221" s="3">
        <v>1</v>
      </c>
      <c r="V1221" s="3">
        <v>1</v>
      </c>
    </row>
    <row r="1222" spans="1:22" x14ac:dyDescent="0.25">
      <c r="A1222" s="2">
        <v>2017</v>
      </c>
      <c r="B1222" t="s">
        <v>50</v>
      </c>
      <c r="C1222" t="s">
        <v>24</v>
      </c>
      <c r="D1222" s="2">
        <v>135</v>
      </c>
      <c r="E1222" s="2">
        <v>121924</v>
      </c>
      <c r="F1222" t="s">
        <v>398</v>
      </c>
      <c r="G1222">
        <v>14</v>
      </c>
      <c r="H1222">
        <v>14</v>
      </c>
      <c r="I1222">
        <v>0</v>
      </c>
      <c r="J1222">
        <v>0</v>
      </c>
      <c r="K1222">
        <v>0</v>
      </c>
      <c r="L1222" s="6">
        <f t="shared" si="121"/>
        <v>1</v>
      </c>
      <c r="M1222">
        <v>211</v>
      </c>
      <c r="N1222">
        <v>37</v>
      </c>
      <c r="O1222" s="9">
        <v>0</v>
      </c>
      <c r="P1222">
        <v>0</v>
      </c>
      <c r="Q1222">
        <v>91</v>
      </c>
      <c r="R1222">
        <v>1</v>
      </c>
      <c r="S1222">
        <v>82</v>
      </c>
      <c r="T1222">
        <v>0</v>
      </c>
      <c r="U1222" s="3">
        <v>0.99526066350710896</v>
      </c>
      <c r="V1222" s="3">
        <v>0.99555555555555553</v>
      </c>
    </row>
    <row r="1223" spans="1:22" x14ac:dyDescent="0.25">
      <c r="A1223" s="2">
        <v>2017</v>
      </c>
      <c r="B1223" t="s">
        <v>50</v>
      </c>
      <c r="C1223" t="s">
        <v>24</v>
      </c>
      <c r="D1223" s="2">
        <v>28</v>
      </c>
      <c r="E1223" s="2">
        <v>4356</v>
      </c>
      <c r="F1223" t="s">
        <v>360</v>
      </c>
      <c r="G1223">
        <v>0</v>
      </c>
      <c r="H1223">
        <v>0</v>
      </c>
      <c r="I1223">
        <v>0</v>
      </c>
      <c r="J1223">
        <v>0</v>
      </c>
      <c r="K1223">
        <v>0</v>
      </c>
      <c r="L1223" s="6">
        <f t="shared" si="121"/>
        <v>0</v>
      </c>
      <c r="M1223">
        <v>2</v>
      </c>
      <c r="N1223">
        <v>2</v>
      </c>
      <c r="O1223" s="9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 s="3">
        <v>1</v>
      </c>
      <c r="V1223" s="3">
        <v>1</v>
      </c>
    </row>
    <row r="1224" spans="1:22" x14ac:dyDescent="0.25">
      <c r="A1224" s="2">
        <v>2017</v>
      </c>
      <c r="B1224" t="s">
        <v>50</v>
      </c>
      <c r="C1224" t="s">
        <v>24</v>
      </c>
      <c r="D1224" s="2">
        <v>85</v>
      </c>
      <c r="E1224" s="2">
        <v>10528</v>
      </c>
      <c r="F1224" t="s">
        <v>400</v>
      </c>
      <c r="G1224">
        <v>4</v>
      </c>
      <c r="H1224">
        <v>4</v>
      </c>
      <c r="I1224">
        <v>0</v>
      </c>
      <c r="J1224">
        <v>0</v>
      </c>
      <c r="K1224">
        <v>0</v>
      </c>
      <c r="L1224" s="6">
        <f t="shared" si="121"/>
        <v>1</v>
      </c>
      <c r="M1224">
        <v>113</v>
      </c>
      <c r="N1224">
        <v>25</v>
      </c>
      <c r="O1224" s="9">
        <v>0</v>
      </c>
      <c r="P1224">
        <v>0</v>
      </c>
      <c r="Q1224">
        <v>44</v>
      </c>
      <c r="R1224">
        <v>0</v>
      </c>
      <c r="S1224">
        <v>44</v>
      </c>
      <c r="T1224">
        <v>0</v>
      </c>
      <c r="U1224" s="3">
        <v>1</v>
      </c>
      <c r="V1224" s="3">
        <v>1</v>
      </c>
    </row>
    <row r="1225" spans="1:22" x14ac:dyDescent="0.25">
      <c r="A1225" s="2">
        <v>2017</v>
      </c>
      <c r="B1225" t="s">
        <v>50</v>
      </c>
      <c r="C1225" t="s">
        <v>24</v>
      </c>
      <c r="D1225" s="2">
        <v>93</v>
      </c>
      <c r="E1225" s="2">
        <v>118657</v>
      </c>
      <c r="F1225" t="s">
        <v>401</v>
      </c>
      <c r="G1225">
        <v>15</v>
      </c>
      <c r="H1225">
        <v>15</v>
      </c>
      <c r="I1225">
        <v>0</v>
      </c>
      <c r="J1225">
        <v>0</v>
      </c>
      <c r="K1225">
        <v>0</v>
      </c>
      <c r="L1225" s="6">
        <f t="shared" si="121"/>
        <v>1</v>
      </c>
      <c r="M1225">
        <v>197</v>
      </c>
      <c r="N1225">
        <v>34</v>
      </c>
      <c r="O1225" s="9">
        <v>0</v>
      </c>
      <c r="P1225">
        <v>0</v>
      </c>
      <c r="Q1225">
        <v>80</v>
      </c>
      <c r="R1225">
        <v>0</v>
      </c>
      <c r="S1225">
        <v>83</v>
      </c>
      <c r="T1225">
        <v>0</v>
      </c>
      <c r="U1225" s="3">
        <v>1</v>
      </c>
      <c r="V1225" s="3">
        <v>1</v>
      </c>
    </row>
    <row r="1226" spans="1:22" x14ac:dyDescent="0.25">
      <c r="A1226" s="2">
        <v>2017</v>
      </c>
      <c r="B1226" t="s">
        <v>50</v>
      </c>
      <c r="C1226" t="s">
        <v>24</v>
      </c>
      <c r="D1226" s="2">
        <v>36</v>
      </c>
      <c r="E1226" s="2">
        <v>118472</v>
      </c>
      <c r="F1226" t="s">
        <v>503</v>
      </c>
      <c r="G1226">
        <v>13</v>
      </c>
      <c r="H1226">
        <v>12</v>
      </c>
      <c r="I1226">
        <v>0</v>
      </c>
      <c r="J1226">
        <v>0</v>
      </c>
      <c r="K1226">
        <v>1</v>
      </c>
      <c r="L1226" s="6">
        <f t="shared" si="121"/>
        <v>0.92307692307692313</v>
      </c>
      <c r="M1226">
        <v>256</v>
      </c>
      <c r="N1226">
        <v>49</v>
      </c>
      <c r="O1226" s="9">
        <v>0</v>
      </c>
      <c r="P1226">
        <v>1</v>
      </c>
      <c r="Q1226">
        <v>103</v>
      </c>
      <c r="R1226">
        <v>0</v>
      </c>
      <c r="S1226">
        <v>102</v>
      </c>
      <c r="T1226">
        <v>1</v>
      </c>
      <c r="U1226" s="3">
        <v>0.99609375</v>
      </c>
      <c r="V1226" s="3">
        <v>0.99256505576208176</v>
      </c>
    </row>
    <row r="1227" spans="1:22" x14ac:dyDescent="0.25">
      <c r="A1227" s="2">
        <v>2017</v>
      </c>
      <c r="B1227" t="s">
        <v>50</v>
      </c>
      <c r="C1227" t="s">
        <v>24</v>
      </c>
      <c r="D1227" s="2">
        <v>1</v>
      </c>
      <c r="E1227" s="2">
        <v>6777</v>
      </c>
      <c r="F1227" t="s">
        <v>34</v>
      </c>
      <c r="G1227">
        <v>0</v>
      </c>
      <c r="H1227">
        <v>0</v>
      </c>
      <c r="I1227">
        <v>0</v>
      </c>
      <c r="J1227">
        <v>0</v>
      </c>
      <c r="K1227">
        <v>0</v>
      </c>
      <c r="L1227" s="6">
        <f t="shared" si="121"/>
        <v>0</v>
      </c>
      <c r="M1227">
        <v>3</v>
      </c>
      <c r="N1227">
        <v>0</v>
      </c>
      <c r="O1227" s="9">
        <v>0</v>
      </c>
      <c r="P1227">
        <v>0</v>
      </c>
      <c r="Q1227">
        <v>2</v>
      </c>
      <c r="R1227">
        <v>0</v>
      </c>
      <c r="S1227">
        <v>1</v>
      </c>
      <c r="T1227">
        <v>0</v>
      </c>
      <c r="U1227" s="3">
        <v>1</v>
      </c>
      <c r="V1227" s="3">
        <v>1</v>
      </c>
    </row>
    <row r="1228" spans="1:22" x14ac:dyDescent="0.25">
      <c r="A1228" s="2">
        <v>2017</v>
      </c>
      <c r="B1228" t="s">
        <v>50</v>
      </c>
      <c r="C1228" t="s">
        <v>24</v>
      </c>
      <c r="D1228" s="2">
        <v>102</v>
      </c>
      <c r="E1228" s="2">
        <v>119090</v>
      </c>
      <c r="F1228" t="s">
        <v>402</v>
      </c>
      <c r="G1228">
        <v>4</v>
      </c>
      <c r="H1228">
        <v>4</v>
      </c>
      <c r="I1228">
        <v>0</v>
      </c>
      <c r="J1228">
        <v>0</v>
      </c>
      <c r="K1228">
        <v>0</v>
      </c>
      <c r="L1228" s="6">
        <f t="shared" si="121"/>
        <v>1</v>
      </c>
      <c r="M1228">
        <v>178</v>
      </c>
      <c r="N1228">
        <v>27</v>
      </c>
      <c r="O1228" s="9">
        <v>0</v>
      </c>
      <c r="P1228">
        <v>0</v>
      </c>
      <c r="Q1228">
        <v>97</v>
      </c>
      <c r="R1228">
        <v>1</v>
      </c>
      <c r="S1228">
        <v>53</v>
      </c>
      <c r="T1228">
        <v>0</v>
      </c>
      <c r="U1228" s="3">
        <v>0.9943820224719101</v>
      </c>
      <c r="V1228" s="3">
        <v>0.99450549450549453</v>
      </c>
    </row>
    <row r="1229" spans="1:22" x14ac:dyDescent="0.25">
      <c r="A1229" s="2">
        <v>2017</v>
      </c>
      <c r="B1229" t="s">
        <v>50</v>
      </c>
      <c r="C1229" t="s">
        <v>24</v>
      </c>
      <c r="D1229" s="2">
        <v>40</v>
      </c>
      <c r="E1229" s="2">
        <v>6831</v>
      </c>
      <c r="F1229" t="s">
        <v>28</v>
      </c>
      <c r="G1229">
        <v>20</v>
      </c>
      <c r="H1229">
        <v>20</v>
      </c>
      <c r="I1229">
        <v>0</v>
      </c>
      <c r="J1229">
        <v>0</v>
      </c>
      <c r="K1229">
        <v>0</v>
      </c>
      <c r="L1229" s="6">
        <f t="shared" si="121"/>
        <v>1</v>
      </c>
      <c r="M1229">
        <v>431</v>
      </c>
      <c r="N1229">
        <v>75</v>
      </c>
      <c r="O1229" s="9">
        <v>0</v>
      </c>
      <c r="P1229">
        <v>0</v>
      </c>
      <c r="Q1229">
        <v>204</v>
      </c>
      <c r="R1229">
        <v>1</v>
      </c>
      <c r="S1229">
        <v>149</v>
      </c>
      <c r="T1229">
        <v>2</v>
      </c>
      <c r="U1229" s="3">
        <v>0.99767981438515085</v>
      </c>
      <c r="V1229" s="3">
        <v>0.99778270509977829</v>
      </c>
    </row>
    <row r="1230" spans="1:22" x14ac:dyDescent="0.25">
      <c r="A1230" s="2">
        <v>2017</v>
      </c>
      <c r="B1230" t="s">
        <v>50</v>
      </c>
      <c r="C1230" t="s">
        <v>24</v>
      </c>
      <c r="D1230" s="2">
        <v>134</v>
      </c>
      <c r="E1230" s="2">
        <v>4968</v>
      </c>
      <c r="F1230" t="s">
        <v>29</v>
      </c>
      <c r="G1230">
        <v>12</v>
      </c>
      <c r="H1230">
        <v>12</v>
      </c>
      <c r="I1230">
        <v>0</v>
      </c>
      <c r="J1230">
        <v>0</v>
      </c>
      <c r="K1230">
        <v>0</v>
      </c>
      <c r="L1230" s="6">
        <f t="shared" si="121"/>
        <v>1</v>
      </c>
      <c r="M1230">
        <v>445</v>
      </c>
      <c r="N1230">
        <v>91</v>
      </c>
      <c r="O1230" s="9">
        <v>0</v>
      </c>
      <c r="P1230">
        <v>0</v>
      </c>
      <c r="Q1230">
        <v>185</v>
      </c>
      <c r="R1230">
        <v>1</v>
      </c>
      <c r="S1230">
        <v>167</v>
      </c>
      <c r="T1230">
        <v>1</v>
      </c>
      <c r="U1230" s="3">
        <v>0.99775280898876406</v>
      </c>
      <c r="V1230" s="3">
        <v>0.99781181619256021</v>
      </c>
    </row>
    <row r="1231" spans="1:22" x14ac:dyDescent="0.25">
      <c r="A1231" s="2">
        <v>2017</v>
      </c>
      <c r="B1231" t="s">
        <v>50</v>
      </c>
      <c r="C1231" t="s">
        <v>24</v>
      </c>
      <c r="D1231" s="2">
        <v>131</v>
      </c>
      <c r="E1231" s="2">
        <v>121355</v>
      </c>
      <c r="F1231" t="s">
        <v>504</v>
      </c>
      <c r="G1231">
        <v>4</v>
      </c>
      <c r="H1231">
        <v>4</v>
      </c>
      <c r="I1231">
        <v>0</v>
      </c>
      <c r="J1231">
        <v>0</v>
      </c>
      <c r="K1231">
        <v>0</v>
      </c>
      <c r="L1231" s="6">
        <f t="shared" si="121"/>
        <v>1</v>
      </c>
      <c r="M1231">
        <v>71</v>
      </c>
      <c r="N1231">
        <v>16</v>
      </c>
      <c r="O1231" s="9">
        <v>0</v>
      </c>
      <c r="P1231">
        <v>0</v>
      </c>
      <c r="Q1231">
        <v>32</v>
      </c>
      <c r="R1231">
        <v>1</v>
      </c>
      <c r="S1231">
        <v>22</v>
      </c>
      <c r="T1231">
        <v>0</v>
      </c>
      <c r="U1231" s="3">
        <v>0.9859154929577465</v>
      </c>
      <c r="V1231" s="3">
        <v>0.98666666666666669</v>
      </c>
    </row>
    <row r="1232" spans="1:22" x14ac:dyDescent="0.25">
      <c r="A1232" s="2">
        <v>2017</v>
      </c>
      <c r="B1232" t="s">
        <v>50</v>
      </c>
      <c r="C1232" t="s">
        <v>24</v>
      </c>
      <c r="D1232" s="2">
        <v>138</v>
      </c>
      <c r="E1232" s="2">
        <v>122073</v>
      </c>
      <c r="F1232" t="s">
        <v>406</v>
      </c>
      <c r="G1232">
        <v>17</v>
      </c>
      <c r="H1232">
        <v>17</v>
      </c>
      <c r="I1232">
        <v>0</v>
      </c>
      <c r="J1232">
        <v>0</v>
      </c>
      <c r="K1232">
        <v>0</v>
      </c>
      <c r="L1232" s="6">
        <f t="shared" si="121"/>
        <v>1</v>
      </c>
      <c r="M1232">
        <v>300</v>
      </c>
      <c r="N1232">
        <v>42</v>
      </c>
      <c r="O1232" s="9">
        <v>0</v>
      </c>
      <c r="P1232">
        <v>2</v>
      </c>
      <c r="Q1232">
        <v>147</v>
      </c>
      <c r="R1232">
        <v>3</v>
      </c>
      <c r="S1232">
        <v>105</v>
      </c>
      <c r="T1232">
        <v>1</v>
      </c>
      <c r="U1232" s="3">
        <v>0.98333333333333328</v>
      </c>
      <c r="V1232" s="3">
        <v>0.98422712933753942</v>
      </c>
    </row>
    <row r="1233" spans="1:22" x14ac:dyDescent="0.25">
      <c r="A1233" s="2">
        <v>2017</v>
      </c>
      <c r="B1233" t="s">
        <v>50</v>
      </c>
      <c r="C1233" t="s">
        <v>24</v>
      </c>
      <c r="D1233" s="2">
        <v>150</v>
      </c>
      <c r="E1233" s="2">
        <v>123118</v>
      </c>
      <c r="F1233" t="s">
        <v>30</v>
      </c>
      <c r="G1233">
        <v>18</v>
      </c>
      <c r="H1233">
        <v>18</v>
      </c>
      <c r="I1233">
        <v>0</v>
      </c>
      <c r="J1233">
        <v>0</v>
      </c>
      <c r="K1233">
        <v>0</v>
      </c>
      <c r="L1233" s="6">
        <f t="shared" si="121"/>
        <v>1</v>
      </c>
      <c r="M1233">
        <v>274</v>
      </c>
      <c r="N1233">
        <v>46</v>
      </c>
      <c r="O1233" s="9">
        <v>0</v>
      </c>
      <c r="P1233">
        <v>0</v>
      </c>
      <c r="Q1233">
        <v>125</v>
      </c>
      <c r="R1233">
        <v>0</v>
      </c>
      <c r="S1233">
        <v>103</v>
      </c>
      <c r="T1233">
        <v>0</v>
      </c>
      <c r="U1233" s="3">
        <v>1</v>
      </c>
      <c r="V1233" s="3">
        <v>1</v>
      </c>
    </row>
    <row r="1234" spans="1:22" x14ac:dyDescent="0.25">
      <c r="A1234" s="2">
        <v>2017</v>
      </c>
      <c r="B1234" t="s">
        <v>50</v>
      </c>
      <c r="C1234" t="s">
        <v>24</v>
      </c>
      <c r="D1234" s="2">
        <v>151</v>
      </c>
      <c r="E1234" s="2">
        <v>123113</v>
      </c>
      <c r="F1234" t="s">
        <v>424</v>
      </c>
      <c r="G1234">
        <v>12</v>
      </c>
      <c r="H1234">
        <v>12</v>
      </c>
      <c r="I1234">
        <v>0</v>
      </c>
      <c r="J1234">
        <v>0</v>
      </c>
      <c r="K1234">
        <v>0</v>
      </c>
      <c r="L1234" s="6">
        <f t="shared" ref="L1234:L1297" si="122">IF(G1234=0,0,SUM(H1234:J1234)/G1234)</f>
        <v>1</v>
      </c>
      <c r="M1234">
        <v>216</v>
      </c>
      <c r="N1234">
        <v>32</v>
      </c>
      <c r="O1234" s="9">
        <v>0</v>
      </c>
      <c r="P1234">
        <v>1</v>
      </c>
      <c r="Q1234">
        <v>107</v>
      </c>
      <c r="R1234">
        <v>0</v>
      </c>
      <c r="S1234">
        <v>76</v>
      </c>
      <c r="T1234">
        <v>0</v>
      </c>
      <c r="U1234" s="3">
        <v>0.99537037037037035</v>
      </c>
      <c r="V1234" s="3">
        <v>0.99561403508771928</v>
      </c>
    </row>
    <row r="1235" spans="1:22" x14ac:dyDescent="0.25">
      <c r="A1235" s="2">
        <v>2017</v>
      </c>
      <c r="B1235" t="s">
        <v>50</v>
      </c>
      <c r="C1235" t="s">
        <v>24</v>
      </c>
      <c r="D1235" s="2">
        <v>39</v>
      </c>
      <c r="E1235" s="2">
        <v>6832</v>
      </c>
      <c r="F1235" t="s">
        <v>407</v>
      </c>
      <c r="G1235">
        <v>8</v>
      </c>
      <c r="H1235">
        <v>8</v>
      </c>
      <c r="I1235">
        <v>0</v>
      </c>
      <c r="J1235">
        <v>0</v>
      </c>
      <c r="K1235">
        <v>0</v>
      </c>
      <c r="L1235" s="6">
        <f t="shared" si="122"/>
        <v>1</v>
      </c>
      <c r="M1235">
        <v>286</v>
      </c>
      <c r="N1235">
        <v>54</v>
      </c>
      <c r="O1235" s="9">
        <v>0</v>
      </c>
      <c r="P1235">
        <v>0</v>
      </c>
      <c r="Q1235">
        <v>118</v>
      </c>
      <c r="R1235">
        <v>0</v>
      </c>
      <c r="S1235">
        <v>110</v>
      </c>
      <c r="T1235">
        <v>4</v>
      </c>
      <c r="U1235" s="3">
        <v>1</v>
      </c>
      <c r="V1235" s="3">
        <v>1</v>
      </c>
    </row>
    <row r="1236" spans="1:22" x14ac:dyDescent="0.25">
      <c r="A1236" s="2">
        <v>2017</v>
      </c>
      <c r="B1236" t="s">
        <v>50</v>
      </c>
      <c r="C1236" t="s">
        <v>24</v>
      </c>
      <c r="D1236" s="2">
        <v>78</v>
      </c>
      <c r="E1236" s="2">
        <v>8720</v>
      </c>
      <c r="F1236" t="s">
        <v>408</v>
      </c>
      <c r="G1236">
        <v>1</v>
      </c>
      <c r="H1236">
        <v>1</v>
      </c>
      <c r="I1236">
        <v>0</v>
      </c>
      <c r="J1236">
        <v>0</v>
      </c>
      <c r="K1236">
        <v>0</v>
      </c>
      <c r="L1236" s="6">
        <f t="shared" si="122"/>
        <v>1</v>
      </c>
      <c r="M1236">
        <v>123</v>
      </c>
      <c r="N1236">
        <v>22</v>
      </c>
      <c r="O1236" s="9">
        <v>0</v>
      </c>
      <c r="P1236">
        <v>0</v>
      </c>
      <c r="Q1236">
        <v>49</v>
      </c>
      <c r="R1236">
        <v>0</v>
      </c>
      <c r="S1236">
        <v>52</v>
      </c>
      <c r="T1236">
        <v>0</v>
      </c>
      <c r="U1236" s="3">
        <v>1</v>
      </c>
      <c r="V1236" s="3">
        <v>1</v>
      </c>
    </row>
    <row r="1237" spans="1:22" x14ac:dyDescent="0.25">
      <c r="A1237" s="2">
        <v>2017</v>
      </c>
      <c r="B1237" t="s">
        <v>50</v>
      </c>
      <c r="C1237" t="s">
        <v>22</v>
      </c>
      <c r="D1237" s="2">
        <v>136</v>
      </c>
      <c r="E1237" s="2">
        <v>121923</v>
      </c>
      <c r="F1237" t="s">
        <v>41</v>
      </c>
      <c r="G1237">
        <v>15</v>
      </c>
      <c r="H1237">
        <v>15</v>
      </c>
      <c r="I1237">
        <v>0</v>
      </c>
      <c r="J1237">
        <v>0</v>
      </c>
      <c r="K1237">
        <v>0</v>
      </c>
      <c r="L1237" s="6">
        <f t="shared" si="122"/>
        <v>1</v>
      </c>
      <c r="M1237">
        <v>148</v>
      </c>
      <c r="N1237">
        <v>22</v>
      </c>
      <c r="O1237" s="9">
        <v>0</v>
      </c>
      <c r="P1237">
        <v>0</v>
      </c>
      <c r="Q1237">
        <v>66</v>
      </c>
      <c r="R1237">
        <v>0</v>
      </c>
      <c r="S1237">
        <v>60</v>
      </c>
      <c r="T1237">
        <v>0</v>
      </c>
      <c r="U1237" s="3">
        <v>1</v>
      </c>
      <c r="V1237" s="3">
        <v>1</v>
      </c>
    </row>
    <row r="1238" spans="1:22" x14ac:dyDescent="0.25">
      <c r="A1238" s="2">
        <v>2017</v>
      </c>
      <c r="B1238" t="s">
        <v>50</v>
      </c>
      <c r="C1238" t="s">
        <v>22</v>
      </c>
      <c r="D1238" s="2">
        <v>153</v>
      </c>
      <c r="E1238" s="2">
        <v>222222222</v>
      </c>
      <c r="F1238" t="s">
        <v>39</v>
      </c>
      <c r="G1238">
        <v>0</v>
      </c>
      <c r="H1238">
        <v>0</v>
      </c>
      <c r="I1238">
        <v>0</v>
      </c>
      <c r="J1238">
        <v>0</v>
      </c>
      <c r="K1238">
        <v>0</v>
      </c>
      <c r="L1238" s="6">
        <f t="shared" si="122"/>
        <v>0</v>
      </c>
      <c r="M1238">
        <v>1</v>
      </c>
      <c r="N1238">
        <v>0</v>
      </c>
      <c r="O1238" s="9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 s="3">
        <v>1</v>
      </c>
      <c r="V1238" s="3">
        <v>1</v>
      </c>
    </row>
    <row r="1239" spans="1:22" x14ac:dyDescent="0.25">
      <c r="A1239" s="2">
        <v>2017</v>
      </c>
      <c r="B1239" t="s">
        <v>50</v>
      </c>
      <c r="C1239" t="s">
        <v>22</v>
      </c>
      <c r="D1239" s="2">
        <v>137</v>
      </c>
      <c r="E1239" s="2">
        <v>5010</v>
      </c>
      <c r="F1239" t="s">
        <v>27</v>
      </c>
      <c r="G1239">
        <v>15</v>
      </c>
      <c r="H1239">
        <v>15</v>
      </c>
      <c r="I1239">
        <v>0</v>
      </c>
      <c r="J1239">
        <v>0</v>
      </c>
      <c r="K1239">
        <v>0</v>
      </c>
      <c r="L1239" s="6">
        <f t="shared" si="122"/>
        <v>1</v>
      </c>
      <c r="M1239">
        <v>194</v>
      </c>
      <c r="N1239">
        <v>43</v>
      </c>
      <c r="O1239" s="9">
        <v>0</v>
      </c>
      <c r="P1239">
        <v>1</v>
      </c>
      <c r="Q1239">
        <v>86</v>
      </c>
      <c r="R1239">
        <v>3</v>
      </c>
      <c r="S1239">
        <v>57</v>
      </c>
      <c r="T1239">
        <v>4</v>
      </c>
      <c r="U1239" s="3">
        <v>0.97938144329896903</v>
      </c>
      <c r="V1239" s="3">
        <v>0.98086124401913877</v>
      </c>
    </row>
    <row r="1240" spans="1:22" x14ac:dyDescent="0.25">
      <c r="A1240" s="2">
        <v>2017</v>
      </c>
      <c r="B1240" t="s">
        <v>50</v>
      </c>
      <c r="C1240" t="s">
        <v>22</v>
      </c>
      <c r="D1240" s="2">
        <v>29</v>
      </c>
      <c r="E1240" s="2">
        <v>4489</v>
      </c>
      <c r="F1240" t="s">
        <v>353</v>
      </c>
      <c r="G1240">
        <v>23</v>
      </c>
      <c r="H1240">
        <v>23</v>
      </c>
      <c r="I1240">
        <v>0</v>
      </c>
      <c r="J1240">
        <v>0</v>
      </c>
      <c r="K1240">
        <v>0</v>
      </c>
      <c r="L1240" s="6">
        <f t="shared" si="122"/>
        <v>1</v>
      </c>
      <c r="M1240">
        <v>394</v>
      </c>
      <c r="N1240">
        <v>77</v>
      </c>
      <c r="O1240" s="9">
        <v>0</v>
      </c>
      <c r="P1240">
        <v>0</v>
      </c>
      <c r="Q1240">
        <v>184</v>
      </c>
      <c r="R1240">
        <v>1</v>
      </c>
      <c r="S1240">
        <v>129</v>
      </c>
      <c r="T1240">
        <v>3</v>
      </c>
      <c r="U1240" s="3">
        <v>0.9974619289340102</v>
      </c>
      <c r="V1240" s="3">
        <v>0.99760191846522783</v>
      </c>
    </row>
    <row r="1241" spans="1:22" x14ac:dyDescent="0.25">
      <c r="A1241" s="2">
        <v>2017</v>
      </c>
      <c r="B1241" t="s">
        <v>50</v>
      </c>
      <c r="C1241" t="s">
        <v>22</v>
      </c>
      <c r="D1241" s="2">
        <v>58</v>
      </c>
      <c r="E1241" s="2">
        <v>7621</v>
      </c>
      <c r="F1241" t="s">
        <v>355</v>
      </c>
      <c r="G1241">
        <v>34</v>
      </c>
      <c r="H1241">
        <v>34</v>
      </c>
      <c r="I1241">
        <v>0</v>
      </c>
      <c r="J1241">
        <v>0</v>
      </c>
      <c r="K1241">
        <v>0</v>
      </c>
      <c r="L1241" s="6">
        <f t="shared" si="122"/>
        <v>1</v>
      </c>
      <c r="M1241">
        <v>438</v>
      </c>
      <c r="N1241">
        <v>68</v>
      </c>
      <c r="O1241" s="9">
        <v>0</v>
      </c>
      <c r="P1241">
        <v>0</v>
      </c>
      <c r="Q1241">
        <v>217</v>
      </c>
      <c r="R1241">
        <v>8</v>
      </c>
      <c r="S1241">
        <v>136</v>
      </c>
      <c r="T1241">
        <v>9</v>
      </c>
      <c r="U1241" s="3">
        <v>0.9817351598173516</v>
      </c>
      <c r="V1241" s="3">
        <v>0.98305084745762716</v>
      </c>
    </row>
    <row r="1242" spans="1:22" x14ac:dyDescent="0.25">
      <c r="A1242" s="2">
        <v>2017</v>
      </c>
      <c r="B1242" t="s">
        <v>50</v>
      </c>
      <c r="C1242" t="s">
        <v>22</v>
      </c>
      <c r="D1242" s="2">
        <v>97</v>
      </c>
      <c r="E1242" s="2">
        <v>119020</v>
      </c>
      <c r="F1242" t="s">
        <v>409</v>
      </c>
      <c r="G1242">
        <v>0</v>
      </c>
      <c r="H1242">
        <v>0</v>
      </c>
      <c r="I1242">
        <v>0</v>
      </c>
      <c r="J1242">
        <v>0</v>
      </c>
      <c r="K1242">
        <v>0</v>
      </c>
      <c r="L1242" s="6">
        <f t="shared" si="122"/>
        <v>0</v>
      </c>
      <c r="M1242">
        <v>2</v>
      </c>
      <c r="N1242">
        <v>1</v>
      </c>
      <c r="O1242" s="9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 s="3">
        <v>1</v>
      </c>
      <c r="V1242" s="3">
        <v>1</v>
      </c>
    </row>
    <row r="1243" spans="1:22" x14ac:dyDescent="0.25">
      <c r="A1243" s="2">
        <v>2017</v>
      </c>
      <c r="B1243" t="s">
        <v>50</v>
      </c>
      <c r="C1243" t="s">
        <v>22</v>
      </c>
      <c r="D1243" s="2">
        <v>159</v>
      </c>
      <c r="E1243" s="2">
        <v>124091</v>
      </c>
      <c r="F1243" t="s">
        <v>437</v>
      </c>
      <c r="G1243">
        <v>12</v>
      </c>
      <c r="H1243">
        <v>12</v>
      </c>
      <c r="I1243">
        <v>0</v>
      </c>
      <c r="J1243">
        <v>0</v>
      </c>
      <c r="K1243">
        <v>0</v>
      </c>
      <c r="L1243" s="6">
        <f t="shared" si="122"/>
        <v>1</v>
      </c>
      <c r="M1243">
        <v>142</v>
      </c>
      <c r="N1243">
        <v>28</v>
      </c>
      <c r="O1243" s="9">
        <v>0</v>
      </c>
      <c r="P1243">
        <v>0</v>
      </c>
      <c r="Q1243">
        <v>61</v>
      </c>
      <c r="R1243">
        <v>1</v>
      </c>
      <c r="S1243">
        <v>52</v>
      </c>
      <c r="T1243">
        <v>0</v>
      </c>
      <c r="U1243" s="3">
        <v>0.99295774647887325</v>
      </c>
      <c r="V1243" s="3">
        <v>0.99350649350649356</v>
      </c>
    </row>
    <row r="1244" spans="1:22" x14ac:dyDescent="0.25">
      <c r="A1244" s="2">
        <v>2017</v>
      </c>
      <c r="B1244" t="s">
        <v>50</v>
      </c>
      <c r="C1244" t="s">
        <v>22</v>
      </c>
      <c r="D1244" s="2">
        <v>161</v>
      </c>
      <c r="E1244" s="2">
        <v>222222222</v>
      </c>
      <c r="F1244" t="s">
        <v>446</v>
      </c>
      <c r="G1244">
        <v>7</v>
      </c>
      <c r="H1244">
        <v>7</v>
      </c>
      <c r="I1244">
        <v>0</v>
      </c>
      <c r="J1244">
        <v>0</v>
      </c>
      <c r="K1244">
        <v>0</v>
      </c>
      <c r="L1244" s="6">
        <f t="shared" si="122"/>
        <v>1</v>
      </c>
      <c r="M1244">
        <v>79</v>
      </c>
      <c r="N1244">
        <v>9</v>
      </c>
      <c r="O1244" s="9">
        <v>0</v>
      </c>
      <c r="P1244">
        <v>0</v>
      </c>
      <c r="Q1244">
        <v>29</v>
      </c>
      <c r="R1244">
        <v>1</v>
      </c>
      <c r="S1244">
        <v>40</v>
      </c>
      <c r="T1244">
        <v>0</v>
      </c>
      <c r="U1244" s="3">
        <v>0.98734177215189878</v>
      </c>
      <c r="V1244" s="3">
        <v>0.98837209302325579</v>
      </c>
    </row>
    <row r="1245" spans="1:22" x14ac:dyDescent="0.25">
      <c r="A1245" s="2">
        <v>2017</v>
      </c>
      <c r="B1245" t="s">
        <v>50</v>
      </c>
      <c r="C1245" t="s">
        <v>22</v>
      </c>
      <c r="D1245" s="2">
        <v>51</v>
      </c>
      <c r="E1245" s="2">
        <v>7616</v>
      </c>
      <c r="F1245" t="s">
        <v>410</v>
      </c>
      <c r="G1245">
        <v>1</v>
      </c>
      <c r="H1245">
        <v>1</v>
      </c>
      <c r="I1245">
        <v>0</v>
      </c>
      <c r="J1245">
        <v>0</v>
      </c>
      <c r="K1245">
        <v>0</v>
      </c>
      <c r="L1245" s="6">
        <f t="shared" si="122"/>
        <v>1</v>
      </c>
      <c r="M1245">
        <v>22</v>
      </c>
      <c r="N1245">
        <v>6</v>
      </c>
      <c r="O1245" s="9">
        <v>0</v>
      </c>
      <c r="P1245">
        <v>0</v>
      </c>
      <c r="Q1245">
        <v>6</v>
      </c>
      <c r="R1245">
        <v>0</v>
      </c>
      <c r="S1245">
        <v>10</v>
      </c>
      <c r="T1245">
        <v>0</v>
      </c>
      <c r="U1245" s="3">
        <v>1</v>
      </c>
      <c r="V1245" s="3">
        <v>1</v>
      </c>
    </row>
    <row r="1246" spans="1:22" x14ac:dyDescent="0.25">
      <c r="A1246" s="2">
        <v>2017</v>
      </c>
      <c r="B1246" t="s">
        <v>50</v>
      </c>
      <c r="C1246" t="s">
        <v>22</v>
      </c>
      <c r="D1246" s="2">
        <v>60</v>
      </c>
      <c r="E1246" s="2">
        <v>7787</v>
      </c>
      <c r="F1246" t="s">
        <v>357</v>
      </c>
      <c r="G1246">
        <v>0</v>
      </c>
      <c r="H1246">
        <v>0</v>
      </c>
      <c r="I1246">
        <v>0</v>
      </c>
      <c r="J1246">
        <v>0</v>
      </c>
      <c r="K1246">
        <v>0</v>
      </c>
      <c r="L1246" s="6">
        <f t="shared" si="122"/>
        <v>0</v>
      </c>
      <c r="M1246">
        <v>6</v>
      </c>
      <c r="N1246">
        <v>2</v>
      </c>
      <c r="O1246" s="9">
        <v>0</v>
      </c>
      <c r="P1246">
        <v>0</v>
      </c>
      <c r="Q1246">
        <v>3</v>
      </c>
      <c r="R1246">
        <v>0</v>
      </c>
      <c r="S1246">
        <v>1</v>
      </c>
      <c r="T1246">
        <v>0</v>
      </c>
      <c r="U1246" s="3">
        <v>1</v>
      </c>
      <c r="V1246" s="3">
        <v>1</v>
      </c>
    </row>
    <row r="1247" spans="1:22" x14ac:dyDescent="0.25">
      <c r="A1247" s="2">
        <v>2017</v>
      </c>
      <c r="B1247" t="s">
        <v>50</v>
      </c>
      <c r="C1247" t="s">
        <v>22</v>
      </c>
      <c r="D1247" s="2">
        <v>23</v>
      </c>
      <c r="E1247" s="2">
        <v>5832</v>
      </c>
      <c r="F1247" t="s">
        <v>358</v>
      </c>
      <c r="G1247">
        <v>0</v>
      </c>
      <c r="H1247">
        <v>0</v>
      </c>
      <c r="I1247">
        <v>0</v>
      </c>
      <c r="J1247">
        <v>0</v>
      </c>
      <c r="K1247">
        <v>0</v>
      </c>
      <c r="L1247" s="6">
        <f t="shared" si="122"/>
        <v>0</v>
      </c>
      <c r="M1247">
        <v>20</v>
      </c>
      <c r="N1247">
        <v>2</v>
      </c>
      <c r="O1247" s="9">
        <v>0</v>
      </c>
      <c r="P1247">
        <v>0</v>
      </c>
      <c r="Q1247">
        <v>10</v>
      </c>
      <c r="R1247">
        <v>0</v>
      </c>
      <c r="S1247">
        <v>8</v>
      </c>
      <c r="T1247">
        <v>0</v>
      </c>
      <c r="U1247" s="3">
        <v>1</v>
      </c>
      <c r="V1247" s="3">
        <v>1</v>
      </c>
    </row>
    <row r="1248" spans="1:22" x14ac:dyDescent="0.25">
      <c r="A1248" s="2">
        <v>2017</v>
      </c>
      <c r="B1248" t="s">
        <v>50</v>
      </c>
      <c r="C1248" t="s">
        <v>22</v>
      </c>
      <c r="D1248" s="2">
        <v>47</v>
      </c>
      <c r="E1248" s="2">
        <v>7465</v>
      </c>
      <c r="F1248" t="s">
        <v>412</v>
      </c>
      <c r="G1248">
        <v>0</v>
      </c>
      <c r="H1248">
        <v>0</v>
      </c>
      <c r="I1248">
        <v>0</v>
      </c>
      <c r="J1248">
        <v>0</v>
      </c>
      <c r="K1248">
        <v>0</v>
      </c>
      <c r="L1248" s="6">
        <f t="shared" si="122"/>
        <v>0</v>
      </c>
      <c r="M1248">
        <v>3</v>
      </c>
      <c r="N1248">
        <v>2</v>
      </c>
      <c r="O1248" s="9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 s="3">
        <v>1</v>
      </c>
      <c r="V1248" s="3">
        <v>1</v>
      </c>
    </row>
    <row r="1249" spans="1:22" x14ac:dyDescent="0.25">
      <c r="A1249" s="2">
        <v>2017</v>
      </c>
      <c r="B1249" t="s">
        <v>50</v>
      </c>
      <c r="C1249" t="s">
        <v>22</v>
      </c>
      <c r="D1249" s="2">
        <v>28</v>
      </c>
      <c r="E1249" s="2">
        <v>4356</v>
      </c>
      <c r="F1249" t="s">
        <v>360</v>
      </c>
      <c r="G1249">
        <v>39</v>
      </c>
      <c r="H1249">
        <v>39</v>
      </c>
      <c r="I1249">
        <v>0</v>
      </c>
      <c r="J1249">
        <v>0</v>
      </c>
      <c r="K1249">
        <v>0</v>
      </c>
      <c r="L1249" s="6">
        <f t="shared" si="122"/>
        <v>1</v>
      </c>
      <c r="M1249">
        <v>594</v>
      </c>
      <c r="N1249">
        <v>114</v>
      </c>
      <c r="O1249" s="9">
        <v>0</v>
      </c>
      <c r="P1249">
        <v>2</v>
      </c>
      <c r="Q1249">
        <v>235</v>
      </c>
      <c r="R1249">
        <v>3</v>
      </c>
      <c r="S1249">
        <v>239</v>
      </c>
      <c r="T1249">
        <v>1</v>
      </c>
      <c r="U1249" s="3">
        <v>0.99158249158249157</v>
      </c>
      <c r="V1249" s="3">
        <v>0.99210110584518163</v>
      </c>
    </row>
    <row r="1250" spans="1:22" x14ac:dyDescent="0.25">
      <c r="A1250" s="2">
        <v>2017</v>
      </c>
      <c r="B1250" t="s">
        <v>50</v>
      </c>
      <c r="C1250" t="s">
        <v>22</v>
      </c>
      <c r="D1250" s="2">
        <v>63</v>
      </c>
      <c r="E1250" s="2">
        <v>7817</v>
      </c>
      <c r="F1250" t="s">
        <v>361</v>
      </c>
      <c r="G1250">
        <v>36</v>
      </c>
      <c r="H1250">
        <v>36</v>
      </c>
      <c r="I1250">
        <v>0</v>
      </c>
      <c r="J1250">
        <v>0</v>
      </c>
      <c r="K1250">
        <v>0</v>
      </c>
      <c r="L1250" s="6">
        <f t="shared" si="122"/>
        <v>1</v>
      </c>
      <c r="M1250">
        <v>357</v>
      </c>
      <c r="N1250">
        <v>53</v>
      </c>
      <c r="O1250" s="9">
        <v>0</v>
      </c>
      <c r="P1250">
        <v>0</v>
      </c>
      <c r="Q1250">
        <v>162</v>
      </c>
      <c r="R1250">
        <v>0</v>
      </c>
      <c r="S1250">
        <v>141</v>
      </c>
      <c r="T1250">
        <v>1</v>
      </c>
      <c r="U1250" s="3">
        <v>1</v>
      </c>
      <c r="V1250" s="3">
        <v>1</v>
      </c>
    </row>
    <row r="1251" spans="1:22" x14ac:dyDescent="0.25">
      <c r="A1251" s="2">
        <v>2017</v>
      </c>
      <c r="B1251" t="s">
        <v>50</v>
      </c>
      <c r="C1251" t="s">
        <v>22</v>
      </c>
      <c r="D1251" s="2">
        <v>19</v>
      </c>
      <c r="E1251" s="2">
        <v>5831</v>
      </c>
      <c r="F1251" t="s">
        <v>362</v>
      </c>
      <c r="G1251">
        <v>15</v>
      </c>
      <c r="H1251">
        <v>15</v>
      </c>
      <c r="I1251">
        <v>0</v>
      </c>
      <c r="J1251">
        <v>0</v>
      </c>
      <c r="K1251">
        <v>0</v>
      </c>
      <c r="L1251" s="6">
        <f t="shared" si="122"/>
        <v>1</v>
      </c>
      <c r="M1251">
        <v>264</v>
      </c>
      <c r="N1251">
        <v>49</v>
      </c>
      <c r="O1251" s="9">
        <v>0</v>
      </c>
      <c r="P1251">
        <v>0</v>
      </c>
      <c r="Q1251">
        <v>111</v>
      </c>
      <c r="R1251">
        <v>9</v>
      </c>
      <c r="S1251">
        <v>93</v>
      </c>
      <c r="T1251">
        <v>2</v>
      </c>
      <c r="U1251" s="3">
        <v>0.96590909090909094</v>
      </c>
      <c r="V1251" s="3">
        <v>0.967741935483871</v>
      </c>
    </row>
    <row r="1252" spans="1:22" x14ac:dyDescent="0.25">
      <c r="A1252" s="2">
        <v>2017</v>
      </c>
      <c r="B1252" t="s">
        <v>50</v>
      </c>
      <c r="C1252" t="s">
        <v>22</v>
      </c>
      <c r="D1252" s="2">
        <v>68</v>
      </c>
      <c r="E1252" s="2">
        <v>7923</v>
      </c>
      <c r="F1252" t="s">
        <v>363</v>
      </c>
      <c r="G1252">
        <v>31</v>
      </c>
      <c r="H1252">
        <v>31</v>
      </c>
      <c r="I1252">
        <v>0</v>
      </c>
      <c r="J1252">
        <v>0</v>
      </c>
      <c r="K1252">
        <v>0</v>
      </c>
      <c r="L1252" s="6">
        <f t="shared" si="122"/>
        <v>1</v>
      </c>
      <c r="M1252">
        <v>364</v>
      </c>
      <c r="N1252">
        <v>85</v>
      </c>
      <c r="O1252" s="9">
        <v>0</v>
      </c>
      <c r="P1252">
        <v>0</v>
      </c>
      <c r="Q1252">
        <v>164</v>
      </c>
      <c r="R1252">
        <v>2</v>
      </c>
      <c r="S1252">
        <v>112</v>
      </c>
      <c r="T1252">
        <v>1</v>
      </c>
      <c r="U1252" s="3">
        <v>0.99450549450549453</v>
      </c>
      <c r="V1252" s="3">
        <v>0.99493670886075947</v>
      </c>
    </row>
    <row r="1253" spans="1:22" x14ac:dyDescent="0.25">
      <c r="A1253" s="2">
        <v>2017</v>
      </c>
      <c r="B1253" t="s">
        <v>50</v>
      </c>
      <c r="C1253" t="s">
        <v>22</v>
      </c>
      <c r="D1253" s="2">
        <v>144</v>
      </c>
      <c r="E1253" s="2">
        <v>4536</v>
      </c>
      <c r="F1253" t="s">
        <v>364</v>
      </c>
      <c r="G1253">
        <v>0</v>
      </c>
      <c r="H1253">
        <v>0</v>
      </c>
      <c r="I1253">
        <v>0</v>
      </c>
      <c r="J1253">
        <v>0</v>
      </c>
      <c r="K1253">
        <v>0</v>
      </c>
      <c r="L1253" s="6">
        <f t="shared" si="122"/>
        <v>0</v>
      </c>
      <c r="M1253">
        <v>1</v>
      </c>
      <c r="N1253">
        <v>0</v>
      </c>
      <c r="O1253" s="9">
        <v>0</v>
      </c>
      <c r="P1253">
        <v>0</v>
      </c>
      <c r="Q1253">
        <v>0</v>
      </c>
      <c r="R1253">
        <v>0</v>
      </c>
      <c r="S1253">
        <v>1</v>
      </c>
      <c r="T1253">
        <v>0</v>
      </c>
      <c r="U1253" s="3">
        <v>1</v>
      </c>
      <c r="V1253" s="3">
        <v>1</v>
      </c>
    </row>
    <row r="1254" spans="1:22" x14ac:dyDescent="0.25">
      <c r="A1254" s="2">
        <v>2017</v>
      </c>
      <c r="B1254" t="s">
        <v>50</v>
      </c>
      <c r="C1254" t="s">
        <v>22</v>
      </c>
      <c r="D1254" s="2">
        <v>118</v>
      </c>
      <c r="E1254" s="2">
        <v>4623</v>
      </c>
      <c r="F1254" t="s">
        <v>443</v>
      </c>
      <c r="G1254">
        <v>3</v>
      </c>
      <c r="H1254">
        <v>3</v>
      </c>
      <c r="I1254">
        <v>0</v>
      </c>
      <c r="J1254">
        <v>0</v>
      </c>
      <c r="K1254">
        <v>0</v>
      </c>
      <c r="L1254" s="6">
        <f t="shared" si="122"/>
        <v>1</v>
      </c>
      <c r="M1254">
        <v>48</v>
      </c>
      <c r="N1254">
        <v>6</v>
      </c>
      <c r="O1254" s="9">
        <v>0</v>
      </c>
      <c r="P1254">
        <v>0</v>
      </c>
      <c r="Q1254">
        <v>18</v>
      </c>
      <c r="R1254">
        <v>0</v>
      </c>
      <c r="S1254">
        <v>23</v>
      </c>
      <c r="T1254">
        <v>1</v>
      </c>
      <c r="U1254" s="3">
        <v>1</v>
      </c>
      <c r="V1254" s="3">
        <v>1</v>
      </c>
    </row>
    <row r="1255" spans="1:22" x14ac:dyDescent="0.25">
      <c r="A1255" s="2">
        <v>2017</v>
      </c>
      <c r="B1255" t="s">
        <v>50</v>
      </c>
      <c r="C1255" t="s">
        <v>22</v>
      </c>
      <c r="D1255" s="2">
        <v>70</v>
      </c>
      <c r="E1255" s="2">
        <v>8358</v>
      </c>
      <c r="F1255" t="s">
        <v>365</v>
      </c>
      <c r="G1255">
        <v>2</v>
      </c>
      <c r="H1255">
        <v>2</v>
      </c>
      <c r="I1255">
        <v>0</v>
      </c>
      <c r="J1255">
        <v>0</v>
      </c>
      <c r="K1255">
        <v>0</v>
      </c>
      <c r="L1255" s="6">
        <f t="shared" si="122"/>
        <v>1</v>
      </c>
      <c r="M1255">
        <v>48</v>
      </c>
      <c r="N1255">
        <v>8</v>
      </c>
      <c r="O1255" s="9">
        <v>0</v>
      </c>
      <c r="P1255">
        <v>0</v>
      </c>
      <c r="Q1255">
        <v>23</v>
      </c>
      <c r="R1255">
        <v>0</v>
      </c>
      <c r="S1255">
        <v>16</v>
      </c>
      <c r="T1255">
        <v>1</v>
      </c>
      <c r="U1255" s="3">
        <v>1</v>
      </c>
      <c r="V1255" s="3">
        <v>1</v>
      </c>
    </row>
    <row r="1256" spans="1:22" x14ac:dyDescent="0.25">
      <c r="A1256" s="2">
        <v>2017</v>
      </c>
      <c r="B1256" t="s">
        <v>50</v>
      </c>
      <c r="C1256" t="s">
        <v>22</v>
      </c>
      <c r="D1256" s="2">
        <v>145</v>
      </c>
      <c r="E1256" s="2">
        <v>5597</v>
      </c>
      <c r="F1256" t="s">
        <v>33</v>
      </c>
      <c r="G1256">
        <v>5</v>
      </c>
      <c r="H1256">
        <v>5</v>
      </c>
      <c r="I1256">
        <v>0</v>
      </c>
      <c r="J1256">
        <v>0</v>
      </c>
      <c r="K1256">
        <v>0</v>
      </c>
      <c r="L1256" s="6">
        <f t="shared" si="122"/>
        <v>1</v>
      </c>
      <c r="M1256">
        <v>82</v>
      </c>
      <c r="N1256">
        <v>13</v>
      </c>
      <c r="O1256" s="9">
        <v>0</v>
      </c>
      <c r="P1256">
        <v>0</v>
      </c>
      <c r="Q1256">
        <v>30</v>
      </c>
      <c r="R1256">
        <v>0</v>
      </c>
      <c r="S1256">
        <v>39</v>
      </c>
      <c r="T1256">
        <v>0</v>
      </c>
      <c r="U1256" s="3">
        <v>1</v>
      </c>
      <c r="V1256" s="3">
        <v>1</v>
      </c>
    </row>
    <row r="1257" spans="1:22" x14ac:dyDescent="0.25">
      <c r="A1257" s="2">
        <v>2017</v>
      </c>
      <c r="B1257" t="s">
        <v>50</v>
      </c>
      <c r="C1257" t="s">
        <v>22</v>
      </c>
      <c r="D1257" s="2">
        <v>1</v>
      </c>
      <c r="E1257" s="2">
        <v>6777</v>
      </c>
      <c r="F1257" t="s">
        <v>34</v>
      </c>
      <c r="G1257">
        <v>1</v>
      </c>
      <c r="H1257">
        <v>1</v>
      </c>
      <c r="I1257">
        <v>0</v>
      </c>
      <c r="J1257">
        <v>0</v>
      </c>
      <c r="K1257">
        <v>0</v>
      </c>
      <c r="L1257" s="6">
        <f t="shared" si="122"/>
        <v>1</v>
      </c>
      <c r="M1257">
        <v>9</v>
      </c>
      <c r="N1257">
        <v>2</v>
      </c>
      <c r="O1257" s="9">
        <v>0</v>
      </c>
      <c r="P1257">
        <v>0</v>
      </c>
      <c r="Q1257">
        <v>3</v>
      </c>
      <c r="R1257">
        <v>0</v>
      </c>
      <c r="S1257">
        <v>4</v>
      </c>
      <c r="T1257">
        <v>0</v>
      </c>
      <c r="U1257" s="3">
        <v>1</v>
      </c>
      <c r="V1257" s="3">
        <v>1</v>
      </c>
    </row>
    <row r="1258" spans="1:22" x14ac:dyDescent="0.25">
      <c r="A1258" s="2">
        <v>2017</v>
      </c>
      <c r="B1258" t="s">
        <v>50</v>
      </c>
      <c r="C1258" t="s">
        <v>22</v>
      </c>
      <c r="D1258" s="2">
        <v>65</v>
      </c>
      <c r="E1258" s="2">
        <v>7806</v>
      </c>
      <c r="F1258" t="s">
        <v>328</v>
      </c>
      <c r="G1258">
        <v>22</v>
      </c>
      <c r="H1258">
        <v>21</v>
      </c>
      <c r="I1258">
        <v>0</v>
      </c>
      <c r="J1258">
        <v>0</v>
      </c>
      <c r="K1258">
        <v>1</v>
      </c>
      <c r="L1258" s="6">
        <f t="shared" si="122"/>
        <v>0.95454545454545459</v>
      </c>
      <c r="M1258">
        <v>348</v>
      </c>
      <c r="N1258">
        <v>66</v>
      </c>
      <c r="O1258" s="9">
        <v>0</v>
      </c>
      <c r="P1258">
        <v>1</v>
      </c>
      <c r="Q1258">
        <v>152</v>
      </c>
      <c r="R1258">
        <v>7</v>
      </c>
      <c r="S1258">
        <v>118</v>
      </c>
      <c r="T1258">
        <v>4</v>
      </c>
      <c r="U1258" s="3">
        <v>0.97701149425287359</v>
      </c>
      <c r="V1258" s="3">
        <v>0.9756756756756757</v>
      </c>
    </row>
    <row r="1259" spans="1:22" x14ac:dyDescent="0.25">
      <c r="A1259" s="2">
        <v>2017</v>
      </c>
      <c r="B1259" t="s">
        <v>50</v>
      </c>
      <c r="C1259" t="s">
        <v>22</v>
      </c>
      <c r="D1259" s="2">
        <v>27</v>
      </c>
      <c r="E1259" s="2">
        <v>4492</v>
      </c>
      <c r="F1259" t="s">
        <v>367</v>
      </c>
      <c r="G1259">
        <v>26</v>
      </c>
      <c r="H1259">
        <v>26</v>
      </c>
      <c r="I1259">
        <v>0</v>
      </c>
      <c r="J1259">
        <v>0</v>
      </c>
      <c r="K1259">
        <v>0</v>
      </c>
      <c r="L1259" s="6">
        <f t="shared" si="122"/>
        <v>1</v>
      </c>
      <c r="M1259">
        <v>388</v>
      </c>
      <c r="N1259">
        <v>71</v>
      </c>
      <c r="O1259" s="9">
        <v>0</v>
      </c>
      <c r="P1259">
        <v>0</v>
      </c>
      <c r="Q1259">
        <v>197</v>
      </c>
      <c r="R1259">
        <v>5</v>
      </c>
      <c r="S1259">
        <v>113</v>
      </c>
      <c r="T1259">
        <v>2</v>
      </c>
      <c r="U1259" s="3">
        <v>0.98711340206185572</v>
      </c>
      <c r="V1259" s="3">
        <v>0.98792270531400961</v>
      </c>
    </row>
    <row r="1260" spans="1:22" x14ac:dyDescent="0.25">
      <c r="A1260" s="2">
        <v>2017</v>
      </c>
      <c r="B1260" t="s">
        <v>50</v>
      </c>
      <c r="C1260" t="s">
        <v>22</v>
      </c>
      <c r="D1260" s="2">
        <v>156</v>
      </c>
      <c r="E1260" s="2">
        <v>124582</v>
      </c>
      <c r="F1260" t="s">
        <v>438</v>
      </c>
      <c r="G1260">
        <v>18</v>
      </c>
      <c r="H1260">
        <v>18</v>
      </c>
      <c r="I1260">
        <v>0</v>
      </c>
      <c r="J1260">
        <v>0</v>
      </c>
      <c r="K1260">
        <v>0</v>
      </c>
      <c r="L1260" s="6">
        <f t="shared" si="122"/>
        <v>1</v>
      </c>
      <c r="M1260">
        <v>154</v>
      </c>
      <c r="N1260">
        <v>32</v>
      </c>
      <c r="O1260" s="9">
        <v>0</v>
      </c>
      <c r="P1260">
        <v>0</v>
      </c>
      <c r="Q1260">
        <v>58</v>
      </c>
      <c r="R1260">
        <v>0</v>
      </c>
      <c r="S1260">
        <v>64</v>
      </c>
      <c r="T1260">
        <v>0</v>
      </c>
      <c r="U1260" s="3">
        <v>1</v>
      </c>
      <c r="V1260" s="3">
        <v>1</v>
      </c>
    </row>
    <row r="1261" spans="1:22" x14ac:dyDescent="0.25">
      <c r="A1261" s="2">
        <v>2017</v>
      </c>
      <c r="B1261" t="s">
        <v>50</v>
      </c>
      <c r="C1261" t="s">
        <v>22</v>
      </c>
      <c r="D1261" s="2">
        <v>45</v>
      </c>
      <c r="E1261" s="2">
        <v>7400</v>
      </c>
      <c r="F1261" t="s">
        <v>416</v>
      </c>
      <c r="G1261">
        <v>0</v>
      </c>
      <c r="H1261">
        <v>0</v>
      </c>
      <c r="I1261">
        <v>0</v>
      </c>
      <c r="J1261">
        <v>0</v>
      </c>
      <c r="K1261">
        <v>0</v>
      </c>
      <c r="L1261" s="6">
        <f t="shared" si="122"/>
        <v>0</v>
      </c>
      <c r="M1261">
        <v>1</v>
      </c>
      <c r="N1261">
        <v>1</v>
      </c>
      <c r="O1261" s="9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s="3">
        <v>1</v>
      </c>
      <c r="V1261" s="3">
        <v>1</v>
      </c>
    </row>
    <row r="1262" spans="1:22" x14ac:dyDescent="0.25">
      <c r="A1262" s="2">
        <v>2017</v>
      </c>
      <c r="B1262" t="s">
        <v>50</v>
      </c>
      <c r="C1262" t="s">
        <v>22</v>
      </c>
      <c r="D1262" s="2">
        <v>158</v>
      </c>
      <c r="E1262" s="2">
        <v>886</v>
      </c>
      <c r="F1262" t="s">
        <v>435</v>
      </c>
      <c r="G1262">
        <v>2</v>
      </c>
      <c r="H1262">
        <v>2</v>
      </c>
      <c r="I1262">
        <v>0</v>
      </c>
      <c r="J1262">
        <v>0</v>
      </c>
      <c r="K1262">
        <v>0</v>
      </c>
      <c r="L1262" s="6">
        <f t="shared" si="122"/>
        <v>1</v>
      </c>
      <c r="M1262">
        <v>169</v>
      </c>
      <c r="N1262">
        <v>30</v>
      </c>
      <c r="O1262" s="9">
        <v>0</v>
      </c>
      <c r="P1262">
        <v>0</v>
      </c>
      <c r="Q1262">
        <v>101</v>
      </c>
      <c r="R1262">
        <v>0</v>
      </c>
      <c r="S1262">
        <v>38</v>
      </c>
      <c r="T1262">
        <v>0</v>
      </c>
      <c r="U1262" s="3">
        <v>1</v>
      </c>
      <c r="V1262" s="3">
        <v>1</v>
      </c>
    </row>
    <row r="1263" spans="1:22" x14ac:dyDescent="0.25">
      <c r="A1263" s="2">
        <v>2017</v>
      </c>
      <c r="B1263" t="s">
        <v>50</v>
      </c>
      <c r="C1263" t="s">
        <v>22</v>
      </c>
      <c r="D1263" s="2">
        <v>25</v>
      </c>
      <c r="E1263" s="2">
        <v>4357</v>
      </c>
      <c r="F1263" t="s">
        <v>369</v>
      </c>
      <c r="G1263">
        <v>35</v>
      </c>
      <c r="H1263">
        <v>34</v>
      </c>
      <c r="I1263">
        <v>0</v>
      </c>
      <c r="J1263">
        <v>0</v>
      </c>
      <c r="K1263">
        <v>1</v>
      </c>
      <c r="L1263" s="6">
        <f t="shared" si="122"/>
        <v>0.97142857142857142</v>
      </c>
      <c r="M1263">
        <v>422</v>
      </c>
      <c r="N1263">
        <v>89</v>
      </c>
      <c r="O1263" s="9">
        <v>0</v>
      </c>
      <c r="P1263">
        <v>0</v>
      </c>
      <c r="Q1263">
        <v>177</v>
      </c>
      <c r="R1263">
        <v>2</v>
      </c>
      <c r="S1263">
        <v>153</v>
      </c>
      <c r="T1263">
        <v>1</v>
      </c>
      <c r="U1263" s="3">
        <v>0.99526066350710896</v>
      </c>
      <c r="V1263" s="3">
        <v>0.99343544857768051</v>
      </c>
    </row>
    <row r="1264" spans="1:22" x14ac:dyDescent="0.25">
      <c r="A1264" s="2">
        <v>2017</v>
      </c>
      <c r="B1264" t="s">
        <v>50</v>
      </c>
      <c r="C1264" t="s">
        <v>22</v>
      </c>
      <c r="D1264" s="2">
        <v>184</v>
      </c>
      <c r="E1264" s="2">
        <v>120870</v>
      </c>
      <c r="F1264" t="s">
        <v>371</v>
      </c>
      <c r="G1264">
        <v>12</v>
      </c>
      <c r="H1264">
        <v>12</v>
      </c>
      <c r="I1264">
        <v>0</v>
      </c>
      <c r="J1264">
        <v>0</v>
      </c>
      <c r="K1264">
        <v>0</v>
      </c>
      <c r="L1264" s="6">
        <f t="shared" si="122"/>
        <v>1</v>
      </c>
      <c r="M1264">
        <v>510</v>
      </c>
      <c r="N1264">
        <v>99</v>
      </c>
      <c r="O1264" s="9">
        <v>0</v>
      </c>
      <c r="P1264">
        <v>1</v>
      </c>
      <c r="Q1264">
        <v>236</v>
      </c>
      <c r="R1264">
        <v>1</v>
      </c>
      <c r="S1264">
        <v>170</v>
      </c>
      <c r="T1264">
        <v>3</v>
      </c>
      <c r="U1264" s="3">
        <v>0.99607843137254903</v>
      </c>
      <c r="V1264" s="3">
        <v>0.99616858237547889</v>
      </c>
    </row>
    <row r="1265" spans="1:22" x14ac:dyDescent="0.25">
      <c r="A1265" s="2">
        <v>2017</v>
      </c>
      <c r="B1265" t="s">
        <v>50</v>
      </c>
      <c r="C1265" t="s">
        <v>22</v>
      </c>
      <c r="D1265" s="2">
        <v>162</v>
      </c>
      <c r="E1265" s="2">
        <v>124131</v>
      </c>
      <c r="F1265" t="s">
        <v>439</v>
      </c>
      <c r="G1265">
        <v>0</v>
      </c>
      <c r="H1265">
        <v>0</v>
      </c>
      <c r="I1265">
        <v>0</v>
      </c>
      <c r="J1265">
        <v>0</v>
      </c>
      <c r="K1265">
        <v>0</v>
      </c>
      <c r="L1265" s="6">
        <f t="shared" si="122"/>
        <v>0</v>
      </c>
      <c r="M1265">
        <v>22</v>
      </c>
      <c r="N1265">
        <v>7</v>
      </c>
      <c r="O1265" s="9">
        <v>0</v>
      </c>
      <c r="P1265">
        <v>0</v>
      </c>
      <c r="Q1265">
        <v>9</v>
      </c>
      <c r="R1265">
        <v>0</v>
      </c>
      <c r="S1265">
        <v>6</v>
      </c>
      <c r="T1265">
        <v>0</v>
      </c>
      <c r="U1265" s="3">
        <v>1</v>
      </c>
      <c r="V1265" s="3">
        <v>1</v>
      </c>
    </row>
    <row r="1266" spans="1:22" x14ac:dyDescent="0.25">
      <c r="A1266" s="2">
        <v>2017</v>
      </c>
      <c r="B1266" t="s">
        <v>50</v>
      </c>
      <c r="C1266" t="s">
        <v>22</v>
      </c>
      <c r="D1266" s="2">
        <v>129</v>
      </c>
      <c r="E1266" s="2">
        <v>5246</v>
      </c>
      <c r="F1266" t="s">
        <v>347</v>
      </c>
      <c r="G1266">
        <v>4</v>
      </c>
      <c r="H1266">
        <v>4</v>
      </c>
      <c r="I1266">
        <v>0</v>
      </c>
      <c r="J1266">
        <v>0</v>
      </c>
      <c r="K1266">
        <v>0</v>
      </c>
      <c r="L1266" s="6">
        <f t="shared" si="122"/>
        <v>1</v>
      </c>
      <c r="M1266">
        <v>87</v>
      </c>
      <c r="N1266">
        <v>24</v>
      </c>
      <c r="O1266" s="9">
        <v>0</v>
      </c>
      <c r="P1266">
        <v>0</v>
      </c>
      <c r="Q1266">
        <v>30</v>
      </c>
      <c r="R1266">
        <v>0</v>
      </c>
      <c r="S1266">
        <v>33</v>
      </c>
      <c r="T1266">
        <v>0</v>
      </c>
      <c r="U1266" s="3">
        <v>1</v>
      </c>
      <c r="V1266" s="3">
        <v>1</v>
      </c>
    </row>
    <row r="1267" spans="1:22" x14ac:dyDescent="0.25">
      <c r="A1267" s="2">
        <v>2017</v>
      </c>
      <c r="B1267" t="s">
        <v>50</v>
      </c>
      <c r="C1267" t="s">
        <v>22</v>
      </c>
      <c r="D1267" s="2">
        <v>142</v>
      </c>
      <c r="E1267" s="2">
        <v>122502</v>
      </c>
      <c r="F1267" t="s">
        <v>372</v>
      </c>
      <c r="G1267">
        <v>21</v>
      </c>
      <c r="H1267">
        <v>21</v>
      </c>
      <c r="I1267">
        <v>0</v>
      </c>
      <c r="J1267">
        <v>0</v>
      </c>
      <c r="K1267">
        <v>0</v>
      </c>
      <c r="L1267" s="6">
        <f t="shared" si="122"/>
        <v>1</v>
      </c>
      <c r="M1267">
        <v>207</v>
      </c>
      <c r="N1267">
        <v>26</v>
      </c>
      <c r="O1267" s="9">
        <v>0</v>
      </c>
      <c r="P1267">
        <v>0</v>
      </c>
      <c r="Q1267">
        <v>85</v>
      </c>
      <c r="R1267">
        <v>3</v>
      </c>
      <c r="S1267">
        <v>90</v>
      </c>
      <c r="T1267">
        <v>3</v>
      </c>
      <c r="U1267" s="3">
        <v>0.98550724637681164</v>
      </c>
      <c r="V1267" s="3">
        <v>0.98684210526315785</v>
      </c>
    </row>
    <row r="1268" spans="1:22" x14ac:dyDescent="0.25">
      <c r="A1268" s="2">
        <v>2017</v>
      </c>
      <c r="B1268" t="s">
        <v>50</v>
      </c>
      <c r="C1268" t="s">
        <v>20</v>
      </c>
      <c r="D1268" s="2">
        <v>528</v>
      </c>
      <c r="E1268" s="2">
        <v>10623</v>
      </c>
      <c r="F1268" t="s">
        <v>42</v>
      </c>
      <c r="G1268">
        <v>0</v>
      </c>
      <c r="H1268">
        <v>0</v>
      </c>
      <c r="I1268">
        <v>0</v>
      </c>
      <c r="J1268">
        <v>0</v>
      </c>
      <c r="K1268">
        <v>0</v>
      </c>
      <c r="L1268" s="6">
        <f t="shared" si="122"/>
        <v>0</v>
      </c>
      <c r="M1268">
        <v>2</v>
      </c>
      <c r="N1268">
        <v>0</v>
      </c>
      <c r="O1268" s="9">
        <v>0</v>
      </c>
      <c r="P1268">
        <v>0</v>
      </c>
      <c r="Q1268">
        <v>2</v>
      </c>
      <c r="R1268">
        <v>0</v>
      </c>
      <c r="S1268">
        <v>0</v>
      </c>
      <c r="T1268">
        <v>0</v>
      </c>
      <c r="U1268" s="3">
        <v>1</v>
      </c>
      <c r="V1268" s="3">
        <v>1</v>
      </c>
    </row>
    <row r="1269" spans="1:22" x14ac:dyDescent="0.25">
      <c r="A1269" s="2">
        <v>2017</v>
      </c>
      <c r="B1269" t="s">
        <v>50</v>
      </c>
      <c r="C1269" t="s">
        <v>20</v>
      </c>
      <c r="D1269" s="2">
        <v>578</v>
      </c>
      <c r="E1269" s="2">
        <v>122349</v>
      </c>
      <c r="F1269" t="s">
        <v>43</v>
      </c>
      <c r="G1269">
        <v>7</v>
      </c>
      <c r="H1269">
        <v>7</v>
      </c>
      <c r="I1269">
        <v>0</v>
      </c>
      <c r="J1269">
        <v>0</v>
      </c>
      <c r="K1269">
        <v>0</v>
      </c>
      <c r="L1269" s="6">
        <f t="shared" si="122"/>
        <v>1</v>
      </c>
      <c r="M1269">
        <v>109</v>
      </c>
      <c r="N1269">
        <v>10</v>
      </c>
      <c r="O1269" s="9">
        <v>0</v>
      </c>
      <c r="P1269">
        <v>0</v>
      </c>
      <c r="Q1269">
        <v>55</v>
      </c>
      <c r="R1269">
        <v>0</v>
      </c>
      <c r="S1269">
        <v>43</v>
      </c>
      <c r="T1269">
        <v>1</v>
      </c>
      <c r="U1269" s="3">
        <v>1</v>
      </c>
      <c r="V1269" s="3">
        <v>1</v>
      </c>
    </row>
    <row r="1270" spans="1:22" x14ac:dyDescent="0.25">
      <c r="A1270" s="2">
        <v>2017</v>
      </c>
      <c r="B1270" t="s">
        <v>50</v>
      </c>
      <c r="C1270" t="s">
        <v>20</v>
      </c>
      <c r="D1270" s="2">
        <v>590</v>
      </c>
      <c r="E1270" s="2">
        <v>122682</v>
      </c>
      <c r="F1270" t="s">
        <v>334</v>
      </c>
      <c r="G1270">
        <v>11</v>
      </c>
      <c r="H1270">
        <v>11</v>
      </c>
      <c r="I1270">
        <v>0</v>
      </c>
      <c r="J1270">
        <v>0</v>
      </c>
      <c r="K1270">
        <v>0</v>
      </c>
      <c r="L1270" s="6">
        <f t="shared" si="122"/>
        <v>1</v>
      </c>
      <c r="M1270">
        <v>85</v>
      </c>
      <c r="N1270">
        <v>8</v>
      </c>
      <c r="O1270" s="9">
        <v>0</v>
      </c>
      <c r="P1270">
        <v>0</v>
      </c>
      <c r="Q1270">
        <v>41</v>
      </c>
      <c r="R1270">
        <v>0</v>
      </c>
      <c r="S1270">
        <v>36</v>
      </c>
      <c r="T1270">
        <v>0</v>
      </c>
      <c r="U1270" s="3">
        <v>1</v>
      </c>
      <c r="V1270" s="3">
        <v>1</v>
      </c>
    </row>
    <row r="1271" spans="1:22" x14ac:dyDescent="0.25">
      <c r="A1271" s="2">
        <v>2017</v>
      </c>
      <c r="B1271" t="s">
        <v>50</v>
      </c>
      <c r="C1271" t="s">
        <v>20</v>
      </c>
      <c r="D1271" s="2">
        <v>586</v>
      </c>
      <c r="E1271" s="2">
        <v>122754</v>
      </c>
      <c r="F1271" t="s">
        <v>335</v>
      </c>
      <c r="G1271">
        <v>20</v>
      </c>
      <c r="H1271">
        <v>19</v>
      </c>
      <c r="I1271">
        <v>0</v>
      </c>
      <c r="J1271">
        <v>0</v>
      </c>
      <c r="K1271">
        <v>1</v>
      </c>
      <c r="L1271" s="6">
        <f t="shared" si="122"/>
        <v>0.95</v>
      </c>
      <c r="M1271">
        <v>191</v>
      </c>
      <c r="N1271">
        <v>17</v>
      </c>
      <c r="O1271" s="9">
        <v>0</v>
      </c>
      <c r="P1271">
        <v>0</v>
      </c>
      <c r="Q1271">
        <v>99</v>
      </c>
      <c r="R1271">
        <v>0</v>
      </c>
      <c r="S1271">
        <v>75</v>
      </c>
      <c r="T1271">
        <v>0</v>
      </c>
      <c r="U1271" s="3">
        <v>1</v>
      </c>
      <c r="V1271" s="3">
        <v>0.99526066350710896</v>
      </c>
    </row>
    <row r="1272" spans="1:22" x14ac:dyDescent="0.25">
      <c r="A1272" s="2">
        <v>2017</v>
      </c>
      <c r="B1272" t="s">
        <v>50</v>
      </c>
      <c r="C1272" t="s">
        <v>20</v>
      </c>
      <c r="D1272" s="2">
        <v>336</v>
      </c>
      <c r="E1272" s="2">
        <v>9790</v>
      </c>
      <c r="F1272" t="s">
        <v>433</v>
      </c>
      <c r="G1272">
        <v>0</v>
      </c>
      <c r="H1272">
        <v>0</v>
      </c>
      <c r="I1272">
        <v>0</v>
      </c>
      <c r="J1272">
        <v>0</v>
      </c>
      <c r="K1272">
        <v>0</v>
      </c>
      <c r="L1272" s="6">
        <f t="shared" si="122"/>
        <v>0</v>
      </c>
      <c r="M1272">
        <v>1</v>
      </c>
      <c r="N1272">
        <v>0</v>
      </c>
      <c r="O1272" s="9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 s="3">
        <v>1</v>
      </c>
      <c r="V1272" s="3">
        <v>1</v>
      </c>
    </row>
    <row r="1273" spans="1:22" x14ac:dyDescent="0.25">
      <c r="A1273" s="2">
        <v>2017</v>
      </c>
      <c r="B1273" t="s">
        <v>50</v>
      </c>
      <c r="C1273" t="s">
        <v>20</v>
      </c>
      <c r="D1273" s="2">
        <v>560</v>
      </c>
      <c r="E1273" s="2">
        <v>119664</v>
      </c>
      <c r="F1273" t="s">
        <v>336</v>
      </c>
      <c r="G1273">
        <v>0</v>
      </c>
      <c r="H1273">
        <v>0</v>
      </c>
      <c r="I1273">
        <v>0</v>
      </c>
      <c r="J1273">
        <v>0</v>
      </c>
      <c r="K1273">
        <v>0</v>
      </c>
      <c r="L1273" s="6">
        <f t="shared" si="122"/>
        <v>0</v>
      </c>
      <c r="M1273">
        <v>1</v>
      </c>
      <c r="N1273">
        <v>0</v>
      </c>
      <c r="O1273" s="9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 s="3">
        <v>1</v>
      </c>
      <c r="V1273" s="3">
        <v>1</v>
      </c>
    </row>
    <row r="1274" spans="1:22" x14ac:dyDescent="0.25">
      <c r="A1274" s="2">
        <v>2017</v>
      </c>
      <c r="B1274" t="s">
        <v>50</v>
      </c>
      <c r="C1274" t="s">
        <v>20</v>
      </c>
      <c r="D1274" s="2">
        <v>527</v>
      </c>
      <c r="E1274" s="2">
        <v>9715</v>
      </c>
      <c r="F1274" t="s">
        <v>337</v>
      </c>
      <c r="G1274">
        <v>57</v>
      </c>
      <c r="H1274">
        <v>57</v>
      </c>
      <c r="I1274">
        <v>0</v>
      </c>
      <c r="J1274">
        <v>0</v>
      </c>
      <c r="K1274">
        <v>0</v>
      </c>
      <c r="L1274" s="6">
        <f t="shared" si="122"/>
        <v>1</v>
      </c>
      <c r="M1274">
        <v>563</v>
      </c>
      <c r="N1274">
        <v>55</v>
      </c>
      <c r="O1274" s="9">
        <v>0</v>
      </c>
      <c r="P1274">
        <v>1</v>
      </c>
      <c r="Q1274">
        <v>280</v>
      </c>
      <c r="R1274">
        <v>1</v>
      </c>
      <c r="S1274">
        <v>226</v>
      </c>
      <c r="T1274">
        <v>0</v>
      </c>
      <c r="U1274" s="3">
        <v>0.99644760213143868</v>
      </c>
      <c r="V1274" s="3">
        <v>0.99677419354838714</v>
      </c>
    </row>
    <row r="1275" spans="1:22" x14ac:dyDescent="0.25">
      <c r="A1275" s="2">
        <v>2017</v>
      </c>
      <c r="B1275" t="s">
        <v>50</v>
      </c>
      <c r="C1275" t="s">
        <v>20</v>
      </c>
      <c r="D1275" s="2">
        <v>404</v>
      </c>
      <c r="E1275" s="2">
        <v>6777</v>
      </c>
      <c r="F1275" t="s">
        <v>34</v>
      </c>
      <c r="G1275">
        <v>1</v>
      </c>
      <c r="H1275">
        <v>1</v>
      </c>
      <c r="I1275">
        <v>0</v>
      </c>
      <c r="J1275">
        <v>0</v>
      </c>
      <c r="K1275">
        <v>0</v>
      </c>
      <c r="L1275" s="6">
        <f t="shared" si="122"/>
        <v>1</v>
      </c>
      <c r="M1275">
        <v>42</v>
      </c>
      <c r="N1275">
        <v>2</v>
      </c>
      <c r="O1275" s="9">
        <v>0</v>
      </c>
      <c r="P1275">
        <v>0</v>
      </c>
      <c r="Q1275">
        <v>25</v>
      </c>
      <c r="R1275">
        <v>0</v>
      </c>
      <c r="S1275">
        <v>14</v>
      </c>
      <c r="T1275">
        <v>1</v>
      </c>
      <c r="U1275" s="3">
        <v>1</v>
      </c>
      <c r="V1275" s="3">
        <v>1</v>
      </c>
    </row>
    <row r="1276" spans="1:22" x14ac:dyDescent="0.25">
      <c r="A1276" s="2">
        <v>2017</v>
      </c>
      <c r="B1276" t="s">
        <v>50</v>
      </c>
      <c r="C1276" t="s">
        <v>20</v>
      </c>
      <c r="D1276" s="2">
        <v>559</v>
      </c>
      <c r="E1276" s="2">
        <v>8697</v>
      </c>
      <c r="F1276" t="s">
        <v>368</v>
      </c>
      <c r="G1276">
        <v>16</v>
      </c>
      <c r="H1276">
        <v>16</v>
      </c>
      <c r="I1276">
        <v>0</v>
      </c>
      <c r="J1276">
        <v>0</v>
      </c>
      <c r="K1276">
        <v>0</v>
      </c>
      <c r="L1276" s="6">
        <f t="shared" si="122"/>
        <v>1</v>
      </c>
      <c r="M1276">
        <v>125</v>
      </c>
      <c r="N1276">
        <v>15</v>
      </c>
      <c r="O1276" s="9">
        <v>0</v>
      </c>
      <c r="P1276">
        <v>0</v>
      </c>
      <c r="Q1276">
        <v>57</v>
      </c>
      <c r="R1276">
        <v>0</v>
      </c>
      <c r="S1276">
        <v>53</v>
      </c>
      <c r="T1276">
        <v>0</v>
      </c>
      <c r="U1276" s="3">
        <v>1</v>
      </c>
      <c r="V1276" s="3">
        <v>1</v>
      </c>
    </row>
    <row r="1277" spans="1:22" x14ac:dyDescent="0.25">
      <c r="A1277" s="2">
        <v>2017</v>
      </c>
      <c r="B1277" t="s">
        <v>50</v>
      </c>
      <c r="C1277" t="s">
        <v>20</v>
      </c>
      <c r="D1277" s="2">
        <v>455</v>
      </c>
      <c r="E1277" s="2">
        <v>7401</v>
      </c>
      <c r="F1277" t="s">
        <v>36</v>
      </c>
      <c r="G1277">
        <v>19</v>
      </c>
      <c r="H1277">
        <v>19</v>
      </c>
      <c r="I1277">
        <v>0</v>
      </c>
      <c r="J1277">
        <v>0</v>
      </c>
      <c r="K1277">
        <v>0</v>
      </c>
      <c r="L1277" s="6">
        <f t="shared" si="122"/>
        <v>1</v>
      </c>
      <c r="M1277">
        <v>110</v>
      </c>
      <c r="N1277">
        <v>13</v>
      </c>
      <c r="O1277" s="9">
        <v>0</v>
      </c>
      <c r="P1277">
        <v>0</v>
      </c>
      <c r="Q1277">
        <v>46</v>
      </c>
      <c r="R1277">
        <v>0</v>
      </c>
      <c r="S1277">
        <v>51</v>
      </c>
      <c r="T1277">
        <v>0</v>
      </c>
      <c r="U1277" s="3">
        <v>1</v>
      </c>
      <c r="V1277" s="3">
        <v>1</v>
      </c>
    </row>
    <row r="1278" spans="1:22" x14ac:dyDescent="0.25">
      <c r="A1278" s="2">
        <v>2017</v>
      </c>
      <c r="B1278" t="s">
        <v>50</v>
      </c>
      <c r="C1278" t="s">
        <v>20</v>
      </c>
      <c r="D1278" s="2">
        <v>356</v>
      </c>
      <c r="E1278" s="2">
        <v>1674</v>
      </c>
      <c r="F1278" t="s">
        <v>340</v>
      </c>
      <c r="G1278">
        <v>6</v>
      </c>
      <c r="H1278">
        <v>6</v>
      </c>
      <c r="I1278">
        <v>0</v>
      </c>
      <c r="J1278">
        <v>0</v>
      </c>
      <c r="K1278">
        <v>0</v>
      </c>
      <c r="L1278" s="6">
        <f t="shared" si="122"/>
        <v>1</v>
      </c>
      <c r="M1278">
        <v>146</v>
      </c>
      <c r="N1278">
        <v>19</v>
      </c>
      <c r="O1278" s="9">
        <v>0</v>
      </c>
      <c r="P1278">
        <v>0</v>
      </c>
      <c r="Q1278">
        <v>82</v>
      </c>
      <c r="R1278">
        <v>0</v>
      </c>
      <c r="S1278">
        <v>45</v>
      </c>
      <c r="T1278">
        <v>0</v>
      </c>
      <c r="U1278" s="3">
        <v>1</v>
      </c>
      <c r="V1278" s="3">
        <v>1</v>
      </c>
    </row>
    <row r="1279" spans="1:22" x14ac:dyDescent="0.25">
      <c r="A1279" s="2">
        <v>2017</v>
      </c>
      <c r="B1279" t="s">
        <v>50</v>
      </c>
      <c r="C1279" t="s">
        <v>20</v>
      </c>
      <c r="D1279" s="2">
        <v>842</v>
      </c>
      <c r="E1279" s="2">
        <v>5618</v>
      </c>
      <c r="F1279" t="s">
        <v>37</v>
      </c>
      <c r="G1279">
        <v>3</v>
      </c>
      <c r="H1279">
        <v>3</v>
      </c>
      <c r="I1279">
        <v>0</v>
      </c>
      <c r="J1279">
        <v>0</v>
      </c>
      <c r="K1279">
        <v>0</v>
      </c>
      <c r="L1279" s="6">
        <f t="shared" si="122"/>
        <v>1</v>
      </c>
      <c r="M1279">
        <v>89</v>
      </c>
      <c r="N1279">
        <v>12</v>
      </c>
      <c r="O1279" s="9">
        <v>0</v>
      </c>
      <c r="P1279">
        <v>0</v>
      </c>
      <c r="Q1279">
        <v>41</v>
      </c>
      <c r="R1279">
        <v>0</v>
      </c>
      <c r="S1279">
        <v>36</v>
      </c>
      <c r="T1279">
        <v>0</v>
      </c>
      <c r="U1279" s="3">
        <v>1</v>
      </c>
      <c r="V1279" s="3">
        <v>1</v>
      </c>
    </row>
    <row r="1280" spans="1:22" x14ac:dyDescent="0.25">
      <c r="A1280" s="2">
        <v>2017</v>
      </c>
      <c r="B1280" t="s">
        <v>50</v>
      </c>
      <c r="C1280" t="s">
        <v>20</v>
      </c>
      <c r="D1280" s="2">
        <v>600</v>
      </c>
      <c r="E1280" s="2">
        <v>886</v>
      </c>
      <c r="F1280" t="s">
        <v>435</v>
      </c>
      <c r="G1280">
        <v>2</v>
      </c>
      <c r="H1280">
        <v>2</v>
      </c>
      <c r="I1280">
        <v>0</v>
      </c>
      <c r="J1280">
        <v>0</v>
      </c>
      <c r="K1280">
        <v>0</v>
      </c>
      <c r="L1280" s="6">
        <f t="shared" si="122"/>
        <v>1</v>
      </c>
      <c r="M1280">
        <v>132</v>
      </c>
      <c r="N1280">
        <v>17</v>
      </c>
      <c r="O1280" s="9">
        <v>0</v>
      </c>
      <c r="P1280">
        <v>0</v>
      </c>
      <c r="Q1280">
        <v>83</v>
      </c>
      <c r="R1280">
        <v>0</v>
      </c>
      <c r="S1280">
        <v>29</v>
      </c>
      <c r="T1280">
        <v>3</v>
      </c>
      <c r="U1280" s="3">
        <v>1</v>
      </c>
      <c r="V1280" s="3">
        <v>1</v>
      </c>
    </row>
    <row r="1281" spans="1:22" x14ac:dyDescent="0.25">
      <c r="A1281" s="2">
        <v>2017</v>
      </c>
      <c r="B1281" t="s">
        <v>50</v>
      </c>
      <c r="C1281" t="s">
        <v>20</v>
      </c>
      <c r="D1281" s="2">
        <v>543</v>
      </c>
      <c r="E1281" s="2">
        <v>10917</v>
      </c>
      <c r="F1281" t="s">
        <v>341</v>
      </c>
      <c r="G1281">
        <v>6</v>
      </c>
      <c r="H1281">
        <v>5</v>
      </c>
      <c r="I1281">
        <v>0</v>
      </c>
      <c r="J1281">
        <v>1</v>
      </c>
      <c r="K1281">
        <v>0</v>
      </c>
      <c r="L1281" s="6">
        <f t="shared" si="122"/>
        <v>1</v>
      </c>
      <c r="M1281">
        <v>115</v>
      </c>
      <c r="N1281">
        <v>9</v>
      </c>
      <c r="O1281" s="9">
        <v>0</v>
      </c>
      <c r="P1281">
        <v>0</v>
      </c>
      <c r="Q1281">
        <v>56</v>
      </c>
      <c r="R1281">
        <v>0</v>
      </c>
      <c r="S1281">
        <v>50</v>
      </c>
      <c r="T1281">
        <v>0</v>
      </c>
      <c r="U1281" s="3">
        <v>1</v>
      </c>
      <c r="V1281" s="3">
        <v>1</v>
      </c>
    </row>
    <row r="1282" spans="1:22" x14ac:dyDescent="0.25">
      <c r="A1282" s="2">
        <v>2017</v>
      </c>
      <c r="B1282" t="s">
        <v>50</v>
      </c>
      <c r="C1282" t="s">
        <v>20</v>
      </c>
      <c r="D1282" s="2">
        <v>565</v>
      </c>
      <c r="E1282" s="2">
        <v>9507</v>
      </c>
      <c r="F1282" t="s">
        <v>432</v>
      </c>
      <c r="G1282">
        <v>0</v>
      </c>
      <c r="H1282">
        <v>0</v>
      </c>
      <c r="I1282">
        <v>0</v>
      </c>
      <c r="J1282">
        <v>0</v>
      </c>
      <c r="K1282">
        <v>0</v>
      </c>
      <c r="L1282" s="6">
        <f t="shared" si="122"/>
        <v>0</v>
      </c>
      <c r="M1282">
        <v>82</v>
      </c>
      <c r="N1282">
        <v>10</v>
      </c>
      <c r="O1282" s="9">
        <v>0</v>
      </c>
      <c r="P1282">
        <v>0</v>
      </c>
      <c r="Q1282">
        <v>47</v>
      </c>
      <c r="R1282">
        <v>0</v>
      </c>
      <c r="S1282">
        <v>23</v>
      </c>
      <c r="T1282">
        <v>2</v>
      </c>
      <c r="U1282" s="3">
        <v>1</v>
      </c>
      <c r="V1282" s="3">
        <v>1</v>
      </c>
    </row>
    <row r="1283" spans="1:22" x14ac:dyDescent="0.25">
      <c r="A1283" s="2">
        <v>2017</v>
      </c>
      <c r="B1283" t="s">
        <v>50</v>
      </c>
      <c r="C1283" t="s">
        <v>20</v>
      </c>
      <c r="D1283" s="2">
        <v>576</v>
      </c>
      <c r="E1283" s="2">
        <v>122114</v>
      </c>
      <c r="F1283" t="s">
        <v>342</v>
      </c>
      <c r="G1283">
        <v>3</v>
      </c>
      <c r="H1283">
        <v>3</v>
      </c>
      <c r="I1283">
        <v>0</v>
      </c>
      <c r="J1283">
        <v>0</v>
      </c>
      <c r="K1283">
        <v>0</v>
      </c>
      <c r="L1283" s="6">
        <f t="shared" si="122"/>
        <v>1</v>
      </c>
      <c r="M1283">
        <v>115</v>
      </c>
      <c r="N1283">
        <v>14</v>
      </c>
      <c r="O1283" s="9">
        <v>0</v>
      </c>
      <c r="P1283">
        <v>0</v>
      </c>
      <c r="Q1283">
        <v>55</v>
      </c>
      <c r="R1283">
        <v>0</v>
      </c>
      <c r="S1283">
        <v>46</v>
      </c>
      <c r="T1283">
        <v>0</v>
      </c>
      <c r="U1283" s="3">
        <v>1</v>
      </c>
      <c r="V1283" s="3">
        <v>1</v>
      </c>
    </row>
    <row r="1284" spans="1:22" x14ac:dyDescent="0.25">
      <c r="A1284" s="2">
        <v>2017</v>
      </c>
      <c r="B1284" t="s">
        <v>50</v>
      </c>
      <c r="C1284" t="s">
        <v>20</v>
      </c>
      <c r="D1284" s="2">
        <v>525</v>
      </c>
      <c r="E1284" s="2">
        <v>10340</v>
      </c>
      <c r="F1284" t="s">
        <v>343</v>
      </c>
      <c r="G1284">
        <v>44</v>
      </c>
      <c r="H1284">
        <v>44</v>
      </c>
      <c r="I1284">
        <v>0</v>
      </c>
      <c r="J1284">
        <v>0</v>
      </c>
      <c r="K1284">
        <v>0</v>
      </c>
      <c r="L1284" s="6">
        <f t="shared" si="122"/>
        <v>1</v>
      </c>
      <c r="M1284">
        <v>343</v>
      </c>
      <c r="N1284">
        <v>39</v>
      </c>
      <c r="O1284" s="9">
        <v>0</v>
      </c>
      <c r="P1284">
        <v>1</v>
      </c>
      <c r="Q1284">
        <v>146</v>
      </c>
      <c r="R1284">
        <v>2</v>
      </c>
      <c r="S1284">
        <v>154</v>
      </c>
      <c r="T1284">
        <v>1</v>
      </c>
      <c r="U1284" s="3">
        <v>0.99125364431486884</v>
      </c>
      <c r="V1284" s="3">
        <v>0.99224806201550386</v>
      </c>
    </row>
    <row r="1285" spans="1:22" x14ac:dyDescent="0.25">
      <c r="A1285" s="2">
        <v>2017</v>
      </c>
      <c r="B1285" t="s">
        <v>50</v>
      </c>
      <c r="C1285" t="s">
        <v>20</v>
      </c>
      <c r="D1285" s="2">
        <v>588</v>
      </c>
      <c r="E1285" s="2">
        <v>122737</v>
      </c>
      <c r="F1285" t="s">
        <v>352</v>
      </c>
      <c r="G1285">
        <v>6</v>
      </c>
      <c r="H1285">
        <v>6</v>
      </c>
      <c r="I1285">
        <v>0</v>
      </c>
      <c r="J1285">
        <v>0</v>
      </c>
      <c r="K1285">
        <v>0</v>
      </c>
      <c r="L1285" s="6">
        <f t="shared" si="122"/>
        <v>1</v>
      </c>
      <c r="M1285">
        <v>399</v>
      </c>
      <c r="N1285">
        <v>36</v>
      </c>
      <c r="O1285" s="9">
        <v>0</v>
      </c>
      <c r="P1285">
        <v>0</v>
      </c>
      <c r="Q1285">
        <v>251</v>
      </c>
      <c r="R1285">
        <v>1</v>
      </c>
      <c r="S1285">
        <v>110</v>
      </c>
      <c r="T1285">
        <v>1</v>
      </c>
      <c r="U1285" s="3">
        <v>0.99749373433583954</v>
      </c>
      <c r="V1285" s="3">
        <v>0.9975308641975309</v>
      </c>
    </row>
    <row r="1286" spans="1:22" x14ac:dyDescent="0.25">
      <c r="A1286" s="2">
        <v>2017</v>
      </c>
      <c r="B1286" t="s">
        <v>50</v>
      </c>
      <c r="C1286" t="s">
        <v>20</v>
      </c>
      <c r="D1286" s="2">
        <v>550</v>
      </c>
      <c r="E1286" s="2">
        <v>119292</v>
      </c>
      <c r="F1286" t="s">
        <v>344</v>
      </c>
      <c r="G1286">
        <v>9</v>
      </c>
      <c r="H1286">
        <v>9</v>
      </c>
      <c r="I1286">
        <v>0</v>
      </c>
      <c r="J1286">
        <v>0</v>
      </c>
      <c r="K1286">
        <v>0</v>
      </c>
      <c r="L1286" s="6">
        <f t="shared" si="122"/>
        <v>1</v>
      </c>
      <c r="M1286">
        <v>160</v>
      </c>
      <c r="N1286">
        <v>18</v>
      </c>
      <c r="O1286" s="9">
        <v>0</v>
      </c>
      <c r="P1286">
        <v>0</v>
      </c>
      <c r="Q1286">
        <v>82</v>
      </c>
      <c r="R1286">
        <v>0</v>
      </c>
      <c r="S1286">
        <v>59</v>
      </c>
      <c r="T1286">
        <v>1</v>
      </c>
      <c r="U1286" s="3">
        <v>1</v>
      </c>
      <c r="V1286" s="3">
        <v>1</v>
      </c>
    </row>
    <row r="1287" spans="1:22" x14ac:dyDescent="0.25">
      <c r="A1287" s="2">
        <v>2017</v>
      </c>
      <c r="B1287" t="s">
        <v>50</v>
      </c>
      <c r="C1287" t="s">
        <v>20</v>
      </c>
      <c r="D1287" s="2">
        <v>546</v>
      </c>
      <c r="E1287" s="2">
        <v>119467</v>
      </c>
      <c r="F1287" t="s">
        <v>345</v>
      </c>
      <c r="G1287">
        <v>13</v>
      </c>
      <c r="H1287">
        <v>13</v>
      </c>
      <c r="I1287">
        <v>0</v>
      </c>
      <c r="J1287">
        <v>0</v>
      </c>
      <c r="K1287">
        <v>0</v>
      </c>
      <c r="L1287" s="6">
        <f t="shared" si="122"/>
        <v>1</v>
      </c>
      <c r="M1287">
        <v>183</v>
      </c>
      <c r="N1287">
        <v>16</v>
      </c>
      <c r="O1287" s="9">
        <v>0</v>
      </c>
      <c r="P1287">
        <v>0</v>
      </c>
      <c r="Q1287">
        <v>75</v>
      </c>
      <c r="R1287">
        <v>0</v>
      </c>
      <c r="S1287">
        <v>92</v>
      </c>
      <c r="T1287">
        <v>0</v>
      </c>
      <c r="U1287" s="3">
        <v>1</v>
      </c>
      <c r="V1287" s="3">
        <v>1</v>
      </c>
    </row>
    <row r="1288" spans="1:22" x14ac:dyDescent="0.25">
      <c r="A1288" s="2">
        <v>2017</v>
      </c>
      <c r="B1288" t="s">
        <v>50</v>
      </c>
      <c r="C1288" t="s">
        <v>20</v>
      </c>
      <c r="D1288" s="2">
        <v>520</v>
      </c>
      <c r="E1288" s="2">
        <v>8687</v>
      </c>
      <c r="F1288" t="s">
        <v>346</v>
      </c>
      <c r="G1288">
        <v>8</v>
      </c>
      <c r="H1288">
        <v>8</v>
      </c>
      <c r="I1288">
        <v>0</v>
      </c>
      <c r="J1288">
        <v>0</v>
      </c>
      <c r="K1288">
        <v>0</v>
      </c>
      <c r="L1288" s="6">
        <f t="shared" si="122"/>
        <v>1</v>
      </c>
      <c r="M1288">
        <v>223</v>
      </c>
      <c r="N1288">
        <v>20</v>
      </c>
      <c r="O1288" s="9">
        <v>0</v>
      </c>
      <c r="P1288">
        <v>1</v>
      </c>
      <c r="Q1288">
        <v>122</v>
      </c>
      <c r="R1288">
        <v>1</v>
      </c>
      <c r="S1288">
        <v>78</v>
      </c>
      <c r="T1288">
        <v>1</v>
      </c>
      <c r="U1288" s="3">
        <v>0.99103139013452912</v>
      </c>
      <c r="V1288" s="3">
        <v>0.9913419913419913</v>
      </c>
    </row>
    <row r="1289" spans="1:22" x14ac:dyDescent="0.25">
      <c r="A1289" s="2">
        <v>2017</v>
      </c>
      <c r="B1289" t="s">
        <v>50</v>
      </c>
      <c r="C1289" t="s">
        <v>23</v>
      </c>
      <c r="D1289" s="2">
        <v>489</v>
      </c>
      <c r="E1289" s="2">
        <v>7740</v>
      </c>
      <c r="F1289" t="s">
        <v>40</v>
      </c>
      <c r="G1289">
        <v>7</v>
      </c>
      <c r="H1289">
        <v>7</v>
      </c>
      <c r="I1289">
        <v>0</v>
      </c>
      <c r="J1289">
        <v>0</v>
      </c>
      <c r="K1289">
        <v>0</v>
      </c>
      <c r="L1289" s="6">
        <f t="shared" si="122"/>
        <v>1</v>
      </c>
      <c r="M1289">
        <v>201</v>
      </c>
      <c r="N1289">
        <v>29</v>
      </c>
      <c r="O1289" s="9">
        <v>0</v>
      </c>
      <c r="P1289">
        <v>0</v>
      </c>
      <c r="Q1289">
        <v>85</v>
      </c>
      <c r="R1289">
        <v>1</v>
      </c>
      <c r="S1289">
        <v>86</v>
      </c>
      <c r="T1289">
        <v>0</v>
      </c>
      <c r="U1289" s="3">
        <v>0.99502487562189057</v>
      </c>
      <c r="V1289" s="3">
        <v>0.99519230769230771</v>
      </c>
    </row>
    <row r="1290" spans="1:22" x14ac:dyDescent="0.25">
      <c r="A1290" s="2">
        <v>2017</v>
      </c>
      <c r="B1290" t="s">
        <v>50</v>
      </c>
      <c r="C1290" t="s">
        <v>23</v>
      </c>
      <c r="D1290" s="2">
        <v>492</v>
      </c>
      <c r="E1290" s="2">
        <v>7744</v>
      </c>
      <c r="F1290" t="s">
        <v>374</v>
      </c>
      <c r="G1290">
        <v>13</v>
      </c>
      <c r="H1290">
        <v>13</v>
      </c>
      <c r="I1290">
        <v>0</v>
      </c>
      <c r="J1290">
        <v>0</v>
      </c>
      <c r="K1290">
        <v>0</v>
      </c>
      <c r="L1290" s="6">
        <f t="shared" si="122"/>
        <v>1</v>
      </c>
      <c r="M1290">
        <v>317</v>
      </c>
      <c r="N1290">
        <v>66</v>
      </c>
      <c r="O1290" s="9">
        <v>0</v>
      </c>
      <c r="P1290">
        <v>0</v>
      </c>
      <c r="Q1290">
        <v>131</v>
      </c>
      <c r="R1290">
        <v>1</v>
      </c>
      <c r="S1290">
        <v>117</v>
      </c>
      <c r="T1290">
        <v>2</v>
      </c>
      <c r="U1290" s="3">
        <v>0.99684542586750791</v>
      </c>
      <c r="V1290" s="3">
        <v>0.99696969696969695</v>
      </c>
    </row>
    <row r="1291" spans="1:22" x14ac:dyDescent="0.25">
      <c r="A1291" s="2">
        <v>2017</v>
      </c>
      <c r="B1291" t="s">
        <v>50</v>
      </c>
      <c r="C1291" t="s">
        <v>23</v>
      </c>
      <c r="D1291" s="2">
        <v>555</v>
      </c>
      <c r="E1291" s="2">
        <v>119114</v>
      </c>
      <c r="F1291" t="s">
        <v>375</v>
      </c>
      <c r="G1291">
        <v>16</v>
      </c>
      <c r="H1291">
        <v>16</v>
      </c>
      <c r="I1291">
        <v>0</v>
      </c>
      <c r="J1291">
        <v>0</v>
      </c>
      <c r="K1291">
        <v>0</v>
      </c>
      <c r="L1291" s="6">
        <f t="shared" si="122"/>
        <v>1</v>
      </c>
      <c r="M1291">
        <v>287</v>
      </c>
      <c r="N1291">
        <v>51</v>
      </c>
      <c r="O1291" s="9">
        <v>0</v>
      </c>
      <c r="P1291">
        <v>0</v>
      </c>
      <c r="Q1291">
        <v>124</v>
      </c>
      <c r="R1291">
        <v>2</v>
      </c>
      <c r="S1291">
        <v>108</v>
      </c>
      <c r="T1291">
        <v>2</v>
      </c>
      <c r="U1291" s="3">
        <v>0.99303135888501737</v>
      </c>
      <c r="V1291" s="3">
        <v>0.99339933993399343</v>
      </c>
    </row>
    <row r="1292" spans="1:22" x14ac:dyDescent="0.25">
      <c r="A1292" s="2">
        <v>2017</v>
      </c>
      <c r="B1292" t="s">
        <v>50</v>
      </c>
      <c r="C1292" t="s">
        <v>23</v>
      </c>
      <c r="D1292" s="2">
        <v>493</v>
      </c>
      <c r="E1292" s="2">
        <v>7742</v>
      </c>
      <c r="F1292" t="s">
        <v>376</v>
      </c>
      <c r="G1292">
        <v>13</v>
      </c>
      <c r="H1292">
        <v>13</v>
      </c>
      <c r="I1292">
        <v>0</v>
      </c>
      <c r="J1292">
        <v>0</v>
      </c>
      <c r="K1292">
        <v>0</v>
      </c>
      <c r="L1292" s="6">
        <f t="shared" si="122"/>
        <v>1</v>
      </c>
      <c r="M1292">
        <v>189</v>
      </c>
      <c r="N1292">
        <v>23</v>
      </c>
      <c r="O1292" s="9">
        <v>0</v>
      </c>
      <c r="P1292">
        <v>0</v>
      </c>
      <c r="Q1292">
        <v>70</v>
      </c>
      <c r="R1292">
        <v>0</v>
      </c>
      <c r="S1292">
        <v>96</v>
      </c>
      <c r="T1292">
        <v>0</v>
      </c>
      <c r="U1292" s="3">
        <v>1</v>
      </c>
      <c r="V1292" s="3">
        <v>1</v>
      </c>
    </row>
    <row r="1293" spans="1:22" x14ac:dyDescent="0.25">
      <c r="A1293" s="2">
        <v>2017</v>
      </c>
      <c r="B1293" t="s">
        <v>50</v>
      </c>
      <c r="C1293" t="s">
        <v>23</v>
      </c>
      <c r="D1293" s="2">
        <v>286</v>
      </c>
      <c r="E1293" s="2">
        <v>119469</v>
      </c>
      <c r="F1293" t="s">
        <v>378</v>
      </c>
      <c r="G1293">
        <v>0</v>
      </c>
      <c r="H1293">
        <v>0</v>
      </c>
      <c r="I1293">
        <v>0</v>
      </c>
      <c r="J1293">
        <v>0</v>
      </c>
      <c r="K1293">
        <v>0</v>
      </c>
      <c r="L1293" s="6">
        <f t="shared" si="122"/>
        <v>0</v>
      </c>
      <c r="M1293">
        <v>1</v>
      </c>
      <c r="N1293">
        <v>0</v>
      </c>
      <c r="O1293" s="9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 s="3">
        <v>1</v>
      </c>
      <c r="V1293" s="3">
        <v>1</v>
      </c>
    </row>
    <row r="1294" spans="1:22" x14ac:dyDescent="0.25">
      <c r="A1294" s="2">
        <v>2017</v>
      </c>
      <c r="B1294" t="s">
        <v>50</v>
      </c>
      <c r="C1294" t="s">
        <v>23</v>
      </c>
      <c r="D1294" s="2">
        <v>593</v>
      </c>
      <c r="E1294" s="2">
        <v>122796</v>
      </c>
      <c r="F1294" t="s">
        <v>379</v>
      </c>
      <c r="G1294">
        <v>13</v>
      </c>
      <c r="H1294">
        <v>13</v>
      </c>
      <c r="I1294">
        <v>0</v>
      </c>
      <c r="J1294">
        <v>0</v>
      </c>
      <c r="K1294">
        <v>0</v>
      </c>
      <c r="L1294" s="6">
        <f t="shared" si="122"/>
        <v>1</v>
      </c>
      <c r="M1294">
        <v>281</v>
      </c>
      <c r="N1294">
        <v>58</v>
      </c>
      <c r="O1294" s="9">
        <v>0</v>
      </c>
      <c r="P1294">
        <v>0</v>
      </c>
      <c r="Q1294">
        <v>132</v>
      </c>
      <c r="R1294">
        <v>1</v>
      </c>
      <c r="S1294">
        <v>87</v>
      </c>
      <c r="T1294">
        <v>3</v>
      </c>
      <c r="U1294" s="3">
        <v>0.99644128113879005</v>
      </c>
      <c r="V1294" s="3">
        <v>0.99659863945578231</v>
      </c>
    </row>
    <row r="1295" spans="1:22" x14ac:dyDescent="0.25">
      <c r="A1295" s="2">
        <v>2017</v>
      </c>
      <c r="B1295" t="s">
        <v>50</v>
      </c>
      <c r="C1295" t="s">
        <v>23</v>
      </c>
      <c r="D1295" s="2">
        <v>291</v>
      </c>
      <c r="E1295" s="2">
        <v>121506</v>
      </c>
      <c r="F1295" t="s">
        <v>380</v>
      </c>
      <c r="G1295">
        <v>0</v>
      </c>
      <c r="H1295">
        <v>0</v>
      </c>
      <c r="I1295">
        <v>0</v>
      </c>
      <c r="J1295">
        <v>0</v>
      </c>
      <c r="K1295">
        <v>0</v>
      </c>
      <c r="L1295" s="6">
        <f t="shared" si="122"/>
        <v>0</v>
      </c>
      <c r="M1295">
        <v>1</v>
      </c>
      <c r="N1295">
        <v>0</v>
      </c>
      <c r="O1295" s="9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 s="3">
        <v>1</v>
      </c>
      <c r="V1295" s="3">
        <v>1</v>
      </c>
    </row>
    <row r="1296" spans="1:22" x14ac:dyDescent="0.25">
      <c r="A1296" s="2">
        <v>2017</v>
      </c>
      <c r="B1296" t="s">
        <v>50</v>
      </c>
      <c r="C1296" t="s">
        <v>23</v>
      </c>
      <c r="D1296" s="2">
        <v>592</v>
      </c>
      <c r="E1296" s="2">
        <v>122956</v>
      </c>
      <c r="F1296" t="s">
        <v>381</v>
      </c>
      <c r="G1296">
        <v>6</v>
      </c>
      <c r="H1296">
        <v>6</v>
      </c>
      <c r="I1296">
        <v>0</v>
      </c>
      <c r="J1296">
        <v>0</v>
      </c>
      <c r="K1296">
        <v>0</v>
      </c>
      <c r="L1296" s="6">
        <f t="shared" si="122"/>
        <v>1</v>
      </c>
      <c r="M1296">
        <v>182</v>
      </c>
      <c r="N1296">
        <v>37</v>
      </c>
      <c r="O1296" s="9">
        <v>0</v>
      </c>
      <c r="P1296">
        <v>0</v>
      </c>
      <c r="Q1296">
        <v>60</v>
      </c>
      <c r="R1296">
        <v>0</v>
      </c>
      <c r="S1296">
        <v>85</v>
      </c>
      <c r="T1296">
        <v>0</v>
      </c>
      <c r="U1296" s="3">
        <v>1</v>
      </c>
      <c r="V1296" s="3">
        <v>1</v>
      </c>
    </row>
    <row r="1297" spans="1:22" x14ac:dyDescent="0.25">
      <c r="A1297" s="2">
        <v>2017</v>
      </c>
      <c r="B1297" t="s">
        <v>50</v>
      </c>
      <c r="C1297" t="s">
        <v>23</v>
      </c>
      <c r="D1297" s="2">
        <v>494</v>
      </c>
      <c r="E1297" s="2">
        <v>7743</v>
      </c>
      <c r="F1297" t="s">
        <v>383</v>
      </c>
      <c r="G1297">
        <v>16</v>
      </c>
      <c r="H1297">
        <v>16</v>
      </c>
      <c r="I1297">
        <v>0</v>
      </c>
      <c r="J1297">
        <v>0</v>
      </c>
      <c r="K1297">
        <v>0</v>
      </c>
      <c r="L1297" s="6">
        <f t="shared" si="122"/>
        <v>1</v>
      </c>
      <c r="M1297">
        <v>326</v>
      </c>
      <c r="N1297">
        <v>64</v>
      </c>
      <c r="O1297" s="9">
        <v>0</v>
      </c>
      <c r="P1297">
        <v>1</v>
      </c>
      <c r="Q1297">
        <v>127</v>
      </c>
      <c r="R1297">
        <v>1</v>
      </c>
      <c r="S1297">
        <v>133</v>
      </c>
      <c r="T1297">
        <v>0</v>
      </c>
      <c r="U1297" s="3">
        <v>0.99386503067484666</v>
      </c>
      <c r="V1297" s="3">
        <v>0.99415204678362568</v>
      </c>
    </row>
    <row r="1298" spans="1:22" x14ac:dyDescent="0.25">
      <c r="A1298" s="2">
        <v>2017</v>
      </c>
      <c r="B1298" t="s">
        <v>50</v>
      </c>
      <c r="C1298" t="s">
        <v>23</v>
      </c>
      <c r="D1298" s="2">
        <v>604</v>
      </c>
      <c r="E1298" s="2">
        <v>123702</v>
      </c>
      <c r="F1298" t="s">
        <v>447</v>
      </c>
      <c r="G1298">
        <v>0</v>
      </c>
      <c r="H1298">
        <v>0</v>
      </c>
      <c r="I1298">
        <v>0</v>
      </c>
      <c r="J1298">
        <v>0</v>
      </c>
      <c r="K1298">
        <v>0</v>
      </c>
      <c r="L1298" s="6">
        <f t="shared" ref="L1298:L1361" si="123">IF(G1298=0,0,SUM(H1298:J1298)/G1298)</f>
        <v>0</v>
      </c>
      <c r="M1298">
        <v>1</v>
      </c>
      <c r="N1298">
        <v>0</v>
      </c>
      <c r="O1298" s="9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 s="3">
        <v>1</v>
      </c>
      <c r="V1298" s="3">
        <v>1</v>
      </c>
    </row>
    <row r="1299" spans="1:22" x14ac:dyDescent="0.25">
      <c r="A1299" s="2">
        <v>2017</v>
      </c>
      <c r="B1299" t="s">
        <v>50</v>
      </c>
      <c r="C1299" t="s">
        <v>23</v>
      </c>
      <c r="D1299" s="2">
        <v>279</v>
      </c>
      <c r="E1299" s="2">
        <v>10480</v>
      </c>
      <c r="F1299" t="s">
        <v>384</v>
      </c>
      <c r="G1299">
        <v>0</v>
      </c>
      <c r="H1299">
        <v>0</v>
      </c>
      <c r="I1299">
        <v>0</v>
      </c>
      <c r="J1299">
        <v>0</v>
      </c>
      <c r="K1299">
        <v>0</v>
      </c>
      <c r="L1299" s="6">
        <f t="shared" si="123"/>
        <v>0</v>
      </c>
      <c r="M1299">
        <v>1</v>
      </c>
      <c r="N1299">
        <v>0</v>
      </c>
      <c r="O1299" s="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 s="3">
        <v>1</v>
      </c>
      <c r="V1299" s="3">
        <v>1</v>
      </c>
    </row>
    <row r="1300" spans="1:22" x14ac:dyDescent="0.25">
      <c r="A1300" s="2">
        <v>2017</v>
      </c>
      <c r="B1300" t="s">
        <v>50</v>
      </c>
      <c r="C1300" t="s">
        <v>23</v>
      </c>
      <c r="D1300" s="2">
        <v>278</v>
      </c>
      <c r="E1300" s="2">
        <v>5803</v>
      </c>
      <c r="F1300" t="s">
        <v>385</v>
      </c>
      <c r="G1300">
        <v>0</v>
      </c>
      <c r="H1300">
        <v>0</v>
      </c>
      <c r="I1300">
        <v>0</v>
      </c>
      <c r="J1300">
        <v>0</v>
      </c>
      <c r="K1300">
        <v>0</v>
      </c>
      <c r="L1300" s="6">
        <f t="shared" si="123"/>
        <v>0</v>
      </c>
      <c r="M1300">
        <v>1</v>
      </c>
      <c r="N1300">
        <v>0</v>
      </c>
      <c r="O1300" s="9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 s="3">
        <v>1</v>
      </c>
      <c r="V1300" s="3">
        <v>1</v>
      </c>
    </row>
    <row r="1301" spans="1:22" x14ac:dyDescent="0.25">
      <c r="A1301" s="2">
        <v>2017</v>
      </c>
      <c r="B1301" t="s">
        <v>50</v>
      </c>
      <c r="C1301" t="s">
        <v>23</v>
      </c>
      <c r="D1301" s="2">
        <v>496</v>
      </c>
      <c r="E1301" s="2">
        <v>7741</v>
      </c>
      <c r="F1301" t="s">
        <v>387</v>
      </c>
      <c r="G1301">
        <v>14</v>
      </c>
      <c r="H1301">
        <v>14</v>
      </c>
      <c r="I1301">
        <v>0</v>
      </c>
      <c r="J1301">
        <v>0</v>
      </c>
      <c r="K1301">
        <v>0</v>
      </c>
      <c r="L1301" s="6">
        <f t="shared" si="123"/>
        <v>1</v>
      </c>
      <c r="M1301">
        <v>248</v>
      </c>
      <c r="N1301">
        <v>45</v>
      </c>
      <c r="O1301" s="9">
        <v>0</v>
      </c>
      <c r="P1301">
        <v>0</v>
      </c>
      <c r="Q1301">
        <v>94</v>
      </c>
      <c r="R1301">
        <v>0</v>
      </c>
      <c r="S1301">
        <v>108</v>
      </c>
      <c r="T1301">
        <v>1</v>
      </c>
      <c r="U1301" s="3">
        <v>1</v>
      </c>
      <c r="V1301" s="3">
        <v>1</v>
      </c>
    </row>
    <row r="1302" spans="1:22" x14ac:dyDescent="0.25">
      <c r="A1302" s="2">
        <v>2017</v>
      </c>
      <c r="B1302" t="s">
        <v>50</v>
      </c>
      <c r="C1302" t="s">
        <v>23</v>
      </c>
      <c r="D1302" s="2">
        <v>444</v>
      </c>
      <c r="E1302" s="2">
        <v>7314</v>
      </c>
      <c r="F1302" t="s">
        <v>388</v>
      </c>
      <c r="G1302">
        <v>5</v>
      </c>
      <c r="H1302">
        <v>5</v>
      </c>
      <c r="I1302">
        <v>0</v>
      </c>
      <c r="J1302">
        <v>0</v>
      </c>
      <c r="K1302">
        <v>0</v>
      </c>
      <c r="L1302" s="6">
        <f t="shared" si="123"/>
        <v>1</v>
      </c>
      <c r="M1302">
        <v>169</v>
      </c>
      <c r="N1302">
        <v>22</v>
      </c>
      <c r="O1302" s="9">
        <v>0</v>
      </c>
      <c r="P1302">
        <v>0</v>
      </c>
      <c r="Q1302">
        <v>63</v>
      </c>
      <c r="R1302">
        <v>0</v>
      </c>
      <c r="S1302">
        <v>84</v>
      </c>
      <c r="T1302">
        <v>0</v>
      </c>
      <c r="U1302" s="3">
        <v>1</v>
      </c>
      <c r="V1302" s="3">
        <v>1</v>
      </c>
    </row>
    <row r="1303" spans="1:22" x14ac:dyDescent="0.25">
      <c r="A1303" s="2">
        <v>2017</v>
      </c>
      <c r="B1303" t="s">
        <v>50</v>
      </c>
      <c r="C1303" t="s">
        <v>23</v>
      </c>
      <c r="D1303" s="2">
        <v>505</v>
      </c>
      <c r="E1303" s="2">
        <v>8344</v>
      </c>
      <c r="F1303" t="s">
        <v>389</v>
      </c>
      <c r="G1303">
        <v>17</v>
      </c>
      <c r="H1303">
        <v>17</v>
      </c>
      <c r="I1303">
        <v>0</v>
      </c>
      <c r="J1303">
        <v>0</v>
      </c>
      <c r="K1303">
        <v>0</v>
      </c>
      <c r="L1303" s="6">
        <f t="shared" si="123"/>
        <v>1</v>
      </c>
      <c r="M1303">
        <v>295</v>
      </c>
      <c r="N1303">
        <v>47</v>
      </c>
      <c r="O1303" s="9">
        <v>0</v>
      </c>
      <c r="P1303">
        <v>0</v>
      </c>
      <c r="Q1303">
        <v>131</v>
      </c>
      <c r="R1303">
        <v>0</v>
      </c>
      <c r="S1303">
        <v>116</v>
      </c>
      <c r="T1303">
        <v>1</v>
      </c>
      <c r="U1303" s="3">
        <v>1</v>
      </c>
      <c r="V1303" s="3">
        <v>1</v>
      </c>
    </row>
    <row r="1304" spans="1:22" x14ac:dyDescent="0.25">
      <c r="A1304" s="2">
        <v>2017</v>
      </c>
      <c r="B1304" t="s">
        <v>50</v>
      </c>
      <c r="C1304" t="s">
        <v>21</v>
      </c>
      <c r="D1304" s="2">
        <v>528</v>
      </c>
      <c r="E1304" s="2">
        <v>10623</v>
      </c>
      <c r="F1304" t="s">
        <v>42</v>
      </c>
      <c r="G1304">
        <v>2</v>
      </c>
      <c r="H1304">
        <v>2</v>
      </c>
      <c r="I1304">
        <v>0</v>
      </c>
      <c r="J1304">
        <v>0</v>
      </c>
      <c r="K1304">
        <v>0</v>
      </c>
      <c r="L1304" s="6">
        <f t="shared" si="123"/>
        <v>1</v>
      </c>
      <c r="M1304">
        <v>176</v>
      </c>
      <c r="N1304">
        <v>24</v>
      </c>
      <c r="O1304" s="9">
        <v>0</v>
      </c>
      <c r="P1304">
        <v>0</v>
      </c>
      <c r="Q1304">
        <v>101</v>
      </c>
      <c r="R1304">
        <v>0</v>
      </c>
      <c r="S1304">
        <v>51</v>
      </c>
      <c r="T1304">
        <v>0</v>
      </c>
      <c r="U1304" s="3">
        <v>1</v>
      </c>
      <c r="V1304" s="3">
        <v>1</v>
      </c>
    </row>
    <row r="1305" spans="1:22" x14ac:dyDescent="0.25">
      <c r="A1305" s="2">
        <v>2017</v>
      </c>
      <c r="B1305" t="s">
        <v>50</v>
      </c>
      <c r="C1305" t="s">
        <v>21</v>
      </c>
      <c r="D1305" s="2">
        <v>578</v>
      </c>
      <c r="E1305" s="2">
        <v>122349</v>
      </c>
      <c r="F1305" t="s">
        <v>43</v>
      </c>
      <c r="G1305">
        <v>4</v>
      </c>
      <c r="H1305">
        <v>4</v>
      </c>
      <c r="I1305">
        <v>0</v>
      </c>
      <c r="J1305">
        <v>0</v>
      </c>
      <c r="K1305">
        <v>0</v>
      </c>
      <c r="L1305" s="6">
        <f t="shared" si="123"/>
        <v>1</v>
      </c>
      <c r="M1305">
        <v>40</v>
      </c>
      <c r="N1305">
        <v>7</v>
      </c>
      <c r="O1305" s="9">
        <v>0</v>
      </c>
      <c r="P1305">
        <v>0</v>
      </c>
      <c r="Q1305">
        <v>24</v>
      </c>
      <c r="R1305">
        <v>0</v>
      </c>
      <c r="S1305">
        <v>9</v>
      </c>
      <c r="T1305">
        <v>0</v>
      </c>
      <c r="U1305" s="3">
        <v>1</v>
      </c>
      <c r="V1305" s="3">
        <v>1</v>
      </c>
    </row>
    <row r="1306" spans="1:22" x14ac:dyDescent="0.25">
      <c r="A1306" s="2">
        <v>2017</v>
      </c>
      <c r="B1306" t="s">
        <v>50</v>
      </c>
      <c r="C1306" t="s">
        <v>21</v>
      </c>
      <c r="D1306" s="2">
        <v>772</v>
      </c>
      <c r="E1306" s="2">
        <v>5384</v>
      </c>
      <c r="F1306" t="s">
        <v>331</v>
      </c>
      <c r="G1306">
        <v>0</v>
      </c>
      <c r="H1306">
        <v>0</v>
      </c>
      <c r="I1306">
        <v>0</v>
      </c>
      <c r="J1306">
        <v>0</v>
      </c>
      <c r="K1306">
        <v>0</v>
      </c>
      <c r="L1306" s="6">
        <f t="shared" si="123"/>
        <v>0</v>
      </c>
      <c r="M1306">
        <v>54</v>
      </c>
      <c r="N1306">
        <v>3</v>
      </c>
      <c r="O1306" s="9">
        <v>0</v>
      </c>
      <c r="P1306">
        <v>0</v>
      </c>
      <c r="Q1306">
        <v>37</v>
      </c>
      <c r="R1306">
        <v>0</v>
      </c>
      <c r="S1306">
        <v>14</v>
      </c>
      <c r="T1306">
        <v>0</v>
      </c>
      <c r="U1306" s="3">
        <v>1</v>
      </c>
      <c r="V1306" s="3">
        <v>1</v>
      </c>
    </row>
    <row r="1307" spans="1:22" x14ac:dyDescent="0.25">
      <c r="A1307" s="2">
        <v>2017</v>
      </c>
      <c r="B1307" t="s">
        <v>50</v>
      </c>
      <c r="C1307" t="s">
        <v>21</v>
      </c>
      <c r="D1307" s="2">
        <v>589</v>
      </c>
      <c r="E1307" s="2">
        <v>124030</v>
      </c>
      <c r="F1307" t="s">
        <v>441</v>
      </c>
      <c r="G1307">
        <v>0</v>
      </c>
      <c r="H1307">
        <v>0</v>
      </c>
      <c r="I1307">
        <v>0</v>
      </c>
      <c r="J1307">
        <v>0</v>
      </c>
      <c r="K1307">
        <v>0</v>
      </c>
      <c r="L1307" s="6">
        <f t="shared" si="123"/>
        <v>0</v>
      </c>
      <c r="M1307">
        <v>21</v>
      </c>
      <c r="N1307">
        <v>6</v>
      </c>
      <c r="O1307" s="9">
        <v>0</v>
      </c>
      <c r="P1307">
        <v>0</v>
      </c>
      <c r="Q1307">
        <v>8</v>
      </c>
      <c r="R1307">
        <v>0</v>
      </c>
      <c r="S1307">
        <v>7</v>
      </c>
      <c r="T1307">
        <v>0</v>
      </c>
      <c r="U1307" s="3">
        <v>1</v>
      </c>
      <c r="V1307" s="3">
        <v>1</v>
      </c>
    </row>
    <row r="1308" spans="1:22" x14ac:dyDescent="0.25">
      <c r="A1308" s="2">
        <v>2017</v>
      </c>
      <c r="B1308" t="s">
        <v>50</v>
      </c>
      <c r="C1308" t="s">
        <v>21</v>
      </c>
      <c r="D1308" s="2">
        <v>403</v>
      </c>
      <c r="E1308" s="2">
        <v>6783</v>
      </c>
      <c r="F1308" t="s">
        <v>348</v>
      </c>
      <c r="G1308">
        <v>7</v>
      </c>
      <c r="H1308">
        <v>7</v>
      </c>
      <c r="I1308">
        <v>0</v>
      </c>
      <c r="J1308">
        <v>0</v>
      </c>
      <c r="K1308">
        <v>0</v>
      </c>
      <c r="L1308" s="6">
        <f t="shared" si="123"/>
        <v>1</v>
      </c>
      <c r="M1308">
        <v>404</v>
      </c>
      <c r="N1308">
        <v>49</v>
      </c>
      <c r="O1308" s="9">
        <v>0</v>
      </c>
      <c r="P1308">
        <v>0</v>
      </c>
      <c r="Q1308">
        <v>256</v>
      </c>
      <c r="R1308">
        <v>0</v>
      </c>
      <c r="S1308">
        <v>99</v>
      </c>
      <c r="T1308">
        <v>0</v>
      </c>
      <c r="U1308" s="3">
        <v>1</v>
      </c>
      <c r="V1308" s="3">
        <v>1</v>
      </c>
    </row>
    <row r="1309" spans="1:22" x14ac:dyDescent="0.25">
      <c r="A1309" s="2">
        <v>2017</v>
      </c>
      <c r="B1309" t="s">
        <v>50</v>
      </c>
      <c r="C1309" t="s">
        <v>21</v>
      </c>
      <c r="D1309" s="2">
        <v>404</v>
      </c>
      <c r="E1309" s="2">
        <v>6777</v>
      </c>
      <c r="F1309" t="s">
        <v>34</v>
      </c>
      <c r="G1309">
        <v>11</v>
      </c>
      <c r="H1309">
        <v>11</v>
      </c>
      <c r="I1309">
        <v>0</v>
      </c>
      <c r="J1309">
        <v>0</v>
      </c>
      <c r="K1309">
        <v>0</v>
      </c>
      <c r="L1309" s="6">
        <f t="shared" si="123"/>
        <v>1</v>
      </c>
      <c r="M1309">
        <v>271</v>
      </c>
      <c r="N1309">
        <v>35</v>
      </c>
      <c r="O1309" s="9">
        <v>0</v>
      </c>
      <c r="P1309">
        <v>0</v>
      </c>
      <c r="Q1309">
        <v>131</v>
      </c>
      <c r="R1309">
        <v>0</v>
      </c>
      <c r="S1309">
        <v>104</v>
      </c>
      <c r="T1309">
        <v>1</v>
      </c>
      <c r="U1309" s="3">
        <v>1</v>
      </c>
      <c r="V1309" s="3">
        <v>1</v>
      </c>
    </row>
    <row r="1310" spans="1:22" x14ac:dyDescent="0.25">
      <c r="A1310" s="2">
        <v>2017</v>
      </c>
      <c r="B1310" t="s">
        <v>50</v>
      </c>
      <c r="C1310" t="s">
        <v>21</v>
      </c>
      <c r="D1310" s="2">
        <v>559</v>
      </c>
      <c r="E1310" s="2">
        <v>8697</v>
      </c>
      <c r="F1310" t="s">
        <v>368</v>
      </c>
      <c r="G1310">
        <v>3</v>
      </c>
      <c r="H1310">
        <v>3</v>
      </c>
      <c r="I1310">
        <v>0</v>
      </c>
      <c r="J1310">
        <v>0</v>
      </c>
      <c r="K1310">
        <v>0</v>
      </c>
      <c r="L1310" s="6">
        <f t="shared" si="123"/>
        <v>1</v>
      </c>
      <c r="M1310">
        <v>46</v>
      </c>
      <c r="N1310">
        <v>9</v>
      </c>
      <c r="O1310" s="9">
        <v>0</v>
      </c>
      <c r="P1310">
        <v>0</v>
      </c>
      <c r="Q1310">
        <v>25</v>
      </c>
      <c r="R1310">
        <v>0</v>
      </c>
      <c r="S1310">
        <v>12</v>
      </c>
      <c r="T1310">
        <v>0</v>
      </c>
      <c r="U1310" s="3">
        <v>1</v>
      </c>
      <c r="V1310" s="3">
        <v>1</v>
      </c>
    </row>
    <row r="1311" spans="1:22" x14ac:dyDescent="0.25">
      <c r="A1311" s="2">
        <v>2017</v>
      </c>
      <c r="B1311" t="s">
        <v>50</v>
      </c>
      <c r="C1311" t="s">
        <v>21</v>
      </c>
      <c r="D1311" s="2">
        <v>595</v>
      </c>
      <c r="E1311" s="2">
        <v>123208</v>
      </c>
      <c r="F1311" t="s">
        <v>35</v>
      </c>
      <c r="G1311">
        <v>1</v>
      </c>
      <c r="H1311">
        <v>1</v>
      </c>
      <c r="I1311">
        <v>0</v>
      </c>
      <c r="J1311">
        <v>0</v>
      </c>
      <c r="K1311">
        <v>0</v>
      </c>
      <c r="L1311" s="6">
        <f t="shared" si="123"/>
        <v>1</v>
      </c>
      <c r="M1311">
        <v>280</v>
      </c>
      <c r="N1311">
        <v>43</v>
      </c>
      <c r="O1311" s="9">
        <v>0</v>
      </c>
      <c r="P1311">
        <v>0</v>
      </c>
      <c r="Q1311">
        <v>204</v>
      </c>
      <c r="R1311">
        <v>0</v>
      </c>
      <c r="S1311">
        <v>33</v>
      </c>
      <c r="T1311">
        <v>0</v>
      </c>
      <c r="U1311" s="3">
        <v>1</v>
      </c>
      <c r="V1311" s="3">
        <v>1</v>
      </c>
    </row>
    <row r="1312" spans="1:22" x14ac:dyDescent="0.25">
      <c r="A1312" s="2">
        <v>2017</v>
      </c>
      <c r="B1312" t="s">
        <v>50</v>
      </c>
      <c r="C1312" t="s">
        <v>21</v>
      </c>
      <c r="D1312" s="2">
        <v>455</v>
      </c>
      <c r="E1312" s="2">
        <v>7401</v>
      </c>
      <c r="F1312" t="s">
        <v>36</v>
      </c>
      <c r="G1312">
        <v>3</v>
      </c>
      <c r="H1312">
        <v>3</v>
      </c>
      <c r="I1312">
        <v>0</v>
      </c>
      <c r="J1312">
        <v>0</v>
      </c>
      <c r="K1312">
        <v>0</v>
      </c>
      <c r="L1312" s="6">
        <f t="shared" si="123"/>
        <v>1</v>
      </c>
      <c r="M1312">
        <v>54</v>
      </c>
      <c r="N1312">
        <v>13</v>
      </c>
      <c r="O1312" s="9">
        <v>0</v>
      </c>
      <c r="P1312">
        <v>0</v>
      </c>
      <c r="Q1312">
        <v>25</v>
      </c>
      <c r="R1312">
        <v>0</v>
      </c>
      <c r="S1312">
        <v>16</v>
      </c>
      <c r="T1312">
        <v>0</v>
      </c>
      <c r="U1312" s="3">
        <v>1</v>
      </c>
      <c r="V1312" s="3">
        <v>1</v>
      </c>
    </row>
    <row r="1313" spans="1:22" x14ac:dyDescent="0.25">
      <c r="A1313" s="2">
        <v>2017</v>
      </c>
      <c r="B1313" t="s">
        <v>50</v>
      </c>
      <c r="C1313" t="s">
        <v>21</v>
      </c>
      <c r="D1313" s="2">
        <v>842</v>
      </c>
      <c r="E1313" s="2">
        <v>5618</v>
      </c>
      <c r="F1313" t="s">
        <v>37</v>
      </c>
      <c r="G1313">
        <v>5</v>
      </c>
      <c r="H1313">
        <v>5</v>
      </c>
      <c r="I1313">
        <v>0</v>
      </c>
      <c r="J1313">
        <v>0</v>
      </c>
      <c r="K1313">
        <v>0</v>
      </c>
      <c r="L1313" s="6">
        <f t="shared" si="123"/>
        <v>1</v>
      </c>
      <c r="M1313">
        <v>73</v>
      </c>
      <c r="N1313">
        <v>14</v>
      </c>
      <c r="O1313" s="9">
        <v>0</v>
      </c>
      <c r="P1313">
        <v>0</v>
      </c>
      <c r="Q1313">
        <v>31</v>
      </c>
      <c r="R1313">
        <v>0</v>
      </c>
      <c r="S1313">
        <v>28</v>
      </c>
      <c r="T1313">
        <v>0</v>
      </c>
      <c r="U1313" s="3">
        <v>1</v>
      </c>
      <c r="V1313" s="3">
        <v>1</v>
      </c>
    </row>
    <row r="1314" spans="1:22" x14ac:dyDescent="0.25">
      <c r="A1314" s="2">
        <v>2017</v>
      </c>
      <c r="B1314" t="s">
        <v>50</v>
      </c>
      <c r="C1314" t="s">
        <v>21</v>
      </c>
      <c r="D1314" s="2">
        <v>554</v>
      </c>
      <c r="E1314" s="2">
        <v>119543</v>
      </c>
      <c r="F1314" t="s">
        <v>502</v>
      </c>
      <c r="G1314">
        <v>0</v>
      </c>
      <c r="H1314">
        <v>0</v>
      </c>
      <c r="I1314">
        <v>0</v>
      </c>
      <c r="J1314">
        <v>0</v>
      </c>
      <c r="K1314">
        <v>0</v>
      </c>
      <c r="L1314" s="6">
        <f t="shared" si="123"/>
        <v>0</v>
      </c>
      <c r="M1314">
        <v>19</v>
      </c>
      <c r="N1314">
        <v>3</v>
      </c>
      <c r="O1314" s="9">
        <v>0</v>
      </c>
      <c r="P1314">
        <v>0</v>
      </c>
      <c r="Q1314">
        <v>12</v>
      </c>
      <c r="R1314">
        <v>0</v>
      </c>
      <c r="S1314">
        <v>4</v>
      </c>
      <c r="T1314">
        <v>0</v>
      </c>
      <c r="U1314" s="3">
        <v>1</v>
      </c>
      <c r="V1314" s="3">
        <v>1</v>
      </c>
    </row>
    <row r="1315" spans="1:22" x14ac:dyDescent="0.25">
      <c r="A1315" s="2">
        <v>2017</v>
      </c>
      <c r="B1315" t="s">
        <v>50</v>
      </c>
      <c r="C1315" t="s">
        <v>21</v>
      </c>
      <c r="D1315" s="2">
        <v>766</v>
      </c>
      <c r="E1315" s="2">
        <v>6781</v>
      </c>
      <c r="F1315" t="s">
        <v>349</v>
      </c>
      <c r="G1315">
        <v>27</v>
      </c>
      <c r="H1315">
        <v>27</v>
      </c>
      <c r="I1315">
        <v>0</v>
      </c>
      <c r="J1315">
        <v>0</v>
      </c>
      <c r="K1315">
        <v>0</v>
      </c>
      <c r="L1315" s="6">
        <f t="shared" si="123"/>
        <v>1</v>
      </c>
      <c r="M1315">
        <v>383</v>
      </c>
      <c r="N1315">
        <v>45</v>
      </c>
      <c r="O1315" s="9">
        <v>0</v>
      </c>
      <c r="P1315">
        <v>1</v>
      </c>
      <c r="Q1315">
        <v>164</v>
      </c>
      <c r="R1315">
        <v>1</v>
      </c>
      <c r="S1315">
        <v>172</v>
      </c>
      <c r="T1315">
        <v>0</v>
      </c>
      <c r="U1315" s="3">
        <v>0.99477806788511747</v>
      </c>
      <c r="V1315" s="3">
        <v>0.99512195121951219</v>
      </c>
    </row>
    <row r="1316" spans="1:22" x14ac:dyDescent="0.25">
      <c r="A1316" s="2">
        <v>2017</v>
      </c>
      <c r="B1316" t="s">
        <v>50</v>
      </c>
      <c r="C1316" t="s">
        <v>21</v>
      </c>
      <c r="D1316" s="2">
        <v>777</v>
      </c>
      <c r="E1316" s="2">
        <v>5357</v>
      </c>
      <c r="F1316" t="s">
        <v>350</v>
      </c>
      <c r="G1316">
        <v>35</v>
      </c>
      <c r="H1316">
        <v>34</v>
      </c>
      <c r="I1316">
        <v>0</v>
      </c>
      <c r="J1316">
        <v>0</v>
      </c>
      <c r="K1316">
        <v>1</v>
      </c>
      <c r="L1316" s="6">
        <f t="shared" si="123"/>
        <v>0.97142857142857142</v>
      </c>
      <c r="M1316">
        <v>448</v>
      </c>
      <c r="N1316">
        <v>61</v>
      </c>
      <c r="O1316" s="9">
        <v>0</v>
      </c>
      <c r="P1316">
        <v>0</v>
      </c>
      <c r="Q1316">
        <v>196</v>
      </c>
      <c r="R1316">
        <v>0</v>
      </c>
      <c r="S1316">
        <v>189</v>
      </c>
      <c r="T1316">
        <v>2</v>
      </c>
      <c r="U1316" s="3">
        <v>1</v>
      </c>
      <c r="V1316" s="3">
        <v>0.99792960662525876</v>
      </c>
    </row>
    <row r="1317" spans="1:22" x14ac:dyDescent="0.25">
      <c r="A1317" s="2">
        <v>2017</v>
      </c>
      <c r="B1317" t="s">
        <v>50</v>
      </c>
      <c r="C1317" t="s">
        <v>21</v>
      </c>
      <c r="D1317" s="2">
        <v>543</v>
      </c>
      <c r="E1317" s="2">
        <v>10917</v>
      </c>
      <c r="F1317" t="s">
        <v>341</v>
      </c>
      <c r="G1317">
        <v>18</v>
      </c>
      <c r="H1317">
        <v>18</v>
      </c>
      <c r="I1317">
        <v>0</v>
      </c>
      <c r="J1317">
        <v>0</v>
      </c>
      <c r="K1317">
        <v>0</v>
      </c>
      <c r="L1317" s="6">
        <f t="shared" si="123"/>
        <v>1</v>
      </c>
      <c r="M1317">
        <v>310</v>
      </c>
      <c r="N1317">
        <v>38</v>
      </c>
      <c r="O1317" s="9">
        <v>0</v>
      </c>
      <c r="P1317">
        <v>0</v>
      </c>
      <c r="Q1317">
        <v>140</v>
      </c>
      <c r="R1317">
        <v>0</v>
      </c>
      <c r="S1317">
        <v>131</v>
      </c>
      <c r="T1317">
        <v>1</v>
      </c>
      <c r="U1317" s="3">
        <v>1</v>
      </c>
      <c r="V1317" s="3">
        <v>1</v>
      </c>
    </row>
    <row r="1318" spans="1:22" x14ac:dyDescent="0.25">
      <c r="A1318" s="2">
        <v>2017</v>
      </c>
      <c r="B1318" t="s">
        <v>50</v>
      </c>
      <c r="C1318" t="s">
        <v>21</v>
      </c>
      <c r="D1318" s="2">
        <v>576</v>
      </c>
      <c r="E1318" s="2">
        <v>122114</v>
      </c>
      <c r="F1318" t="s">
        <v>342</v>
      </c>
      <c r="G1318">
        <v>11</v>
      </c>
      <c r="H1318">
        <v>11</v>
      </c>
      <c r="I1318">
        <v>0</v>
      </c>
      <c r="J1318">
        <v>0</v>
      </c>
      <c r="K1318">
        <v>0</v>
      </c>
      <c r="L1318" s="6">
        <f t="shared" si="123"/>
        <v>1</v>
      </c>
      <c r="M1318">
        <v>104</v>
      </c>
      <c r="N1318">
        <v>19</v>
      </c>
      <c r="O1318" s="9">
        <v>0</v>
      </c>
      <c r="P1318">
        <v>0</v>
      </c>
      <c r="Q1318">
        <v>44</v>
      </c>
      <c r="R1318">
        <v>0</v>
      </c>
      <c r="S1318">
        <v>41</v>
      </c>
      <c r="T1318">
        <v>0</v>
      </c>
      <c r="U1318" s="3">
        <v>1</v>
      </c>
      <c r="V1318" s="3">
        <v>1</v>
      </c>
    </row>
    <row r="1319" spans="1:22" x14ac:dyDescent="0.25">
      <c r="A1319" s="2">
        <v>2017</v>
      </c>
      <c r="B1319" t="s">
        <v>50</v>
      </c>
      <c r="C1319" t="s">
        <v>21</v>
      </c>
      <c r="D1319" s="2">
        <v>536</v>
      </c>
      <c r="E1319" s="2">
        <v>10757</v>
      </c>
      <c r="F1319" t="s">
        <v>351</v>
      </c>
      <c r="G1319">
        <v>2</v>
      </c>
      <c r="H1319">
        <v>2</v>
      </c>
      <c r="I1319">
        <v>0</v>
      </c>
      <c r="J1319">
        <v>0</v>
      </c>
      <c r="K1319">
        <v>0</v>
      </c>
      <c r="L1319" s="6">
        <f t="shared" si="123"/>
        <v>1</v>
      </c>
      <c r="M1319">
        <v>300</v>
      </c>
      <c r="N1319">
        <v>43</v>
      </c>
      <c r="O1319" s="9">
        <v>0</v>
      </c>
      <c r="P1319">
        <v>0</v>
      </c>
      <c r="Q1319">
        <v>177</v>
      </c>
      <c r="R1319">
        <v>0</v>
      </c>
      <c r="S1319">
        <v>79</v>
      </c>
      <c r="T1319">
        <v>1</v>
      </c>
      <c r="U1319" s="3">
        <v>1</v>
      </c>
      <c r="V1319" s="3">
        <v>1</v>
      </c>
    </row>
    <row r="1320" spans="1:22" x14ac:dyDescent="0.25">
      <c r="A1320" s="2">
        <v>2017</v>
      </c>
      <c r="B1320" t="s">
        <v>50</v>
      </c>
      <c r="C1320" t="s">
        <v>21</v>
      </c>
      <c r="D1320" s="2">
        <v>550</v>
      </c>
      <c r="E1320" s="2">
        <v>119292</v>
      </c>
      <c r="F1320" t="s">
        <v>344</v>
      </c>
      <c r="G1320">
        <v>9</v>
      </c>
      <c r="H1320">
        <v>9</v>
      </c>
      <c r="I1320">
        <v>0</v>
      </c>
      <c r="J1320">
        <v>0</v>
      </c>
      <c r="K1320">
        <v>0</v>
      </c>
      <c r="L1320" s="6">
        <f t="shared" si="123"/>
        <v>1</v>
      </c>
      <c r="M1320">
        <v>117</v>
      </c>
      <c r="N1320">
        <v>25</v>
      </c>
      <c r="O1320" s="9">
        <v>0</v>
      </c>
      <c r="P1320">
        <v>0</v>
      </c>
      <c r="Q1320">
        <v>45</v>
      </c>
      <c r="R1320">
        <v>0</v>
      </c>
      <c r="S1320">
        <v>43</v>
      </c>
      <c r="T1320">
        <v>4</v>
      </c>
      <c r="U1320" s="3">
        <v>1</v>
      </c>
      <c r="V1320" s="3">
        <v>1</v>
      </c>
    </row>
    <row r="1321" spans="1:22" x14ac:dyDescent="0.25">
      <c r="A1321" s="2">
        <v>2017</v>
      </c>
      <c r="B1321" t="s">
        <v>50</v>
      </c>
      <c r="C1321" t="s">
        <v>21</v>
      </c>
      <c r="D1321" s="2">
        <v>546</v>
      </c>
      <c r="E1321" s="2">
        <v>119467</v>
      </c>
      <c r="F1321" t="s">
        <v>345</v>
      </c>
      <c r="G1321">
        <v>5</v>
      </c>
      <c r="H1321">
        <v>5</v>
      </c>
      <c r="I1321">
        <v>0</v>
      </c>
      <c r="J1321">
        <v>0</v>
      </c>
      <c r="K1321">
        <v>0</v>
      </c>
      <c r="L1321" s="6">
        <f t="shared" si="123"/>
        <v>1</v>
      </c>
      <c r="M1321">
        <v>126</v>
      </c>
      <c r="N1321">
        <v>21</v>
      </c>
      <c r="O1321" s="9">
        <v>0</v>
      </c>
      <c r="P1321">
        <v>0</v>
      </c>
      <c r="Q1321">
        <v>63</v>
      </c>
      <c r="R1321">
        <v>0</v>
      </c>
      <c r="S1321">
        <v>42</v>
      </c>
      <c r="T1321">
        <v>0</v>
      </c>
      <c r="U1321" s="3">
        <v>1</v>
      </c>
      <c r="V1321" s="3">
        <v>1</v>
      </c>
    </row>
    <row r="1322" spans="1:22" x14ac:dyDescent="0.25">
      <c r="A1322" s="2">
        <v>2017</v>
      </c>
      <c r="B1322" t="s">
        <v>51</v>
      </c>
      <c r="C1322" t="s">
        <v>1</v>
      </c>
      <c r="D1322" s="2">
        <v>53</v>
      </c>
      <c r="E1322" s="2">
        <v>4713</v>
      </c>
      <c r="F1322" t="s">
        <v>470</v>
      </c>
      <c r="G1322">
        <v>18</v>
      </c>
      <c r="H1322">
        <v>18</v>
      </c>
      <c r="I1322">
        <v>0</v>
      </c>
      <c r="J1322">
        <v>0</v>
      </c>
      <c r="K1322">
        <v>0</v>
      </c>
      <c r="L1322" s="6">
        <f t="shared" si="123"/>
        <v>1</v>
      </c>
      <c r="M1322">
        <v>202</v>
      </c>
      <c r="N1322">
        <v>27</v>
      </c>
      <c r="O1322" s="9">
        <v>0</v>
      </c>
      <c r="P1322">
        <v>0</v>
      </c>
      <c r="Q1322">
        <v>95</v>
      </c>
      <c r="R1322">
        <v>0</v>
      </c>
      <c r="S1322">
        <v>79</v>
      </c>
      <c r="T1322">
        <v>1</v>
      </c>
      <c r="U1322" s="3">
        <v>1</v>
      </c>
      <c r="V1322" s="3">
        <v>1</v>
      </c>
    </row>
    <row r="1323" spans="1:22" x14ac:dyDescent="0.25">
      <c r="A1323" s="2">
        <v>2017</v>
      </c>
      <c r="B1323" t="s">
        <v>51</v>
      </c>
      <c r="C1323" t="s">
        <v>1</v>
      </c>
      <c r="D1323" s="2">
        <v>243</v>
      </c>
      <c r="E1323" s="2">
        <v>4498</v>
      </c>
      <c r="F1323" t="s">
        <v>471</v>
      </c>
      <c r="G1323">
        <v>6</v>
      </c>
      <c r="H1323">
        <v>6</v>
      </c>
      <c r="I1323">
        <v>0</v>
      </c>
      <c r="J1323">
        <v>0</v>
      </c>
      <c r="K1323">
        <v>0</v>
      </c>
      <c r="L1323" s="6">
        <f t="shared" si="123"/>
        <v>1</v>
      </c>
      <c r="M1323">
        <v>168</v>
      </c>
      <c r="N1323">
        <v>31</v>
      </c>
      <c r="O1323" s="9">
        <v>0</v>
      </c>
      <c r="P1323">
        <v>0</v>
      </c>
      <c r="Q1323">
        <v>80</v>
      </c>
      <c r="R1323">
        <v>0</v>
      </c>
      <c r="S1323">
        <v>57</v>
      </c>
      <c r="T1323">
        <v>0</v>
      </c>
      <c r="U1323" s="3">
        <v>1</v>
      </c>
      <c r="V1323" s="3">
        <v>1</v>
      </c>
    </row>
    <row r="1324" spans="1:22" x14ac:dyDescent="0.25">
      <c r="A1324" s="2">
        <v>2017</v>
      </c>
      <c r="B1324" t="s">
        <v>51</v>
      </c>
      <c r="C1324" t="s">
        <v>1</v>
      </c>
      <c r="D1324" s="2">
        <v>16594</v>
      </c>
      <c r="E1324" s="2">
        <v>119329</v>
      </c>
      <c r="F1324" t="s">
        <v>472</v>
      </c>
      <c r="G1324">
        <v>12</v>
      </c>
      <c r="H1324">
        <v>12</v>
      </c>
      <c r="I1324">
        <v>0</v>
      </c>
      <c r="J1324">
        <v>0</v>
      </c>
      <c r="K1324">
        <v>0</v>
      </c>
      <c r="L1324" s="6">
        <f t="shared" si="123"/>
        <v>1</v>
      </c>
      <c r="M1324">
        <v>204</v>
      </c>
      <c r="N1324">
        <v>35</v>
      </c>
      <c r="O1324" s="9">
        <v>0</v>
      </c>
      <c r="P1324">
        <v>0</v>
      </c>
      <c r="Q1324">
        <v>88</v>
      </c>
      <c r="R1324">
        <v>0</v>
      </c>
      <c r="S1324">
        <v>80</v>
      </c>
      <c r="T1324">
        <v>1</v>
      </c>
      <c r="U1324" s="3">
        <v>1</v>
      </c>
      <c r="V1324" s="3">
        <v>1</v>
      </c>
    </row>
    <row r="1325" spans="1:22" x14ac:dyDescent="0.25">
      <c r="A1325" s="2">
        <v>2017</v>
      </c>
      <c r="B1325" t="s">
        <v>51</v>
      </c>
      <c r="C1325" t="s">
        <v>1</v>
      </c>
      <c r="D1325" s="2">
        <v>335</v>
      </c>
      <c r="E1325" s="2">
        <v>2726</v>
      </c>
      <c r="F1325" t="s">
        <v>473</v>
      </c>
      <c r="G1325">
        <v>34</v>
      </c>
      <c r="H1325">
        <v>34</v>
      </c>
      <c r="I1325">
        <v>0</v>
      </c>
      <c r="J1325">
        <v>0</v>
      </c>
      <c r="K1325">
        <v>0</v>
      </c>
      <c r="L1325" s="6">
        <f t="shared" si="123"/>
        <v>1</v>
      </c>
      <c r="M1325">
        <v>296</v>
      </c>
      <c r="N1325">
        <v>49</v>
      </c>
      <c r="O1325" s="9">
        <v>0</v>
      </c>
      <c r="P1325">
        <v>1</v>
      </c>
      <c r="Q1325">
        <v>91</v>
      </c>
      <c r="R1325">
        <v>0</v>
      </c>
      <c r="S1325">
        <v>155</v>
      </c>
      <c r="T1325">
        <v>0</v>
      </c>
      <c r="U1325" s="3">
        <v>0.9966216216216216</v>
      </c>
      <c r="V1325" s="3">
        <v>0.99696969696969695</v>
      </c>
    </row>
    <row r="1326" spans="1:22" x14ac:dyDescent="0.25">
      <c r="A1326" s="2">
        <v>2017</v>
      </c>
      <c r="B1326" t="s">
        <v>51</v>
      </c>
      <c r="C1326" t="s">
        <v>1</v>
      </c>
      <c r="D1326" s="2">
        <v>473</v>
      </c>
      <c r="E1326" s="2">
        <v>5243</v>
      </c>
      <c r="F1326" t="s">
        <v>474</v>
      </c>
      <c r="G1326">
        <v>16</v>
      </c>
      <c r="H1326">
        <v>16</v>
      </c>
      <c r="I1326">
        <v>0</v>
      </c>
      <c r="J1326">
        <v>0</v>
      </c>
      <c r="K1326">
        <v>0</v>
      </c>
      <c r="L1326" s="6">
        <f t="shared" si="123"/>
        <v>1</v>
      </c>
      <c r="M1326">
        <v>229</v>
      </c>
      <c r="N1326">
        <v>40</v>
      </c>
      <c r="O1326" s="9">
        <v>0</v>
      </c>
      <c r="P1326">
        <v>0</v>
      </c>
      <c r="Q1326">
        <v>102</v>
      </c>
      <c r="R1326">
        <v>1</v>
      </c>
      <c r="S1326">
        <v>86</v>
      </c>
      <c r="T1326">
        <v>0</v>
      </c>
      <c r="U1326" s="3">
        <v>0.99563318777292575</v>
      </c>
      <c r="V1326" s="3">
        <v>0.99591836734693873</v>
      </c>
    </row>
    <row r="1327" spans="1:22" x14ac:dyDescent="0.25">
      <c r="A1327" s="2">
        <v>2017</v>
      </c>
      <c r="B1327" t="s">
        <v>51</v>
      </c>
      <c r="C1327" t="s">
        <v>1</v>
      </c>
      <c r="D1327" s="2">
        <v>67</v>
      </c>
      <c r="E1327" s="2">
        <v>2833</v>
      </c>
      <c r="F1327" t="s">
        <v>475</v>
      </c>
      <c r="G1327">
        <v>10</v>
      </c>
      <c r="H1327">
        <v>10</v>
      </c>
      <c r="I1327">
        <v>0</v>
      </c>
      <c r="J1327">
        <v>0</v>
      </c>
      <c r="K1327">
        <v>0</v>
      </c>
      <c r="L1327" s="6">
        <f t="shared" si="123"/>
        <v>1</v>
      </c>
      <c r="M1327">
        <v>113</v>
      </c>
      <c r="N1327">
        <v>15</v>
      </c>
      <c r="O1327" s="9">
        <v>0</v>
      </c>
      <c r="P1327">
        <v>0</v>
      </c>
      <c r="Q1327">
        <v>44</v>
      </c>
      <c r="R1327">
        <v>0</v>
      </c>
      <c r="S1327">
        <v>54</v>
      </c>
      <c r="T1327">
        <v>0</v>
      </c>
      <c r="U1327" s="3">
        <v>1</v>
      </c>
      <c r="V1327" s="3">
        <v>1</v>
      </c>
    </row>
    <row r="1328" spans="1:22" x14ac:dyDescent="0.25">
      <c r="A1328" s="2">
        <v>2017</v>
      </c>
      <c r="B1328" t="s">
        <v>51</v>
      </c>
      <c r="C1328" t="s">
        <v>1</v>
      </c>
      <c r="D1328" s="2">
        <v>3621</v>
      </c>
      <c r="E1328" s="2">
        <v>9748</v>
      </c>
      <c r="F1328" t="s">
        <v>476</v>
      </c>
      <c r="G1328">
        <v>7</v>
      </c>
      <c r="H1328">
        <v>7</v>
      </c>
      <c r="I1328">
        <v>0</v>
      </c>
      <c r="J1328">
        <v>0</v>
      </c>
      <c r="K1328">
        <v>0</v>
      </c>
      <c r="L1328" s="6">
        <f t="shared" si="123"/>
        <v>1</v>
      </c>
      <c r="M1328">
        <v>189</v>
      </c>
      <c r="N1328">
        <v>45</v>
      </c>
      <c r="O1328" s="9">
        <v>0</v>
      </c>
      <c r="P1328">
        <v>0</v>
      </c>
      <c r="Q1328">
        <v>86</v>
      </c>
      <c r="R1328">
        <v>0</v>
      </c>
      <c r="S1328">
        <v>58</v>
      </c>
      <c r="T1328">
        <v>0</v>
      </c>
      <c r="U1328" s="3">
        <v>1</v>
      </c>
      <c r="V1328" s="3">
        <v>1</v>
      </c>
    </row>
    <row r="1329" spans="1:22" x14ac:dyDescent="0.25">
      <c r="A1329" s="2">
        <v>2017</v>
      </c>
      <c r="B1329" t="s">
        <v>51</v>
      </c>
      <c r="C1329" t="s">
        <v>1</v>
      </c>
      <c r="D1329" s="2">
        <v>567</v>
      </c>
      <c r="E1329" s="2">
        <v>3218</v>
      </c>
      <c r="F1329" t="s">
        <v>477</v>
      </c>
      <c r="G1329">
        <v>18</v>
      </c>
      <c r="H1329">
        <v>18</v>
      </c>
      <c r="I1329">
        <v>0</v>
      </c>
      <c r="J1329">
        <v>0</v>
      </c>
      <c r="K1329">
        <v>0</v>
      </c>
      <c r="L1329" s="6">
        <f t="shared" si="123"/>
        <v>1</v>
      </c>
      <c r="M1329">
        <v>204</v>
      </c>
      <c r="N1329">
        <v>38</v>
      </c>
      <c r="O1329" s="9">
        <v>0</v>
      </c>
      <c r="P1329">
        <v>0</v>
      </c>
      <c r="Q1329">
        <v>71</v>
      </c>
      <c r="R1329">
        <v>0</v>
      </c>
      <c r="S1329">
        <v>95</v>
      </c>
      <c r="T1329">
        <v>0</v>
      </c>
      <c r="U1329" s="3">
        <v>1</v>
      </c>
      <c r="V1329" s="3">
        <v>1</v>
      </c>
    </row>
    <row r="1330" spans="1:22" x14ac:dyDescent="0.25">
      <c r="A1330" s="2">
        <v>2017</v>
      </c>
      <c r="B1330" t="s">
        <v>51</v>
      </c>
      <c r="C1330" t="s">
        <v>1</v>
      </c>
      <c r="D1330" s="2">
        <v>20430</v>
      </c>
      <c r="E1330" s="2">
        <v>120449</v>
      </c>
      <c r="F1330" t="s">
        <v>505</v>
      </c>
      <c r="G1330">
        <v>0</v>
      </c>
      <c r="H1330">
        <v>0</v>
      </c>
      <c r="I1330">
        <v>0</v>
      </c>
      <c r="J1330">
        <v>0</v>
      </c>
      <c r="K1330">
        <v>0</v>
      </c>
      <c r="L1330" s="6">
        <f t="shared" si="123"/>
        <v>0</v>
      </c>
      <c r="M1330">
        <v>10</v>
      </c>
      <c r="N1330">
        <v>2</v>
      </c>
      <c r="O1330" s="9">
        <v>0</v>
      </c>
      <c r="P1330">
        <v>0</v>
      </c>
      <c r="Q1330">
        <v>4</v>
      </c>
      <c r="R1330">
        <v>0</v>
      </c>
      <c r="S1330">
        <v>4</v>
      </c>
      <c r="T1330">
        <v>0</v>
      </c>
      <c r="U1330" s="3">
        <v>1</v>
      </c>
      <c r="V1330" s="3">
        <v>1</v>
      </c>
    </row>
    <row r="1331" spans="1:22" x14ac:dyDescent="0.25">
      <c r="A1331" s="2">
        <v>2017</v>
      </c>
      <c r="B1331" t="s">
        <v>51</v>
      </c>
      <c r="C1331" t="s">
        <v>1</v>
      </c>
      <c r="D1331" s="2">
        <v>627</v>
      </c>
      <c r="E1331" s="2">
        <v>3693</v>
      </c>
      <c r="F1331" t="s">
        <v>478</v>
      </c>
      <c r="G1331">
        <v>40</v>
      </c>
      <c r="H1331">
        <v>40</v>
      </c>
      <c r="I1331">
        <v>0</v>
      </c>
      <c r="J1331">
        <v>0</v>
      </c>
      <c r="K1331">
        <v>0</v>
      </c>
      <c r="L1331" s="6">
        <f t="shared" si="123"/>
        <v>1</v>
      </c>
      <c r="M1331">
        <v>385</v>
      </c>
      <c r="N1331">
        <v>80</v>
      </c>
      <c r="O1331" s="9">
        <v>0</v>
      </c>
      <c r="P1331">
        <v>0</v>
      </c>
      <c r="Q1331">
        <v>143</v>
      </c>
      <c r="R1331">
        <v>1</v>
      </c>
      <c r="S1331">
        <v>161</v>
      </c>
      <c r="T1331">
        <v>0</v>
      </c>
      <c r="U1331" s="3">
        <v>0.9974025974025974</v>
      </c>
      <c r="V1331" s="3">
        <v>0.99764705882352944</v>
      </c>
    </row>
    <row r="1332" spans="1:22" x14ac:dyDescent="0.25">
      <c r="A1332" s="2">
        <v>2017</v>
      </c>
      <c r="B1332" t="s">
        <v>51</v>
      </c>
      <c r="C1332" t="s">
        <v>1</v>
      </c>
      <c r="D1332" s="2">
        <v>130</v>
      </c>
      <c r="E1332" s="2">
        <v>5419</v>
      </c>
      <c r="F1332" t="s">
        <v>479</v>
      </c>
      <c r="G1332">
        <v>15</v>
      </c>
      <c r="H1332">
        <v>15</v>
      </c>
      <c r="I1332">
        <v>0</v>
      </c>
      <c r="J1332">
        <v>0</v>
      </c>
      <c r="K1332">
        <v>0</v>
      </c>
      <c r="L1332" s="6">
        <f t="shared" si="123"/>
        <v>1</v>
      </c>
      <c r="M1332">
        <v>191</v>
      </c>
      <c r="N1332">
        <v>39</v>
      </c>
      <c r="O1332" s="9">
        <v>0</v>
      </c>
      <c r="P1332">
        <v>0</v>
      </c>
      <c r="Q1332">
        <v>85</v>
      </c>
      <c r="R1332">
        <v>0</v>
      </c>
      <c r="S1332">
        <v>67</v>
      </c>
      <c r="T1332">
        <v>0</v>
      </c>
      <c r="U1332" s="3">
        <v>1</v>
      </c>
      <c r="V1332" s="3">
        <v>1</v>
      </c>
    </row>
    <row r="1333" spans="1:22" x14ac:dyDescent="0.25">
      <c r="A1333" s="2">
        <v>2017</v>
      </c>
      <c r="B1333" t="s">
        <v>51</v>
      </c>
      <c r="C1333" t="s">
        <v>1</v>
      </c>
      <c r="D1333" s="2">
        <v>1397</v>
      </c>
      <c r="E1333" s="2">
        <v>3661</v>
      </c>
      <c r="F1333" t="s">
        <v>480</v>
      </c>
      <c r="G1333">
        <v>16</v>
      </c>
      <c r="H1333">
        <v>16</v>
      </c>
      <c r="I1333">
        <v>0</v>
      </c>
      <c r="J1333">
        <v>0</v>
      </c>
      <c r="K1333">
        <v>0</v>
      </c>
      <c r="L1333" s="6">
        <f t="shared" si="123"/>
        <v>1</v>
      </c>
      <c r="M1333">
        <v>167</v>
      </c>
      <c r="N1333">
        <v>46</v>
      </c>
      <c r="O1333" s="9">
        <v>0</v>
      </c>
      <c r="P1333">
        <v>0</v>
      </c>
      <c r="Q1333">
        <v>70</v>
      </c>
      <c r="R1333">
        <v>0</v>
      </c>
      <c r="S1333">
        <v>50</v>
      </c>
      <c r="T1333">
        <v>1</v>
      </c>
      <c r="U1333" s="3">
        <v>1</v>
      </c>
      <c r="V1333" s="3">
        <v>1</v>
      </c>
    </row>
    <row r="1334" spans="1:22" x14ac:dyDescent="0.25">
      <c r="A1334" s="2">
        <v>2017</v>
      </c>
      <c r="B1334" t="s">
        <v>51</v>
      </c>
      <c r="C1334" t="s">
        <v>1</v>
      </c>
      <c r="D1334" s="2">
        <v>1508</v>
      </c>
      <c r="E1334" s="2">
        <v>3157</v>
      </c>
      <c r="F1334" t="s">
        <v>481</v>
      </c>
      <c r="G1334">
        <v>4</v>
      </c>
      <c r="H1334">
        <v>4</v>
      </c>
      <c r="I1334">
        <v>0</v>
      </c>
      <c r="J1334">
        <v>0</v>
      </c>
      <c r="K1334">
        <v>0</v>
      </c>
      <c r="L1334" s="6">
        <f t="shared" si="123"/>
        <v>1</v>
      </c>
      <c r="M1334">
        <v>173</v>
      </c>
      <c r="N1334">
        <v>28</v>
      </c>
      <c r="O1334" s="9">
        <v>0</v>
      </c>
      <c r="P1334">
        <v>0</v>
      </c>
      <c r="Q1334">
        <v>93</v>
      </c>
      <c r="R1334">
        <v>0</v>
      </c>
      <c r="S1334">
        <v>52</v>
      </c>
      <c r="T1334">
        <v>0</v>
      </c>
      <c r="U1334" s="3">
        <v>1</v>
      </c>
      <c r="V1334" s="3">
        <v>1</v>
      </c>
    </row>
    <row r="1335" spans="1:22" x14ac:dyDescent="0.25">
      <c r="A1335" s="2">
        <v>2017</v>
      </c>
      <c r="B1335" t="s">
        <v>51</v>
      </c>
      <c r="C1335" t="s">
        <v>1</v>
      </c>
      <c r="D1335" s="2">
        <v>136</v>
      </c>
      <c r="E1335" s="2">
        <v>2834</v>
      </c>
      <c r="F1335" t="s">
        <v>482</v>
      </c>
      <c r="G1335">
        <v>4</v>
      </c>
      <c r="H1335">
        <v>4</v>
      </c>
      <c r="I1335">
        <v>0</v>
      </c>
      <c r="J1335">
        <v>0</v>
      </c>
      <c r="K1335">
        <v>0</v>
      </c>
      <c r="L1335" s="6">
        <f t="shared" si="123"/>
        <v>1</v>
      </c>
      <c r="M1335">
        <v>167</v>
      </c>
      <c r="N1335">
        <v>30</v>
      </c>
      <c r="O1335" s="9">
        <v>0</v>
      </c>
      <c r="P1335">
        <v>0</v>
      </c>
      <c r="Q1335">
        <v>85</v>
      </c>
      <c r="R1335">
        <v>0</v>
      </c>
      <c r="S1335">
        <v>51</v>
      </c>
      <c r="T1335">
        <v>1</v>
      </c>
      <c r="U1335" s="3">
        <v>1</v>
      </c>
      <c r="V1335" s="3">
        <v>1</v>
      </c>
    </row>
    <row r="1336" spans="1:22" x14ac:dyDescent="0.25">
      <c r="A1336" s="2">
        <v>2017</v>
      </c>
      <c r="B1336" t="s">
        <v>51</v>
      </c>
      <c r="C1336" t="s">
        <v>1</v>
      </c>
      <c r="D1336" s="2">
        <v>138</v>
      </c>
      <c r="E1336" s="2">
        <v>2741</v>
      </c>
      <c r="F1336" t="s">
        <v>483</v>
      </c>
      <c r="G1336">
        <v>21</v>
      </c>
      <c r="H1336">
        <v>21</v>
      </c>
      <c r="I1336">
        <v>0</v>
      </c>
      <c r="J1336">
        <v>0</v>
      </c>
      <c r="K1336">
        <v>0</v>
      </c>
      <c r="L1336" s="6">
        <f t="shared" si="123"/>
        <v>1</v>
      </c>
      <c r="M1336">
        <v>207</v>
      </c>
      <c r="N1336">
        <v>36</v>
      </c>
      <c r="O1336" s="9">
        <v>0</v>
      </c>
      <c r="P1336">
        <v>0</v>
      </c>
      <c r="Q1336">
        <v>77</v>
      </c>
      <c r="R1336">
        <v>0</v>
      </c>
      <c r="S1336">
        <v>93</v>
      </c>
      <c r="T1336">
        <v>1</v>
      </c>
      <c r="U1336" s="3">
        <v>1</v>
      </c>
      <c r="V1336" s="3">
        <v>1</v>
      </c>
    </row>
    <row r="1337" spans="1:22" x14ac:dyDescent="0.25">
      <c r="A1337" s="2">
        <v>2017</v>
      </c>
      <c r="B1337" t="s">
        <v>51</v>
      </c>
      <c r="C1337" t="s">
        <v>1</v>
      </c>
      <c r="D1337" s="2">
        <v>19352</v>
      </c>
      <c r="E1337" s="2">
        <v>122191</v>
      </c>
      <c r="F1337" t="s">
        <v>484</v>
      </c>
      <c r="G1337">
        <v>15</v>
      </c>
      <c r="H1337">
        <v>15</v>
      </c>
      <c r="I1337">
        <v>0</v>
      </c>
      <c r="J1337">
        <v>0</v>
      </c>
      <c r="K1337">
        <v>0</v>
      </c>
      <c r="L1337" s="6">
        <f t="shared" si="123"/>
        <v>1</v>
      </c>
      <c r="M1337">
        <v>284</v>
      </c>
      <c r="N1337">
        <v>59</v>
      </c>
      <c r="O1337" s="9">
        <v>0</v>
      </c>
      <c r="P1337">
        <v>0</v>
      </c>
      <c r="Q1337">
        <v>131</v>
      </c>
      <c r="R1337">
        <v>0</v>
      </c>
      <c r="S1337">
        <v>94</v>
      </c>
      <c r="T1337">
        <v>0</v>
      </c>
      <c r="U1337" s="3">
        <v>1</v>
      </c>
      <c r="V1337" s="3">
        <v>1</v>
      </c>
    </row>
    <row r="1338" spans="1:22" x14ac:dyDescent="0.25">
      <c r="A1338" s="2">
        <v>2017</v>
      </c>
      <c r="B1338" t="s">
        <v>51</v>
      </c>
      <c r="C1338" t="s">
        <v>1</v>
      </c>
      <c r="D1338" s="2">
        <v>1632</v>
      </c>
      <c r="E1338" s="2">
        <v>2953</v>
      </c>
      <c r="F1338" t="s">
        <v>485</v>
      </c>
      <c r="G1338">
        <v>14</v>
      </c>
      <c r="H1338">
        <v>14</v>
      </c>
      <c r="I1338">
        <v>0</v>
      </c>
      <c r="J1338">
        <v>0</v>
      </c>
      <c r="K1338">
        <v>0</v>
      </c>
      <c r="L1338" s="6">
        <f t="shared" si="123"/>
        <v>1</v>
      </c>
      <c r="M1338">
        <v>215</v>
      </c>
      <c r="N1338">
        <v>32</v>
      </c>
      <c r="O1338" s="9">
        <v>0</v>
      </c>
      <c r="P1338">
        <v>0</v>
      </c>
      <c r="Q1338">
        <v>101</v>
      </c>
      <c r="R1338">
        <v>0</v>
      </c>
      <c r="S1338">
        <v>82</v>
      </c>
      <c r="T1338">
        <v>0</v>
      </c>
      <c r="U1338" s="3">
        <v>1</v>
      </c>
      <c r="V1338" s="3">
        <v>1</v>
      </c>
    </row>
    <row r="1339" spans="1:22" x14ac:dyDescent="0.25">
      <c r="A1339" s="2">
        <v>2017</v>
      </c>
      <c r="B1339" t="s">
        <v>51</v>
      </c>
      <c r="C1339" t="s">
        <v>1</v>
      </c>
      <c r="D1339" s="2">
        <v>1667</v>
      </c>
      <c r="E1339" s="2">
        <v>4727</v>
      </c>
      <c r="F1339" t="s">
        <v>487</v>
      </c>
      <c r="G1339">
        <v>19</v>
      </c>
      <c r="H1339">
        <v>19</v>
      </c>
      <c r="I1339">
        <v>0</v>
      </c>
      <c r="J1339">
        <v>0</v>
      </c>
      <c r="K1339">
        <v>0</v>
      </c>
      <c r="L1339" s="6">
        <f t="shared" si="123"/>
        <v>1</v>
      </c>
      <c r="M1339">
        <v>145</v>
      </c>
      <c r="N1339">
        <v>21</v>
      </c>
      <c r="O1339" s="9">
        <v>0</v>
      </c>
      <c r="P1339">
        <v>0</v>
      </c>
      <c r="Q1339">
        <v>70</v>
      </c>
      <c r="R1339">
        <v>0</v>
      </c>
      <c r="S1339">
        <v>54</v>
      </c>
      <c r="T1339">
        <v>0</v>
      </c>
      <c r="U1339" s="3">
        <v>1</v>
      </c>
      <c r="V1339" s="3">
        <v>1</v>
      </c>
    </row>
    <row r="1340" spans="1:22" x14ac:dyDescent="0.25">
      <c r="A1340" s="2">
        <v>2017</v>
      </c>
      <c r="B1340" t="s">
        <v>51</v>
      </c>
      <c r="C1340" t="s">
        <v>1</v>
      </c>
      <c r="D1340" s="2">
        <v>20010</v>
      </c>
      <c r="E1340" s="2">
        <v>119432</v>
      </c>
      <c r="F1340" t="s">
        <v>488</v>
      </c>
      <c r="G1340">
        <v>15</v>
      </c>
      <c r="H1340">
        <v>15</v>
      </c>
      <c r="I1340">
        <v>0</v>
      </c>
      <c r="J1340">
        <v>0</v>
      </c>
      <c r="K1340">
        <v>0</v>
      </c>
      <c r="L1340" s="6">
        <f t="shared" si="123"/>
        <v>1</v>
      </c>
      <c r="M1340">
        <v>230</v>
      </c>
      <c r="N1340">
        <v>29</v>
      </c>
      <c r="O1340" s="9">
        <v>0</v>
      </c>
      <c r="P1340">
        <v>0</v>
      </c>
      <c r="Q1340">
        <v>103</v>
      </c>
      <c r="R1340">
        <v>0</v>
      </c>
      <c r="S1340">
        <v>96</v>
      </c>
      <c r="T1340">
        <v>2</v>
      </c>
      <c r="U1340" s="3">
        <v>1</v>
      </c>
      <c r="V1340" s="3">
        <v>1</v>
      </c>
    </row>
    <row r="1341" spans="1:22" x14ac:dyDescent="0.25">
      <c r="A1341" s="2">
        <v>2017</v>
      </c>
      <c r="B1341" t="s">
        <v>51</v>
      </c>
      <c r="C1341" t="s">
        <v>1</v>
      </c>
      <c r="D1341" s="2">
        <v>639</v>
      </c>
      <c r="E1341" s="2">
        <v>4723</v>
      </c>
      <c r="F1341" t="s">
        <v>489</v>
      </c>
      <c r="G1341">
        <v>8</v>
      </c>
      <c r="H1341">
        <v>8</v>
      </c>
      <c r="I1341">
        <v>0</v>
      </c>
      <c r="J1341">
        <v>0</v>
      </c>
      <c r="K1341">
        <v>0</v>
      </c>
      <c r="L1341" s="6">
        <f t="shared" si="123"/>
        <v>1</v>
      </c>
      <c r="M1341">
        <v>184</v>
      </c>
      <c r="N1341">
        <v>18</v>
      </c>
      <c r="O1341" s="9">
        <v>0</v>
      </c>
      <c r="P1341">
        <v>0</v>
      </c>
      <c r="Q1341">
        <v>92</v>
      </c>
      <c r="R1341">
        <v>0</v>
      </c>
      <c r="S1341">
        <v>73</v>
      </c>
      <c r="T1341">
        <v>1</v>
      </c>
      <c r="U1341" s="3">
        <v>1</v>
      </c>
      <c r="V1341" s="3">
        <v>1</v>
      </c>
    </row>
    <row r="1342" spans="1:22" x14ac:dyDescent="0.25">
      <c r="A1342" s="2">
        <v>2017</v>
      </c>
      <c r="B1342" t="s">
        <v>51</v>
      </c>
      <c r="C1342" t="s">
        <v>1</v>
      </c>
      <c r="D1342" s="2">
        <v>1909</v>
      </c>
      <c r="E1342" s="2">
        <v>5437</v>
      </c>
      <c r="F1342" t="s">
        <v>490</v>
      </c>
      <c r="G1342">
        <v>22</v>
      </c>
      <c r="H1342">
        <v>22</v>
      </c>
      <c r="I1342">
        <v>0</v>
      </c>
      <c r="J1342">
        <v>0</v>
      </c>
      <c r="K1342">
        <v>0</v>
      </c>
      <c r="L1342" s="6">
        <f t="shared" si="123"/>
        <v>1</v>
      </c>
      <c r="M1342">
        <v>256</v>
      </c>
      <c r="N1342">
        <v>43</v>
      </c>
      <c r="O1342" s="9">
        <v>0</v>
      </c>
      <c r="P1342">
        <v>1</v>
      </c>
      <c r="Q1342">
        <v>94</v>
      </c>
      <c r="R1342">
        <v>0</v>
      </c>
      <c r="S1342">
        <v>117</v>
      </c>
      <c r="T1342">
        <v>1</v>
      </c>
      <c r="U1342" s="3">
        <v>0.99609375</v>
      </c>
      <c r="V1342" s="3">
        <v>0.99640287769784175</v>
      </c>
    </row>
    <row r="1343" spans="1:22" x14ac:dyDescent="0.25">
      <c r="A1343" s="2">
        <v>2017</v>
      </c>
      <c r="B1343" t="s">
        <v>51</v>
      </c>
      <c r="C1343" t="s">
        <v>1</v>
      </c>
      <c r="D1343" s="2">
        <v>531</v>
      </c>
      <c r="E1343" s="2">
        <v>9506</v>
      </c>
      <c r="F1343" t="s">
        <v>57</v>
      </c>
      <c r="G1343">
        <v>0</v>
      </c>
      <c r="H1343">
        <v>0</v>
      </c>
      <c r="I1343">
        <v>0</v>
      </c>
      <c r="J1343">
        <v>0</v>
      </c>
      <c r="K1343">
        <v>0</v>
      </c>
      <c r="L1343" s="6">
        <f t="shared" si="123"/>
        <v>0</v>
      </c>
      <c r="M1343">
        <v>1</v>
      </c>
      <c r="N1343">
        <v>1</v>
      </c>
      <c r="O1343" s="9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 s="3">
        <v>1</v>
      </c>
      <c r="V1343" s="3">
        <v>1</v>
      </c>
    </row>
    <row r="1344" spans="1:22" x14ac:dyDescent="0.25">
      <c r="A1344" s="2">
        <v>2017</v>
      </c>
      <c r="B1344" t="s">
        <v>51</v>
      </c>
      <c r="C1344" t="s">
        <v>1</v>
      </c>
      <c r="D1344" s="2">
        <v>3622</v>
      </c>
      <c r="E1344" s="2">
        <v>5670</v>
      </c>
      <c r="F1344" t="s">
        <v>491</v>
      </c>
      <c r="G1344">
        <v>28</v>
      </c>
      <c r="H1344">
        <v>28</v>
      </c>
      <c r="I1344">
        <v>0</v>
      </c>
      <c r="J1344">
        <v>0</v>
      </c>
      <c r="K1344">
        <v>0</v>
      </c>
      <c r="L1344" s="6">
        <f t="shared" si="123"/>
        <v>1</v>
      </c>
      <c r="M1344">
        <v>290</v>
      </c>
      <c r="N1344">
        <v>47</v>
      </c>
      <c r="O1344" s="9">
        <v>0</v>
      </c>
      <c r="P1344">
        <v>1</v>
      </c>
      <c r="Q1344">
        <v>110</v>
      </c>
      <c r="R1344">
        <v>0</v>
      </c>
      <c r="S1344">
        <v>132</v>
      </c>
      <c r="T1344">
        <v>0</v>
      </c>
      <c r="U1344" s="3">
        <v>0.99655172413793103</v>
      </c>
      <c r="V1344" s="3">
        <v>0.99685534591194969</v>
      </c>
    </row>
    <row r="1345" spans="1:22" x14ac:dyDescent="0.25">
      <c r="A1345" s="2">
        <v>2017</v>
      </c>
      <c r="B1345" t="s">
        <v>51</v>
      </c>
      <c r="C1345" t="s">
        <v>1</v>
      </c>
      <c r="D1345" s="2">
        <v>15555</v>
      </c>
      <c r="E1345" s="2">
        <v>9514</v>
      </c>
      <c r="F1345" t="s">
        <v>492</v>
      </c>
      <c r="G1345">
        <v>14</v>
      </c>
      <c r="H1345">
        <v>14</v>
      </c>
      <c r="I1345">
        <v>0</v>
      </c>
      <c r="J1345">
        <v>0</v>
      </c>
      <c r="K1345">
        <v>0</v>
      </c>
      <c r="L1345" s="6">
        <f t="shared" si="123"/>
        <v>1</v>
      </c>
      <c r="M1345">
        <v>199</v>
      </c>
      <c r="N1345">
        <v>33</v>
      </c>
      <c r="O1345" s="9">
        <v>0</v>
      </c>
      <c r="P1345">
        <v>0</v>
      </c>
      <c r="Q1345">
        <v>82</v>
      </c>
      <c r="R1345">
        <v>0</v>
      </c>
      <c r="S1345">
        <v>84</v>
      </c>
      <c r="T1345">
        <v>0</v>
      </c>
      <c r="U1345" s="3">
        <v>1</v>
      </c>
      <c r="V1345" s="3">
        <v>1</v>
      </c>
    </row>
    <row r="1346" spans="1:22" x14ac:dyDescent="0.25">
      <c r="A1346" s="2">
        <v>2017</v>
      </c>
      <c r="B1346" t="s">
        <v>51</v>
      </c>
      <c r="C1346" t="s">
        <v>1</v>
      </c>
      <c r="D1346" s="2">
        <v>820</v>
      </c>
      <c r="E1346" s="2">
        <v>5431</v>
      </c>
      <c r="F1346" t="s">
        <v>493</v>
      </c>
      <c r="G1346">
        <v>15</v>
      </c>
      <c r="H1346">
        <v>15</v>
      </c>
      <c r="I1346">
        <v>0</v>
      </c>
      <c r="J1346">
        <v>0</v>
      </c>
      <c r="K1346">
        <v>0</v>
      </c>
      <c r="L1346" s="6">
        <f t="shared" si="123"/>
        <v>1</v>
      </c>
      <c r="M1346">
        <v>251</v>
      </c>
      <c r="N1346">
        <v>35</v>
      </c>
      <c r="O1346" s="9">
        <v>0</v>
      </c>
      <c r="P1346">
        <v>0</v>
      </c>
      <c r="Q1346">
        <v>137</v>
      </c>
      <c r="R1346">
        <v>1</v>
      </c>
      <c r="S1346">
        <v>78</v>
      </c>
      <c r="T1346">
        <v>0</v>
      </c>
      <c r="U1346" s="3">
        <v>0.99601593625498008</v>
      </c>
      <c r="V1346" s="3">
        <v>0.99624060150375937</v>
      </c>
    </row>
    <row r="1347" spans="1:22" x14ac:dyDescent="0.25">
      <c r="A1347" s="2">
        <v>2017</v>
      </c>
      <c r="B1347" t="s">
        <v>51</v>
      </c>
      <c r="C1347" t="s">
        <v>1</v>
      </c>
      <c r="D1347" s="2">
        <v>3595</v>
      </c>
      <c r="E1347" s="2">
        <v>9918</v>
      </c>
      <c r="F1347" t="s">
        <v>495</v>
      </c>
      <c r="G1347">
        <v>14</v>
      </c>
      <c r="H1347">
        <v>14</v>
      </c>
      <c r="I1347">
        <v>0</v>
      </c>
      <c r="J1347">
        <v>0</v>
      </c>
      <c r="K1347">
        <v>0</v>
      </c>
      <c r="L1347" s="6">
        <f t="shared" si="123"/>
        <v>1</v>
      </c>
      <c r="M1347">
        <v>146</v>
      </c>
      <c r="N1347">
        <v>26</v>
      </c>
      <c r="O1347" s="9">
        <v>0</v>
      </c>
      <c r="P1347">
        <v>0</v>
      </c>
      <c r="Q1347">
        <v>50</v>
      </c>
      <c r="R1347">
        <v>0</v>
      </c>
      <c r="S1347">
        <v>70</v>
      </c>
      <c r="T1347">
        <v>0</v>
      </c>
      <c r="U1347" s="3">
        <v>1</v>
      </c>
      <c r="V1347" s="3">
        <v>1</v>
      </c>
    </row>
    <row r="1348" spans="1:22" x14ac:dyDescent="0.25">
      <c r="A1348" s="2">
        <v>2017</v>
      </c>
      <c r="B1348" t="s">
        <v>51</v>
      </c>
      <c r="C1348" t="s">
        <v>1</v>
      </c>
      <c r="D1348" s="2">
        <v>1016</v>
      </c>
      <c r="E1348" s="2">
        <v>2749</v>
      </c>
      <c r="F1348" t="s">
        <v>496</v>
      </c>
      <c r="G1348">
        <v>11</v>
      </c>
      <c r="H1348">
        <v>11</v>
      </c>
      <c r="I1348">
        <v>0</v>
      </c>
      <c r="J1348">
        <v>0</v>
      </c>
      <c r="K1348">
        <v>0</v>
      </c>
      <c r="L1348" s="6">
        <f t="shared" si="123"/>
        <v>1</v>
      </c>
      <c r="M1348">
        <v>235</v>
      </c>
      <c r="N1348">
        <v>49</v>
      </c>
      <c r="O1348" s="9">
        <v>0</v>
      </c>
      <c r="P1348">
        <v>1</v>
      </c>
      <c r="Q1348">
        <v>93</v>
      </c>
      <c r="R1348">
        <v>3</v>
      </c>
      <c r="S1348">
        <v>88</v>
      </c>
      <c r="T1348">
        <v>1</v>
      </c>
      <c r="U1348" s="3">
        <v>0.98297872340425529</v>
      </c>
      <c r="V1348" s="3">
        <v>0.98373983739837401</v>
      </c>
    </row>
    <row r="1349" spans="1:22" x14ac:dyDescent="0.25">
      <c r="A1349" s="2">
        <v>2017</v>
      </c>
      <c r="B1349" t="s">
        <v>51</v>
      </c>
      <c r="C1349" t="s">
        <v>1</v>
      </c>
      <c r="D1349" s="2">
        <v>1108</v>
      </c>
      <c r="E1349" s="2">
        <v>4332</v>
      </c>
      <c r="F1349" t="s">
        <v>498</v>
      </c>
      <c r="G1349">
        <v>9</v>
      </c>
      <c r="H1349">
        <v>9</v>
      </c>
      <c r="I1349">
        <v>0</v>
      </c>
      <c r="J1349">
        <v>0</v>
      </c>
      <c r="K1349">
        <v>0</v>
      </c>
      <c r="L1349" s="6">
        <f t="shared" si="123"/>
        <v>1</v>
      </c>
      <c r="M1349">
        <v>256</v>
      </c>
      <c r="N1349">
        <v>54</v>
      </c>
      <c r="O1349" s="9">
        <v>0</v>
      </c>
      <c r="P1349">
        <v>0</v>
      </c>
      <c r="Q1349">
        <v>90</v>
      </c>
      <c r="R1349">
        <v>1</v>
      </c>
      <c r="S1349">
        <v>110</v>
      </c>
      <c r="T1349">
        <v>1</v>
      </c>
      <c r="U1349" s="3">
        <v>0.99609375</v>
      </c>
      <c r="V1349" s="3">
        <v>0.99622641509433962</v>
      </c>
    </row>
    <row r="1350" spans="1:22" x14ac:dyDescent="0.25">
      <c r="A1350" s="2">
        <v>2017</v>
      </c>
      <c r="B1350" t="s">
        <v>51</v>
      </c>
      <c r="C1350" t="s">
        <v>1</v>
      </c>
      <c r="D1350" s="2">
        <v>3623</v>
      </c>
      <c r="E1350" s="2">
        <v>6046</v>
      </c>
      <c r="F1350" t="s">
        <v>499</v>
      </c>
      <c r="G1350">
        <v>14</v>
      </c>
      <c r="H1350">
        <v>14</v>
      </c>
      <c r="I1350">
        <v>0</v>
      </c>
      <c r="J1350">
        <v>0</v>
      </c>
      <c r="K1350">
        <v>0</v>
      </c>
      <c r="L1350" s="6">
        <f t="shared" si="123"/>
        <v>1</v>
      </c>
      <c r="M1350">
        <v>223</v>
      </c>
      <c r="N1350">
        <v>48</v>
      </c>
      <c r="O1350" s="9">
        <v>0</v>
      </c>
      <c r="P1350">
        <v>1</v>
      </c>
      <c r="Q1350">
        <v>100</v>
      </c>
      <c r="R1350">
        <v>0</v>
      </c>
      <c r="S1350">
        <v>72</v>
      </c>
      <c r="T1350">
        <v>2</v>
      </c>
      <c r="U1350" s="3">
        <v>0.99551569506726456</v>
      </c>
      <c r="V1350" s="3">
        <v>0.99578059071729963</v>
      </c>
    </row>
    <row r="1351" spans="1:22" x14ac:dyDescent="0.25">
      <c r="A1351" s="2">
        <v>2017</v>
      </c>
      <c r="B1351" t="s">
        <v>51</v>
      </c>
      <c r="C1351" t="s">
        <v>1</v>
      </c>
      <c r="D1351" s="2">
        <v>14791</v>
      </c>
      <c r="E1351" s="2">
        <v>118895</v>
      </c>
      <c r="F1351" t="s">
        <v>500</v>
      </c>
      <c r="G1351">
        <v>5</v>
      </c>
      <c r="H1351">
        <v>5</v>
      </c>
      <c r="I1351">
        <v>0</v>
      </c>
      <c r="J1351">
        <v>0</v>
      </c>
      <c r="K1351">
        <v>0</v>
      </c>
      <c r="L1351" s="6">
        <f t="shared" si="123"/>
        <v>1</v>
      </c>
      <c r="M1351">
        <v>120</v>
      </c>
      <c r="N1351">
        <v>26</v>
      </c>
      <c r="O1351" s="9">
        <v>0</v>
      </c>
      <c r="P1351">
        <v>0</v>
      </c>
      <c r="Q1351">
        <v>57</v>
      </c>
      <c r="R1351">
        <v>0</v>
      </c>
      <c r="S1351">
        <v>36</v>
      </c>
      <c r="T1351">
        <v>1</v>
      </c>
      <c r="U1351" s="3">
        <v>1</v>
      </c>
      <c r="V1351" s="3">
        <v>1</v>
      </c>
    </row>
    <row r="1352" spans="1:22" x14ac:dyDescent="0.25">
      <c r="A1352" s="2">
        <v>2017</v>
      </c>
      <c r="B1352" t="s">
        <v>51</v>
      </c>
      <c r="C1352" t="s">
        <v>1</v>
      </c>
      <c r="D1352" s="2">
        <v>15880</v>
      </c>
      <c r="E1352" s="2">
        <v>9708</v>
      </c>
      <c r="F1352" t="s">
        <v>501</v>
      </c>
      <c r="G1352">
        <v>21</v>
      </c>
      <c r="H1352">
        <v>20</v>
      </c>
      <c r="I1352">
        <v>0</v>
      </c>
      <c r="J1352">
        <v>0</v>
      </c>
      <c r="K1352">
        <v>1</v>
      </c>
      <c r="L1352" s="6">
        <f t="shared" si="123"/>
        <v>0.95238095238095233</v>
      </c>
      <c r="M1352">
        <v>220</v>
      </c>
      <c r="N1352">
        <v>43</v>
      </c>
      <c r="O1352" s="9">
        <v>0</v>
      </c>
      <c r="P1352">
        <v>0</v>
      </c>
      <c r="Q1352">
        <v>82</v>
      </c>
      <c r="R1352">
        <v>1</v>
      </c>
      <c r="S1352">
        <v>94</v>
      </c>
      <c r="T1352">
        <v>0</v>
      </c>
      <c r="U1352" s="3">
        <v>0.99545454545454548</v>
      </c>
      <c r="V1352" s="3">
        <v>0.99170124481327804</v>
      </c>
    </row>
    <row r="1353" spans="1:22" x14ac:dyDescent="0.25">
      <c r="A1353" s="2">
        <v>2017</v>
      </c>
      <c r="B1353" t="s">
        <v>51</v>
      </c>
      <c r="C1353" t="s">
        <v>24</v>
      </c>
      <c r="D1353" s="2">
        <v>136</v>
      </c>
      <c r="E1353" s="2">
        <v>121923</v>
      </c>
      <c r="F1353" t="s">
        <v>41</v>
      </c>
      <c r="G1353">
        <v>0</v>
      </c>
      <c r="H1353">
        <v>0</v>
      </c>
      <c r="I1353">
        <v>0</v>
      </c>
      <c r="J1353">
        <v>0</v>
      </c>
      <c r="K1353">
        <v>0</v>
      </c>
      <c r="L1353" s="6">
        <f t="shared" si="123"/>
        <v>0</v>
      </c>
      <c r="M1353">
        <v>3</v>
      </c>
      <c r="N1353">
        <v>0</v>
      </c>
      <c r="O1353" s="9">
        <v>0</v>
      </c>
      <c r="P1353">
        <v>0</v>
      </c>
      <c r="Q1353">
        <v>1</v>
      </c>
      <c r="R1353">
        <v>0</v>
      </c>
      <c r="S1353">
        <v>1</v>
      </c>
      <c r="T1353">
        <v>1</v>
      </c>
      <c r="U1353" s="3">
        <v>1</v>
      </c>
      <c r="V1353" s="3">
        <v>1</v>
      </c>
    </row>
    <row r="1354" spans="1:22" x14ac:dyDescent="0.25">
      <c r="A1354" s="2">
        <v>2017</v>
      </c>
      <c r="B1354" t="s">
        <v>51</v>
      </c>
      <c r="C1354" t="s">
        <v>24</v>
      </c>
      <c r="D1354" s="2">
        <v>13</v>
      </c>
      <c r="E1354" s="2">
        <v>5621</v>
      </c>
      <c r="F1354" t="s">
        <v>390</v>
      </c>
      <c r="G1354">
        <v>15</v>
      </c>
      <c r="H1354">
        <v>15</v>
      </c>
      <c r="I1354">
        <v>0</v>
      </c>
      <c r="J1354">
        <v>0</v>
      </c>
      <c r="K1354">
        <v>0</v>
      </c>
      <c r="L1354" s="6">
        <f t="shared" si="123"/>
        <v>1</v>
      </c>
      <c r="M1354">
        <v>308</v>
      </c>
      <c r="N1354">
        <v>57</v>
      </c>
      <c r="O1354" s="9">
        <v>0</v>
      </c>
      <c r="P1354">
        <v>0</v>
      </c>
      <c r="Q1354">
        <v>136</v>
      </c>
      <c r="R1354">
        <v>2</v>
      </c>
      <c r="S1354">
        <v>113</v>
      </c>
      <c r="T1354">
        <v>0</v>
      </c>
      <c r="U1354" s="3">
        <v>0.99350649350649356</v>
      </c>
      <c r="V1354" s="3">
        <v>0.99380804953560375</v>
      </c>
    </row>
    <row r="1355" spans="1:22" x14ac:dyDescent="0.25">
      <c r="A1355" s="2">
        <v>2017</v>
      </c>
      <c r="B1355" t="s">
        <v>51</v>
      </c>
      <c r="C1355" t="s">
        <v>24</v>
      </c>
      <c r="D1355" s="2">
        <v>115</v>
      </c>
      <c r="E1355" s="2">
        <v>119430</v>
      </c>
      <c r="F1355" t="s">
        <v>391</v>
      </c>
      <c r="G1355">
        <v>8</v>
      </c>
      <c r="H1355">
        <v>8</v>
      </c>
      <c r="I1355">
        <v>0</v>
      </c>
      <c r="J1355">
        <v>0</v>
      </c>
      <c r="K1355">
        <v>0</v>
      </c>
      <c r="L1355" s="6">
        <f t="shared" si="123"/>
        <v>1</v>
      </c>
      <c r="M1355">
        <v>151</v>
      </c>
      <c r="N1355">
        <v>21</v>
      </c>
      <c r="O1355" s="9">
        <v>0</v>
      </c>
      <c r="P1355">
        <v>0</v>
      </c>
      <c r="Q1355">
        <v>62</v>
      </c>
      <c r="R1355">
        <v>0</v>
      </c>
      <c r="S1355">
        <v>68</v>
      </c>
      <c r="T1355">
        <v>0</v>
      </c>
      <c r="U1355" s="3">
        <v>1</v>
      </c>
      <c r="V1355" s="3">
        <v>1</v>
      </c>
    </row>
    <row r="1356" spans="1:22" x14ac:dyDescent="0.25">
      <c r="A1356" s="2">
        <v>2017</v>
      </c>
      <c r="B1356" t="s">
        <v>51</v>
      </c>
      <c r="C1356" t="s">
        <v>24</v>
      </c>
      <c r="D1356" s="2">
        <v>107</v>
      </c>
      <c r="E1356" s="2">
        <v>119171</v>
      </c>
      <c r="F1356" t="s">
        <v>393</v>
      </c>
      <c r="G1356">
        <v>17</v>
      </c>
      <c r="H1356">
        <v>17</v>
      </c>
      <c r="I1356">
        <v>0</v>
      </c>
      <c r="J1356">
        <v>0</v>
      </c>
      <c r="K1356">
        <v>0</v>
      </c>
      <c r="L1356" s="6">
        <f t="shared" si="123"/>
        <v>1</v>
      </c>
      <c r="M1356">
        <v>202</v>
      </c>
      <c r="N1356">
        <v>40</v>
      </c>
      <c r="O1356" s="9">
        <v>0</v>
      </c>
      <c r="P1356">
        <v>0</v>
      </c>
      <c r="Q1356">
        <v>104</v>
      </c>
      <c r="R1356">
        <v>0</v>
      </c>
      <c r="S1356">
        <v>58</v>
      </c>
      <c r="T1356">
        <v>0</v>
      </c>
      <c r="U1356" s="3">
        <v>1</v>
      </c>
      <c r="V1356" s="3">
        <v>1</v>
      </c>
    </row>
    <row r="1357" spans="1:22" x14ac:dyDescent="0.25">
      <c r="A1357" s="2">
        <v>2017</v>
      </c>
      <c r="B1357" t="s">
        <v>51</v>
      </c>
      <c r="C1357" t="s">
        <v>24</v>
      </c>
      <c r="D1357" s="2">
        <v>104</v>
      </c>
      <c r="E1357" s="2">
        <v>118880</v>
      </c>
      <c r="F1357" t="s">
        <v>394</v>
      </c>
      <c r="G1357">
        <v>14</v>
      </c>
      <c r="H1357">
        <v>14</v>
      </c>
      <c r="I1357">
        <v>0</v>
      </c>
      <c r="J1357">
        <v>0</v>
      </c>
      <c r="K1357">
        <v>0</v>
      </c>
      <c r="L1357" s="6">
        <f t="shared" si="123"/>
        <v>1</v>
      </c>
      <c r="M1357">
        <v>270</v>
      </c>
      <c r="N1357">
        <v>38</v>
      </c>
      <c r="O1357" s="9">
        <v>0</v>
      </c>
      <c r="P1357">
        <v>1</v>
      </c>
      <c r="Q1357">
        <v>125</v>
      </c>
      <c r="R1357">
        <v>0</v>
      </c>
      <c r="S1357">
        <v>106</v>
      </c>
      <c r="T1357">
        <v>0</v>
      </c>
      <c r="U1357" s="3">
        <v>0.99629629629629635</v>
      </c>
      <c r="V1357" s="3">
        <v>0.99647887323943662</v>
      </c>
    </row>
    <row r="1358" spans="1:22" x14ac:dyDescent="0.25">
      <c r="A1358" s="2">
        <v>2017</v>
      </c>
      <c r="B1358" t="s">
        <v>51</v>
      </c>
      <c r="C1358" t="s">
        <v>24</v>
      </c>
      <c r="D1358" s="2">
        <v>112</v>
      </c>
      <c r="E1358" s="2">
        <v>10769</v>
      </c>
      <c r="F1358" t="s">
        <v>356</v>
      </c>
      <c r="G1358">
        <v>0</v>
      </c>
      <c r="H1358">
        <v>0</v>
      </c>
      <c r="I1358">
        <v>0</v>
      </c>
      <c r="J1358">
        <v>0</v>
      </c>
      <c r="K1358">
        <v>0</v>
      </c>
      <c r="L1358" s="6">
        <f t="shared" si="123"/>
        <v>0</v>
      </c>
      <c r="M1358">
        <v>1</v>
      </c>
      <c r="N1358">
        <v>0</v>
      </c>
      <c r="O1358" s="9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 s="3">
        <v>1</v>
      </c>
      <c r="V1358" s="3">
        <v>1</v>
      </c>
    </row>
    <row r="1359" spans="1:22" x14ac:dyDescent="0.25">
      <c r="A1359" s="2">
        <v>2017</v>
      </c>
      <c r="B1359" t="s">
        <v>51</v>
      </c>
      <c r="C1359" t="s">
        <v>24</v>
      </c>
      <c r="D1359" s="2">
        <v>132</v>
      </c>
      <c r="E1359" s="2">
        <v>121352</v>
      </c>
      <c r="F1359" t="s">
        <v>395</v>
      </c>
      <c r="G1359">
        <v>14</v>
      </c>
      <c r="H1359">
        <v>14</v>
      </c>
      <c r="I1359">
        <v>0</v>
      </c>
      <c r="J1359">
        <v>0</v>
      </c>
      <c r="K1359">
        <v>0</v>
      </c>
      <c r="L1359" s="6">
        <f t="shared" si="123"/>
        <v>1</v>
      </c>
      <c r="M1359">
        <v>322</v>
      </c>
      <c r="N1359">
        <v>53</v>
      </c>
      <c r="O1359" s="9">
        <v>0</v>
      </c>
      <c r="P1359">
        <v>0</v>
      </c>
      <c r="Q1359">
        <v>152</v>
      </c>
      <c r="R1359">
        <v>1</v>
      </c>
      <c r="S1359">
        <v>115</v>
      </c>
      <c r="T1359">
        <v>1</v>
      </c>
      <c r="U1359" s="3">
        <v>0.99689440993788825</v>
      </c>
      <c r="V1359" s="3">
        <v>0.99702380952380953</v>
      </c>
    </row>
    <row r="1360" spans="1:22" x14ac:dyDescent="0.25">
      <c r="A1360" s="2">
        <v>2017</v>
      </c>
      <c r="B1360" t="s">
        <v>51</v>
      </c>
      <c r="C1360" t="s">
        <v>24</v>
      </c>
      <c r="D1360" s="2">
        <v>113</v>
      </c>
      <c r="E1360" s="2">
        <v>119349</v>
      </c>
      <c r="F1360" t="s">
        <v>397</v>
      </c>
      <c r="G1360">
        <v>20</v>
      </c>
      <c r="H1360">
        <v>20</v>
      </c>
      <c r="I1360">
        <v>0</v>
      </c>
      <c r="J1360">
        <v>0</v>
      </c>
      <c r="K1360">
        <v>0</v>
      </c>
      <c r="L1360" s="6">
        <f t="shared" si="123"/>
        <v>1</v>
      </c>
      <c r="M1360">
        <v>241</v>
      </c>
      <c r="N1360">
        <v>55</v>
      </c>
      <c r="O1360" s="9">
        <v>0</v>
      </c>
      <c r="P1360">
        <v>0</v>
      </c>
      <c r="Q1360">
        <v>89</v>
      </c>
      <c r="R1360">
        <v>0</v>
      </c>
      <c r="S1360">
        <v>95</v>
      </c>
      <c r="T1360">
        <v>2</v>
      </c>
      <c r="U1360" s="3">
        <v>1</v>
      </c>
      <c r="V1360" s="3">
        <v>1</v>
      </c>
    </row>
    <row r="1361" spans="1:22" x14ac:dyDescent="0.25">
      <c r="A1361" s="2">
        <v>2017</v>
      </c>
      <c r="B1361" t="s">
        <v>51</v>
      </c>
      <c r="C1361" t="s">
        <v>24</v>
      </c>
      <c r="D1361" s="2">
        <v>135</v>
      </c>
      <c r="E1361" s="2">
        <v>121924</v>
      </c>
      <c r="F1361" t="s">
        <v>398</v>
      </c>
      <c r="G1361">
        <v>20</v>
      </c>
      <c r="H1361">
        <v>20</v>
      </c>
      <c r="I1361">
        <v>0</v>
      </c>
      <c r="J1361">
        <v>0</v>
      </c>
      <c r="K1361">
        <v>0</v>
      </c>
      <c r="L1361" s="6">
        <f t="shared" si="123"/>
        <v>1</v>
      </c>
      <c r="M1361">
        <v>262</v>
      </c>
      <c r="N1361">
        <v>48</v>
      </c>
      <c r="O1361" s="9">
        <v>0</v>
      </c>
      <c r="P1361">
        <v>1</v>
      </c>
      <c r="Q1361">
        <v>126</v>
      </c>
      <c r="R1361">
        <v>0</v>
      </c>
      <c r="S1361">
        <v>86</v>
      </c>
      <c r="T1361">
        <v>1</v>
      </c>
      <c r="U1361" s="3">
        <v>0.99618320610687028</v>
      </c>
      <c r="V1361" s="3">
        <v>0.99645390070921991</v>
      </c>
    </row>
    <row r="1362" spans="1:22" x14ac:dyDescent="0.25">
      <c r="A1362" s="2">
        <v>2017</v>
      </c>
      <c r="B1362" t="s">
        <v>51</v>
      </c>
      <c r="C1362" t="s">
        <v>24</v>
      </c>
      <c r="D1362" s="2">
        <v>28</v>
      </c>
      <c r="E1362" s="2">
        <v>4356</v>
      </c>
      <c r="F1362" t="s">
        <v>360</v>
      </c>
      <c r="G1362">
        <v>0</v>
      </c>
      <c r="H1362">
        <v>0</v>
      </c>
      <c r="I1362">
        <v>0</v>
      </c>
      <c r="J1362">
        <v>0</v>
      </c>
      <c r="K1362">
        <v>0</v>
      </c>
      <c r="L1362" s="6">
        <f t="shared" ref="L1362:L1425" si="124">IF(G1362=0,0,SUM(H1362:J1362)/G1362)</f>
        <v>0</v>
      </c>
      <c r="M1362">
        <v>3</v>
      </c>
      <c r="N1362">
        <v>1</v>
      </c>
      <c r="O1362" s="9">
        <v>0</v>
      </c>
      <c r="P1362">
        <v>0</v>
      </c>
      <c r="Q1362">
        <v>2</v>
      </c>
      <c r="R1362">
        <v>0</v>
      </c>
      <c r="S1362">
        <v>0</v>
      </c>
      <c r="T1362">
        <v>0</v>
      </c>
      <c r="U1362" s="3">
        <v>1</v>
      </c>
      <c r="V1362" s="3">
        <v>1</v>
      </c>
    </row>
    <row r="1363" spans="1:22" x14ac:dyDescent="0.25">
      <c r="A1363" s="2">
        <v>2017</v>
      </c>
      <c r="B1363" t="s">
        <v>51</v>
      </c>
      <c r="C1363" t="s">
        <v>24</v>
      </c>
      <c r="D1363" s="2">
        <v>85</v>
      </c>
      <c r="E1363" s="2">
        <v>10528</v>
      </c>
      <c r="F1363" t="s">
        <v>400</v>
      </c>
      <c r="G1363">
        <v>11</v>
      </c>
      <c r="H1363">
        <v>11</v>
      </c>
      <c r="I1363">
        <v>0</v>
      </c>
      <c r="J1363">
        <v>0</v>
      </c>
      <c r="K1363">
        <v>0</v>
      </c>
      <c r="L1363" s="6">
        <f t="shared" si="124"/>
        <v>1</v>
      </c>
      <c r="M1363">
        <v>125</v>
      </c>
      <c r="N1363">
        <v>31</v>
      </c>
      <c r="O1363" s="9">
        <v>0</v>
      </c>
      <c r="P1363">
        <v>0</v>
      </c>
      <c r="Q1363">
        <v>57</v>
      </c>
      <c r="R1363">
        <v>0</v>
      </c>
      <c r="S1363">
        <v>36</v>
      </c>
      <c r="T1363">
        <v>1</v>
      </c>
      <c r="U1363" s="3">
        <v>1</v>
      </c>
      <c r="V1363" s="3">
        <v>1</v>
      </c>
    </row>
    <row r="1364" spans="1:22" x14ac:dyDescent="0.25">
      <c r="A1364" s="2">
        <v>2017</v>
      </c>
      <c r="B1364" t="s">
        <v>51</v>
      </c>
      <c r="C1364" t="s">
        <v>24</v>
      </c>
      <c r="D1364" s="2">
        <v>93</v>
      </c>
      <c r="E1364" s="2">
        <v>118657</v>
      </c>
      <c r="F1364" t="s">
        <v>401</v>
      </c>
      <c r="G1364">
        <v>13</v>
      </c>
      <c r="H1364">
        <v>13</v>
      </c>
      <c r="I1364">
        <v>0</v>
      </c>
      <c r="J1364">
        <v>0</v>
      </c>
      <c r="K1364">
        <v>0</v>
      </c>
      <c r="L1364" s="6">
        <f t="shared" si="124"/>
        <v>1</v>
      </c>
      <c r="M1364">
        <v>267</v>
      </c>
      <c r="N1364">
        <v>44</v>
      </c>
      <c r="O1364" s="9">
        <v>0</v>
      </c>
      <c r="P1364">
        <v>1</v>
      </c>
      <c r="Q1364">
        <v>119</v>
      </c>
      <c r="R1364">
        <v>0</v>
      </c>
      <c r="S1364">
        <v>102</v>
      </c>
      <c r="T1364">
        <v>1</v>
      </c>
      <c r="U1364" s="3">
        <v>0.99625468164794007</v>
      </c>
      <c r="V1364" s="3">
        <v>0.99642857142857144</v>
      </c>
    </row>
    <row r="1365" spans="1:22" x14ac:dyDescent="0.25">
      <c r="A1365" s="2">
        <v>2017</v>
      </c>
      <c r="B1365" t="s">
        <v>51</v>
      </c>
      <c r="C1365" t="s">
        <v>24</v>
      </c>
      <c r="D1365" s="2">
        <v>36</v>
      </c>
      <c r="E1365" s="2">
        <v>118472</v>
      </c>
      <c r="F1365" t="s">
        <v>503</v>
      </c>
      <c r="G1365">
        <v>14</v>
      </c>
      <c r="H1365">
        <v>14</v>
      </c>
      <c r="I1365">
        <v>0</v>
      </c>
      <c r="J1365">
        <v>0</v>
      </c>
      <c r="K1365">
        <v>0</v>
      </c>
      <c r="L1365" s="6">
        <f t="shared" si="124"/>
        <v>1</v>
      </c>
      <c r="M1365">
        <v>332</v>
      </c>
      <c r="N1365">
        <v>63</v>
      </c>
      <c r="O1365" s="9">
        <v>0</v>
      </c>
      <c r="P1365">
        <v>0</v>
      </c>
      <c r="Q1365">
        <v>144</v>
      </c>
      <c r="R1365">
        <v>0</v>
      </c>
      <c r="S1365">
        <v>125</v>
      </c>
      <c r="T1365">
        <v>0</v>
      </c>
      <c r="U1365" s="3">
        <v>1</v>
      </c>
      <c r="V1365" s="3">
        <v>1</v>
      </c>
    </row>
    <row r="1366" spans="1:22" x14ac:dyDescent="0.25">
      <c r="A1366" s="2">
        <v>2017</v>
      </c>
      <c r="B1366" t="s">
        <v>51</v>
      </c>
      <c r="C1366" t="s">
        <v>24</v>
      </c>
      <c r="D1366" s="2">
        <v>1</v>
      </c>
      <c r="E1366" s="2">
        <v>6777</v>
      </c>
      <c r="F1366" t="s">
        <v>34</v>
      </c>
      <c r="G1366">
        <v>1</v>
      </c>
      <c r="H1366">
        <v>1</v>
      </c>
      <c r="I1366">
        <v>0</v>
      </c>
      <c r="J1366">
        <v>0</v>
      </c>
      <c r="K1366">
        <v>0</v>
      </c>
      <c r="L1366" s="6">
        <f t="shared" si="124"/>
        <v>1</v>
      </c>
      <c r="M1366">
        <v>17</v>
      </c>
      <c r="N1366">
        <v>4</v>
      </c>
      <c r="O1366" s="9">
        <v>0</v>
      </c>
      <c r="P1366">
        <v>0</v>
      </c>
      <c r="Q1366">
        <v>9</v>
      </c>
      <c r="R1366">
        <v>0</v>
      </c>
      <c r="S1366">
        <v>4</v>
      </c>
      <c r="T1366">
        <v>0</v>
      </c>
      <c r="U1366" s="3">
        <v>1</v>
      </c>
      <c r="V1366" s="3">
        <v>1</v>
      </c>
    </row>
    <row r="1367" spans="1:22" x14ac:dyDescent="0.25">
      <c r="A1367" s="2">
        <v>2017</v>
      </c>
      <c r="B1367" t="s">
        <v>51</v>
      </c>
      <c r="C1367" t="s">
        <v>24</v>
      </c>
      <c r="D1367" s="2">
        <v>133</v>
      </c>
      <c r="E1367" s="2">
        <v>120862</v>
      </c>
      <c r="F1367" t="s">
        <v>48</v>
      </c>
      <c r="G1367">
        <v>0</v>
      </c>
      <c r="H1367">
        <v>0</v>
      </c>
      <c r="I1367">
        <v>0</v>
      </c>
      <c r="J1367">
        <v>0</v>
      </c>
      <c r="K1367">
        <v>0</v>
      </c>
      <c r="L1367" s="6">
        <f t="shared" si="124"/>
        <v>0</v>
      </c>
      <c r="M1367">
        <v>21</v>
      </c>
      <c r="N1367">
        <v>5</v>
      </c>
      <c r="O1367" s="9">
        <v>0</v>
      </c>
      <c r="P1367">
        <v>0</v>
      </c>
      <c r="Q1367">
        <v>10</v>
      </c>
      <c r="R1367">
        <v>0</v>
      </c>
      <c r="S1367">
        <v>6</v>
      </c>
      <c r="T1367">
        <v>0</v>
      </c>
      <c r="U1367" s="3">
        <v>1</v>
      </c>
      <c r="V1367" s="3">
        <v>1</v>
      </c>
    </row>
    <row r="1368" spans="1:22" x14ac:dyDescent="0.25">
      <c r="A1368" s="2">
        <v>2017</v>
      </c>
      <c r="B1368" t="s">
        <v>51</v>
      </c>
      <c r="C1368" t="s">
        <v>24</v>
      </c>
      <c r="D1368" s="2">
        <v>102</v>
      </c>
      <c r="E1368" s="2">
        <v>119090</v>
      </c>
      <c r="F1368" t="s">
        <v>402</v>
      </c>
      <c r="G1368">
        <v>17</v>
      </c>
      <c r="H1368">
        <v>17</v>
      </c>
      <c r="I1368">
        <v>0</v>
      </c>
      <c r="J1368">
        <v>0</v>
      </c>
      <c r="K1368">
        <v>0</v>
      </c>
      <c r="L1368" s="6">
        <f t="shared" si="124"/>
        <v>1</v>
      </c>
      <c r="M1368">
        <v>254</v>
      </c>
      <c r="N1368">
        <v>46</v>
      </c>
      <c r="O1368" s="9">
        <v>0</v>
      </c>
      <c r="P1368">
        <v>4</v>
      </c>
      <c r="Q1368">
        <v>111</v>
      </c>
      <c r="R1368">
        <v>0</v>
      </c>
      <c r="S1368">
        <v>93</v>
      </c>
      <c r="T1368">
        <v>0</v>
      </c>
      <c r="U1368" s="3">
        <v>0.98425196850393704</v>
      </c>
      <c r="V1368" s="3">
        <v>0.98523985239852396</v>
      </c>
    </row>
    <row r="1369" spans="1:22" x14ac:dyDescent="0.25">
      <c r="A1369" s="2">
        <v>2017</v>
      </c>
      <c r="B1369" t="s">
        <v>51</v>
      </c>
      <c r="C1369" t="s">
        <v>24</v>
      </c>
      <c r="D1369" s="2">
        <v>40</v>
      </c>
      <c r="E1369" s="2">
        <v>6831</v>
      </c>
      <c r="F1369" t="s">
        <v>28</v>
      </c>
      <c r="G1369">
        <v>26</v>
      </c>
      <c r="H1369">
        <v>25</v>
      </c>
      <c r="I1369">
        <v>0</v>
      </c>
      <c r="J1369">
        <v>0</v>
      </c>
      <c r="K1369">
        <v>1</v>
      </c>
      <c r="L1369" s="6">
        <f t="shared" si="124"/>
        <v>0.96153846153846156</v>
      </c>
      <c r="M1369">
        <v>341</v>
      </c>
      <c r="N1369">
        <v>43</v>
      </c>
      <c r="O1369" s="9">
        <v>0</v>
      </c>
      <c r="P1369">
        <v>1</v>
      </c>
      <c r="Q1369">
        <v>138</v>
      </c>
      <c r="R1369">
        <v>0</v>
      </c>
      <c r="S1369">
        <v>159</v>
      </c>
      <c r="T1369">
        <v>0</v>
      </c>
      <c r="U1369" s="3">
        <v>0.99706744868035191</v>
      </c>
      <c r="V1369" s="3">
        <v>0.99455040871934608</v>
      </c>
    </row>
    <row r="1370" spans="1:22" x14ac:dyDescent="0.25">
      <c r="A1370" s="2">
        <v>2017</v>
      </c>
      <c r="B1370" t="s">
        <v>51</v>
      </c>
      <c r="C1370" t="s">
        <v>24</v>
      </c>
      <c r="D1370" s="2">
        <v>134</v>
      </c>
      <c r="E1370" s="2">
        <v>4968</v>
      </c>
      <c r="F1370" t="s">
        <v>29</v>
      </c>
      <c r="G1370">
        <v>14</v>
      </c>
      <c r="H1370">
        <v>14</v>
      </c>
      <c r="I1370">
        <v>0</v>
      </c>
      <c r="J1370">
        <v>0</v>
      </c>
      <c r="K1370">
        <v>0</v>
      </c>
      <c r="L1370" s="6">
        <f t="shared" si="124"/>
        <v>1</v>
      </c>
      <c r="M1370">
        <v>290</v>
      </c>
      <c r="N1370">
        <v>43</v>
      </c>
      <c r="O1370" s="9">
        <v>0</v>
      </c>
      <c r="P1370">
        <v>1</v>
      </c>
      <c r="Q1370">
        <v>142</v>
      </c>
      <c r="R1370">
        <v>1</v>
      </c>
      <c r="S1370">
        <v>103</v>
      </c>
      <c r="T1370">
        <v>0</v>
      </c>
      <c r="U1370" s="3">
        <v>0.99310344827586206</v>
      </c>
      <c r="V1370" s="3">
        <v>0.99342105263157898</v>
      </c>
    </row>
    <row r="1371" spans="1:22" x14ac:dyDescent="0.25">
      <c r="A1371" s="2">
        <v>2017</v>
      </c>
      <c r="B1371" t="s">
        <v>51</v>
      </c>
      <c r="C1371" t="s">
        <v>24</v>
      </c>
      <c r="D1371" s="2">
        <v>131</v>
      </c>
      <c r="E1371" s="2">
        <v>121355</v>
      </c>
      <c r="F1371" t="s">
        <v>504</v>
      </c>
      <c r="G1371">
        <v>4</v>
      </c>
      <c r="H1371">
        <v>4</v>
      </c>
      <c r="I1371">
        <v>0</v>
      </c>
      <c r="J1371">
        <v>0</v>
      </c>
      <c r="K1371">
        <v>0</v>
      </c>
      <c r="L1371" s="6">
        <f t="shared" si="124"/>
        <v>1</v>
      </c>
      <c r="M1371">
        <v>80</v>
      </c>
      <c r="N1371">
        <v>6</v>
      </c>
      <c r="O1371" s="9">
        <v>0</v>
      </c>
      <c r="P1371">
        <v>0</v>
      </c>
      <c r="Q1371">
        <v>41</v>
      </c>
      <c r="R1371">
        <v>0</v>
      </c>
      <c r="S1371">
        <v>33</v>
      </c>
      <c r="T1371">
        <v>0</v>
      </c>
      <c r="U1371" s="3">
        <v>1</v>
      </c>
      <c r="V1371" s="3">
        <v>1</v>
      </c>
    </row>
    <row r="1372" spans="1:22" x14ac:dyDescent="0.25">
      <c r="A1372" s="2">
        <v>2017</v>
      </c>
      <c r="B1372" t="s">
        <v>51</v>
      </c>
      <c r="C1372" t="s">
        <v>24</v>
      </c>
      <c r="D1372" s="2">
        <v>138</v>
      </c>
      <c r="E1372" s="2">
        <v>122073</v>
      </c>
      <c r="F1372" t="s">
        <v>406</v>
      </c>
      <c r="G1372">
        <v>22</v>
      </c>
      <c r="H1372">
        <v>21</v>
      </c>
      <c r="I1372">
        <v>0</v>
      </c>
      <c r="J1372">
        <v>0</v>
      </c>
      <c r="K1372">
        <v>1</v>
      </c>
      <c r="L1372" s="6">
        <f t="shared" si="124"/>
        <v>0.95454545454545459</v>
      </c>
      <c r="M1372">
        <v>353</v>
      </c>
      <c r="N1372">
        <v>52</v>
      </c>
      <c r="O1372" s="9">
        <v>0</v>
      </c>
      <c r="P1372">
        <v>0</v>
      </c>
      <c r="Q1372">
        <v>170</v>
      </c>
      <c r="R1372">
        <v>0</v>
      </c>
      <c r="S1372">
        <v>130</v>
      </c>
      <c r="T1372">
        <v>1</v>
      </c>
      <c r="U1372" s="3">
        <v>1</v>
      </c>
      <c r="V1372" s="3">
        <v>0.99733333333333329</v>
      </c>
    </row>
    <row r="1373" spans="1:22" x14ac:dyDescent="0.25">
      <c r="A1373" s="2">
        <v>2017</v>
      </c>
      <c r="B1373" t="s">
        <v>51</v>
      </c>
      <c r="C1373" t="s">
        <v>24</v>
      </c>
      <c r="D1373" s="2">
        <v>150</v>
      </c>
      <c r="E1373" s="2">
        <v>123118</v>
      </c>
      <c r="F1373" t="s">
        <v>30</v>
      </c>
      <c r="G1373">
        <v>14</v>
      </c>
      <c r="H1373">
        <v>14</v>
      </c>
      <c r="I1373">
        <v>0</v>
      </c>
      <c r="J1373">
        <v>0</v>
      </c>
      <c r="K1373">
        <v>0</v>
      </c>
      <c r="L1373" s="6">
        <f t="shared" si="124"/>
        <v>1</v>
      </c>
      <c r="M1373">
        <v>190</v>
      </c>
      <c r="N1373">
        <v>37</v>
      </c>
      <c r="O1373" s="9">
        <v>0</v>
      </c>
      <c r="P1373">
        <v>0</v>
      </c>
      <c r="Q1373">
        <v>85</v>
      </c>
      <c r="R1373">
        <v>0</v>
      </c>
      <c r="S1373">
        <v>68</v>
      </c>
      <c r="T1373">
        <v>0</v>
      </c>
      <c r="U1373" s="3">
        <v>1</v>
      </c>
      <c r="V1373" s="3">
        <v>1</v>
      </c>
    </row>
    <row r="1374" spans="1:22" x14ac:dyDescent="0.25">
      <c r="A1374" s="2">
        <v>2017</v>
      </c>
      <c r="B1374" t="s">
        <v>51</v>
      </c>
      <c r="C1374" t="s">
        <v>24</v>
      </c>
      <c r="D1374" s="2">
        <v>151</v>
      </c>
      <c r="E1374" s="2">
        <v>123113</v>
      </c>
      <c r="F1374" t="s">
        <v>424</v>
      </c>
      <c r="G1374">
        <v>16</v>
      </c>
      <c r="H1374">
        <v>16</v>
      </c>
      <c r="I1374">
        <v>0</v>
      </c>
      <c r="J1374">
        <v>0</v>
      </c>
      <c r="K1374">
        <v>0</v>
      </c>
      <c r="L1374" s="6">
        <f t="shared" si="124"/>
        <v>1</v>
      </c>
      <c r="M1374">
        <v>239</v>
      </c>
      <c r="N1374">
        <v>39</v>
      </c>
      <c r="O1374" s="9">
        <v>0</v>
      </c>
      <c r="P1374">
        <v>1</v>
      </c>
      <c r="Q1374">
        <v>110</v>
      </c>
      <c r="R1374">
        <v>0</v>
      </c>
      <c r="S1374">
        <v>88</v>
      </c>
      <c r="T1374">
        <v>1</v>
      </c>
      <c r="U1374" s="3">
        <v>0.99581589958159</v>
      </c>
      <c r="V1374" s="3">
        <v>0.99607843137254903</v>
      </c>
    </row>
    <row r="1375" spans="1:22" x14ac:dyDescent="0.25">
      <c r="A1375" s="2">
        <v>2017</v>
      </c>
      <c r="B1375" t="s">
        <v>51</v>
      </c>
      <c r="C1375" t="s">
        <v>24</v>
      </c>
      <c r="D1375" s="2">
        <v>39</v>
      </c>
      <c r="E1375" s="2">
        <v>6832</v>
      </c>
      <c r="F1375" t="s">
        <v>407</v>
      </c>
      <c r="G1375">
        <v>13</v>
      </c>
      <c r="H1375">
        <v>13</v>
      </c>
      <c r="I1375">
        <v>0</v>
      </c>
      <c r="J1375">
        <v>0</v>
      </c>
      <c r="K1375">
        <v>0</v>
      </c>
      <c r="L1375" s="6">
        <f t="shared" si="124"/>
        <v>1</v>
      </c>
      <c r="M1375">
        <v>266</v>
      </c>
      <c r="N1375">
        <v>51</v>
      </c>
      <c r="O1375" s="9">
        <v>0</v>
      </c>
      <c r="P1375">
        <v>0</v>
      </c>
      <c r="Q1375">
        <v>118</v>
      </c>
      <c r="R1375">
        <v>0</v>
      </c>
      <c r="S1375">
        <v>97</v>
      </c>
      <c r="T1375">
        <v>0</v>
      </c>
      <c r="U1375" s="3">
        <v>1</v>
      </c>
      <c r="V1375" s="3">
        <v>1</v>
      </c>
    </row>
    <row r="1376" spans="1:22" x14ac:dyDescent="0.25">
      <c r="A1376" s="2">
        <v>2017</v>
      </c>
      <c r="B1376" t="s">
        <v>51</v>
      </c>
      <c r="C1376" t="s">
        <v>24</v>
      </c>
      <c r="D1376" s="2">
        <v>125</v>
      </c>
      <c r="E1376" s="2">
        <v>111111111</v>
      </c>
      <c r="F1376" t="s">
        <v>448</v>
      </c>
      <c r="G1376">
        <v>0</v>
      </c>
      <c r="H1376">
        <v>0</v>
      </c>
      <c r="I1376">
        <v>0</v>
      </c>
      <c r="J1376">
        <v>0</v>
      </c>
      <c r="K1376">
        <v>0</v>
      </c>
      <c r="L1376" s="6">
        <f t="shared" si="124"/>
        <v>0</v>
      </c>
      <c r="M1376">
        <v>1</v>
      </c>
      <c r="N1376">
        <v>0</v>
      </c>
      <c r="O1376" s="9">
        <v>0</v>
      </c>
      <c r="P1376">
        <v>0</v>
      </c>
      <c r="Q1376">
        <v>0</v>
      </c>
      <c r="R1376">
        <v>0</v>
      </c>
      <c r="S1376">
        <v>1</v>
      </c>
      <c r="T1376">
        <v>0</v>
      </c>
      <c r="U1376" s="3">
        <v>1</v>
      </c>
      <c r="V1376" s="3">
        <v>1</v>
      </c>
    </row>
    <row r="1377" spans="1:22" x14ac:dyDescent="0.25">
      <c r="A1377" s="2">
        <v>2017</v>
      </c>
      <c r="B1377" t="s">
        <v>51</v>
      </c>
      <c r="C1377" t="s">
        <v>24</v>
      </c>
      <c r="D1377" s="2">
        <v>74</v>
      </c>
      <c r="E1377" s="2">
        <v>8687</v>
      </c>
      <c r="F1377" t="s">
        <v>346</v>
      </c>
      <c r="G1377">
        <v>0</v>
      </c>
      <c r="H1377">
        <v>0</v>
      </c>
      <c r="I1377">
        <v>0</v>
      </c>
      <c r="J1377">
        <v>0</v>
      </c>
      <c r="K1377">
        <v>0</v>
      </c>
      <c r="L1377" s="6">
        <f t="shared" si="124"/>
        <v>0</v>
      </c>
      <c r="M1377">
        <v>1</v>
      </c>
      <c r="N1377">
        <v>0</v>
      </c>
      <c r="O1377" s="9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 s="3">
        <v>1</v>
      </c>
      <c r="V1377" s="3">
        <v>1</v>
      </c>
    </row>
    <row r="1378" spans="1:22" x14ac:dyDescent="0.25">
      <c r="A1378" s="2">
        <v>2017</v>
      </c>
      <c r="B1378" t="s">
        <v>51</v>
      </c>
      <c r="C1378" t="s">
        <v>24</v>
      </c>
      <c r="D1378" s="2">
        <v>78</v>
      </c>
      <c r="E1378" s="2">
        <v>8720</v>
      </c>
      <c r="F1378" t="s">
        <v>408</v>
      </c>
      <c r="G1378">
        <v>6</v>
      </c>
      <c r="H1378">
        <v>6</v>
      </c>
      <c r="I1378">
        <v>0</v>
      </c>
      <c r="J1378">
        <v>0</v>
      </c>
      <c r="K1378">
        <v>0</v>
      </c>
      <c r="L1378" s="6">
        <f t="shared" si="124"/>
        <v>1</v>
      </c>
      <c r="M1378">
        <v>183</v>
      </c>
      <c r="N1378">
        <v>34</v>
      </c>
      <c r="O1378" s="9">
        <v>0</v>
      </c>
      <c r="P1378">
        <v>0</v>
      </c>
      <c r="Q1378">
        <v>86</v>
      </c>
      <c r="R1378">
        <v>0</v>
      </c>
      <c r="S1378">
        <v>63</v>
      </c>
      <c r="T1378">
        <v>0</v>
      </c>
      <c r="U1378" s="3">
        <v>1</v>
      </c>
      <c r="V1378" s="3">
        <v>1</v>
      </c>
    </row>
    <row r="1379" spans="1:22" x14ac:dyDescent="0.25">
      <c r="A1379" s="2">
        <v>2017</v>
      </c>
      <c r="B1379" t="s">
        <v>51</v>
      </c>
      <c r="C1379" t="s">
        <v>22</v>
      </c>
      <c r="D1379" s="2">
        <v>136</v>
      </c>
      <c r="E1379" s="2">
        <v>121923</v>
      </c>
      <c r="F1379" t="s">
        <v>41</v>
      </c>
      <c r="G1379">
        <v>20</v>
      </c>
      <c r="H1379">
        <v>20</v>
      </c>
      <c r="I1379">
        <v>0</v>
      </c>
      <c r="J1379">
        <v>0</v>
      </c>
      <c r="K1379">
        <v>0</v>
      </c>
      <c r="L1379" s="6">
        <f t="shared" si="124"/>
        <v>1</v>
      </c>
      <c r="M1379">
        <v>192</v>
      </c>
      <c r="N1379">
        <v>33</v>
      </c>
      <c r="O1379" s="9">
        <v>0</v>
      </c>
      <c r="P1379">
        <v>0</v>
      </c>
      <c r="Q1379">
        <v>91</v>
      </c>
      <c r="R1379">
        <v>0</v>
      </c>
      <c r="S1379">
        <v>68</v>
      </c>
      <c r="T1379">
        <v>0</v>
      </c>
      <c r="U1379" s="3">
        <v>1</v>
      </c>
      <c r="V1379" s="3">
        <v>1</v>
      </c>
    </row>
    <row r="1380" spans="1:22" x14ac:dyDescent="0.25">
      <c r="A1380" s="2">
        <v>2017</v>
      </c>
      <c r="B1380" t="s">
        <v>51</v>
      </c>
      <c r="C1380" t="s">
        <v>22</v>
      </c>
      <c r="D1380" s="2">
        <v>153</v>
      </c>
      <c r="E1380" s="2">
        <v>222222222</v>
      </c>
      <c r="F1380" t="s">
        <v>39</v>
      </c>
      <c r="G1380">
        <v>0</v>
      </c>
      <c r="H1380">
        <v>0</v>
      </c>
      <c r="I1380">
        <v>0</v>
      </c>
      <c r="J1380">
        <v>0</v>
      </c>
      <c r="K1380">
        <v>0</v>
      </c>
      <c r="L1380" s="6">
        <f t="shared" si="124"/>
        <v>0</v>
      </c>
      <c r="M1380">
        <v>1</v>
      </c>
      <c r="N1380">
        <v>0</v>
      </c>
      <c r="O1380" s="9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 s="3">
        <v>1</v>
      </c>
      <c r="V1380" s="3">
        <v>1</v>
      </c>
    </row>
    <row r="1381" spans="1:22" x14ac:dyDescent="0.25">
      <c r="A1381" s="2">
        <v>2017</v>
      </c>
      <c r="B1381" t="s">
        <v>51</v>
      </c>
      <c r="C1381" t="s">
        <v>22</v>
      </c>
      <c r="D1381" s="2">
        <v>137</v>
      </c>
      <c r="E1381" s="2">
        <v>5010</v>
      </c>
      <c r="F1381" t="s">
        <v>27</v>
      </c>
      <c r="G1381">
        <v>13</v>
      </c>
      <c r="H1381">
        <v>13</v>
      </c>
      <c r="I1381">
        <v>0</v>
      </c>
      <c r="J1381">
        <v>0</v>
      </c>
      <c r="K1381">
        <v>0</v>
      </c>
      <c r="L1381" s="6">
        <f t="shared" si="124"/>
        <v>1</v>
      </c>
      <c r="M1381">
        <v>190</v>
      </c>
      <c r="N1381">
        <v>34</v>
      </c>
      <c r="O1381" s="9">
        <v>0</v>
      </c>
      <c r="P1381">
        <v>0</v>
      </c>
      <c r="Q1381">
        <v>67</v>
      </c>
      <c r="R1381">
        <v>1</v>
      </c>
      <c r="S1381">
        <v>87</v>
      </c>
      <c r="T1381">
        <v>1</v>
      </c>
      <c r="U1381" s="3">
        <v>0.99473684210526314</v>
      </c>
      <c r="V1381" s="3">
        <v>0.99507389162561577</v>
      </c>
    </row>
    <row r="1382" spans="1:22" x14ac:dyDescent="0.25">
      <c r="A1382" s="2">
        <v>2017</v>
      </c>
      <c r="B1382" t="s">
        <v>51</v>
      </c>
      <c r="C1382" t="s">
        <v>22</v>
      </c>
      <c r="D1382" s="2">
        <v>29</v>
      </c>
      <c r="E1382" s="2">
        <v>4489</v>
      </c>
      <c r="F1382" t="s">
        <v>353</v>
      </c>
      <c r="G1382">
        <v>20</v>
      </c>
      <c r="H1382">
        <v>20</v>
      </c>
      <c r="I1382">
        <v>0</v>
      </c>
      <c r="J1382">
        <v>0</v>
      </c>
      <c r="K1382">
        <v>0</v>
      </c>
      <c r="L1382" s="6">
        <f t="shared" si="124"/>
        <v>1</v>
      </c>
      <c r="M1382">
        <v>260</v>
      </c>
      <c r="N1382">
        <v>42</v>
      </c>
      <c r="O1382" s="9">
        <v>0</v>
      </c>
      <c r="P1382">
        <v>1</v>
      </c>
      <c r="Q1382">
        <v>108</v>
      </c>
      <c r="R1382">
        <v>3</v>
      </c>
      <c r="S1382">
        <v>106</v>
      </c>
      <c r="T1382">
        <v>0</v>
      </c>
      <c r="U1382" s="3">
        <v>0.98461538461538467</v>
      </c>
      <c r="V1382" s="3">
        <v>0.98571428571428577</v>
      </c>
    </row>
    <row r="1383" spans="1:22" x14ac:dyDescent="0.25">
      <c r="A1383" s="2">
        <v>2017</v>
      </c>
      <c r="B1383" t="s">
        <v>51</v>
      </c>
      <c r="C1383" t="s">
        <v>22</v>
      </c>
      <c r="D1383" s="2">
        <v>38</v>
      </c>
      <c r="E1383" s="2">
        <v>7115</v>
      </c>
      <c r="F1383" t="s">
        <v>354</v>
      </c>
      <c r="G1383">
        <v>0</v>
      </c>
      <c r="H1383">
        <v>0</v>
      </c>
      <c r="I1383">
        <v>0</v>
      </c>
      <c r="J1383">
        <v>0</v>
      </c>
      <c r="K1383">
        <v>0</v>
      </c>
      <c r="L1383" s="6">
        <f t="shared" si="124"/>
        <v>0</v>
      </c>
      <c r="M1383">
        <v>1</v>
      </c>
      <c r="N1383">
        <v>0</v>
      </c>
      <c r="O1383" s="9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 s="3">
        <v>1</v>
      </c>
      <c r="V1383" s="3">
        <v>1</v>
      </c>
    </row>
    <row r="1384" spans="1:22" x14ac:dyDescent="0.25">
      <c r="A1384" s="2">
        <v>2017</v>
      </c>
      <c r="B1384" t="s">
        <v>51</v>
      </c>
      <c r="C1384" t="s">
        <v>22</v>
      </c>
      <c r="D1384" s="2">
        <v>58</v>
      </c>
      <c r="E1384" s="2">
        <v>7621</v>
      </c>
      <c r="F1384" t="s">
        <v>355</v>
      </c>
      <c r="G1384">
        <v>36</v>
      </c>
      <c r="H1384">
        <v>35</v>
      </c>
      <c r="I1384">
        <v>0</v>
      </c>
      <c r="J1384">
        <v>0</v>
      </c>
      <c r="K1384">
        <v>1</v>
      </c>
      <c r="L1384" s="6">
        <f t="shared" si="124"/>
        <v>0.97222222222222221</v>
      </c>
      <c r="M1384">
        <v>529</v>
      </c>
      <c r="N1384">
        <v>108</v>
      </c>
      <c r="O1384" s="9">
        <v>0</v>
      </c>
      <c r="P1384">
        <v>0</v>
      </c>
      <c r="Q1384">
        <v>262</v>
      </c>
      <c r="R1384">
        <v>0</v>
      </c>
      <c r="S1384">
        <v>154</v>
      </c>
      <c r="T1384">
        <v>5</v>
      </c>
      <c r="U1384" s="3">
        <v>1</v>
      </c>
      <c r="V1384" s="3">
        <v>0.99823008849557526</v>
      </c>
    </row>
    <row r="1385" spans="1:22" x14ac:dyDescent="0.25">
      <c r="A1385" s="2">
        <v>2017</v>
      </c>
      <c r="B1385" t="s">
        <v>51</v>
      </c>
      <c r="C1385" t="s">
        <v>22</v>
      </c>
      <c r="D1385" s="2">
        <v>14</v>
      </c>
      <c r="E1385" s="2">
        <v>5614</v>
      </c>
      <c r="F1385" t="s">
        <v>423</v>
      </c>
      <c r="G1385">
        <v>0</v>
      </c>
      <c r="H1385">
        <v>0</v>
      </c>
      <c r="I1385">
        <v>0</v>
      </c>
      <c r="J1385">
        <v>0</v>
      </c>
      <c r="K1385">
        <v>0</v>
      </c>
      <c r="L1385" s="6">
        <f t="shared" si="124"/>
        <v>0</v>
      </c>
      <c r="M1385">
        <v>1</v>
      </c>
      <c r="N1385">
        <v>0</v>
      </c>
      <c r="O1385" s="9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 s="3">
        <v>1</v>
      </c>
      <c r="V1385" s="3">
        <v>1</v>
      </c>
    </row>
    <row r="1386" spans="1:22" x14ac:dyDescent="0.25">
      <c r="A1386" s="2">
        <v>2017</v>
      </c>
      <c r="B1386" t="s">
        <v>51</v>
      </c>
      <c r="C1386" t="s">
        <v>22</v>
      </c>
      <c r="D1386" s="2">
        <v>159</v>
      </c>
      <c r="E1386" s="2">
        <v>124091</v>
      </c>
      <c r="F1386" t="s">
        <v>437</v>
      </c>
      <c r="G1386">
        <v>10</v>
      </c>
      <c r="H1386">
        <v>10</v>
      </c>
      <c r="I1386">
        <v>0</v>
      </c>
      <c r="J1386">
        <v>0</v>
      </c>
      <c r="K1386">
        <v>0</v>
      </c>
      <c r="L1386" s="6">
        <f t="shared" si="124"/>
        <v>1</v>
      </c>
      <c r="M1386">
        <v>113</v>
      </c>
      <c r="N1386">
        <v>20</v>
      </c>
      <c r="O1386" s="9">
        <v>0</v>
      </c>
      <c r="P1386">
        <v>0</v>
      </c>
      <c r="Q1386">
        <v>41</v>
      </c>
      <c r="R1386">
        <v>0</v>
      </c>
      <c r="S1386">
        <v>50</v>
      </c>
      <c r="T1386">
        <v>2</v>
      </c>
      <c r="U1386" s="3">
        <v>1</v>
      </c>
      <c r="V1386" s="3">
        <v>1</v>
      </c>
    </row>
    <row r="1387" spans="1:22" x14ac:dyDescent="0.25">
      <c r="A1387" s="2">
        <v>2017</v>
      </c>
      <c r="B1387" t="s">
        <v>51</v>
      </c>
      <c r="C1387" t="s">
        <v>22</v>
      </c>
      <c r="D1387" s="2">
        <v>161</v>
      </c>
      <c r="E1387" s="2">
        <v>222222222</v>
      </c>
      <c r="F1387" t="s">
        <v>446</v>
      </c>
      <c r="G1387">
        <v>3</v>
      </c>
      <c r="H1387">
        <v>3</v>
      </c>
      <c r="I1387">
        <v>0</v>
      </c>
      <c r="J1387">
        <v>0</v>
      </c>
      <c r="K1387">
        <v>0</v>
      </c>
      <c r="L1387" s="6">
        <f t="shared" si="124"/>
        <v>1</v>
      </c>
      <c r="M1387">
        <v>32</v>
      </c>
      <c r="N1387">
        <v>6</v>
      </c>
      <c r="O1387" s="9">
        <v>0</v>
      </c>
      <c r="P1387">
        <v>0</v>
      </c>
      <c r="Q1387">
        <v>12</v>
      </c>
      <c r="R1387">
        <v>0</v>
      </c>
      <c r="S1387">
        <v>14</v>
      </c>
      <c r="T1387">
        <v>0</v>
      </c>
      <c r="U1387" s="3">
        <v>1</v>
      </c>
      <c r="V1387" s="3">
        <v>1</v>
      </c>
    </row>
    <row r="1388" spans="1:22" x14ac:dyDescent="0.25">
      <c r="A1388" s="2">
        <v>2017</v>
      </c>
      <c r="B1388" t="s">
        <v>51</v>
      </c>
      <c r="C1388" t="s">
        <v>22</v>
      </c>
      <c r="D1388" s="2">
        <v>51</v>
      </c>
      <c r="E1388" s="2">
        <v>7616</v>
      </c>
      <c r="F1388" t="s">
        <v>410</v>
      </c>
      <c r="G1388">
        <v>0</v>
      </c>
      <c r="H1388">
        <v>0</v>
      </c>
      <c r="I1388">
        <v>0</v>
      </c>
      <c r="J1388">
        <v>0</v>
      </c>
      <c r="K1388">
        <v>0</v>
      </c>
      <c r="L1388" s="6">
        <f t="shared" si="124"/>
        <v>0</v>
      </c>
      <c r="M1388">
        <v>1</v>
      </c>
      <c r="N1388">
        <v>1</v>
      </c>
      <c r="O1388" s="9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 s="3">
        <v>1</v>
      </c>
      <c r="V1388" s="3">
        <v>1</v>
      </c>
    </row>
    <row r="1389" spans="1:22" x14ac:dyDescent="0.25">
      <c r="A1389" s="2">
        <v>2017</v>
      </c>
      <c r="B1389" t="s">
        <v>51</v>
      </c>
      <c r="C1389" t="s">
        <v>22</v>
      </c>
      <c r="D1389" s="2">
        <v>23</v>
      </c>
      <c r="E1389" s="2">
        <v>5832</v>
      </c>
      <c r="F1389" t="s">
        <v>358</v>
      </c>
      <c r="G1389">
        <v>3</v>
      </c>
      <c r="H1389">
        <v>3</v>
      </c>
      <c r="I1389">
        <v>0</v>
      </c>
      <c r="J1389">
        <v>0</v>
      </c>
      <c r="K1389">
        <v>0</v>
      </c>
      <c r="L1389" s="6">
        <f t="shared" si="124"/>
        <v>1</v>
      </c>
      <c r="M1389">
        <v>23</v>
      </c>
      <c r="N1389">
        <v>1</v>
      </c>
      <c r="O1389" s="9">
        <v>0</v>
      </c>
      <c r="P1389">
        <v>0</v>
      </c>
      <c r="Q1389">
        <v>11</v>
      </c>
      <c r="R1389">
        <v>0</v>
      </c>
      <c r="S1389">
        <v>11</v>
      </c>
      <c r="T1389">
        <v>0</v>
      </c>
      <c r="U1389" s="3">
        <v>1</v>
      </c>
      <c r="V1389" s="3">
        <v>1</v>
      </c>
    </row>
    <row r="1390" spans="1:22" x14ac:dyDescent="0.25">
      <c r="A1390" s="2">
        <v>2017</v>
      </c>
      <c r="B1390" t="s">
        <v>51</v>
      </c>
      <c r="C1390" t="s">
        <v>22</v>
      </c>
      <c r="D1390" s="2">
        <v>47</v>
      </c>
      <c r="E1390" s="2">
        <v>7465</v>
      </c>
      <c r="F1390" t="s">
        <v>412</v>
      </c>
      <c r="G1390">
        <v>0</v>
      </c>
      <c r="H1390">
        <v>0</v>
      </c>
      <c r="I1390">
        <v>0</v>
      </c>
      <c r="J1390">
        <v>0</v>
      </c>
      <c r="K1390">
        <v>0</v>
      </c>
      <c r="L1390" s="6">
        <f t="shared" si="124"/>
        <v>0</v>
      </c>
      <c r="M1390">
        <v>1</v>
      </c>
      <c r="N1390">
        <v>0</v>
      </c>
      <c r="O1390" s="9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 s="3">
        <v>1</v>
      </c>
      <c r="V1390" s="3">
        <v>1</v>
      </c>
    </row>
    <row r="1391" spans="1:22" x14ac:dyDescent="0.25">
      <c r="A1391" s="2">
        <v>2017</v>
      </c>
      <c r="B1391" t="s">
        <v>51</v>
      </c>
      <c r="C1391" t="s">
        <v>22</v>
      </c>
      <c r="D1391" s="2">
        <v>28</v>
      </c>
      <c r="E1391" s="2">
        <v>4356</v>
      </c>
      <c r="F1391" t="s">
        <v>360</v>
      </c>
      <c r="G1391">
        <v>25</v>
      </c>
      <c r="H1391">
        <v>24</v>
      </c>
      <c r="I1391">
        <v>0</v>
      </c>
      <c r="J1391">
        <v>0</v>
      </c>
      <c r="K1391">
        <v>1</v>
      </c>
      <c r="L1391" s="6">
        <f t="shared" si="124"/>
        <v>0.96</v>
      </c>
      <c r="M1391">
        <v>562</v>
      </c>
      <c r="N1391">
        <v>86</v>
      </c>
      <c r="O1391" s="9">
        <v>0</v>
      </c>
      <c r="P1391">
        <v>1</v>
      </c>
      <c r="Q1391">
        <v>246</v>
      </c>
      <c r="R1391">
        <v>2</v>
      </c>
      <c r="S1391">
        <v>227</v>
      </c>
      <c r="T1391">
        <v>0</v>
      </c>
      <c r="U1391" s="3">
        <v>0.99466192170818502</v>
      </c>
      <c r="V1391" s="3">
        <v>0.99318568994889267</v>
      </c>
    </row>
    <row r="1392" spans="1:22" x14ac:dyDescent="0.25">
      <c r="A1392" s="2">
        <v>2017</v>
      </c>
      <c r="B1392" t="s">
        <v>51</v>
      </c>
      <c r="C1392" t="s">
        <v>22</v>
      </c>
      <c r="D1392" s="2">
        <v>49</v>
      </c>
      <c r="E1392" s="2">
        <v>222222222</v>
      </c>
      <c r="F1392" t="s">
        <v>327</v>
      </c>
      <c r="G1392">
        <v>0</v>
      </c>
      <c r="H1392">
        <v>0</v>
      </c>
      <c r="I1392">
        <v>0</v>
      </c>
      <c r="J1392">
        <v>0</v>
      </c>
      <c r="K1392">
        <v>0</v>
      </c>
      <c r="L1392" s="6">
        <f t="shared" si="124"/>
        <v>0</v>
      </c>
      <c r="M1392">
        <v>1</v>
      </c>
      <c r="N1392">
        <v>0</v>
      </c>
      <c r="O1392" s="9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 s="3">
        <v>1</v>
      </c>
      <c r="V1392" s="3">
        <v>1</v>
      </c>
    </row>
    <row r="1393" spans="1:22" x14ac:dyDescent="0.25">
      <c r="A1393" s="2">
        <v>2017</v>
      </c>
      <c r="B1393" t="s">
        <v>51</v>
      </c>
      <c r="C1393" t="s">
        <v>22</v>
      </c>
      <c r="D1393" s="2">
        <v>63</v>
      </c>
      <c r="E1393" s="2">
        <v>7817</v>
      </c>
      <c r="F1393" t="s">
        <v>361</v>
      </c>
      <c r="G1393">
        <v>40</v>
      </c>
      <c r="H1393">
        <v>39</v>
      </c>
      <c r="I1393">
        <v>0</v>
      </c>
      <c r="J1393">
        <v>0</v>
      </c>
      <c r="K1393">
        <v>1</v>
      </c>
      <c r="L1393" s="6">
        <f t="shared" si="124"/>
        <v>0.97499999999999998</v>
      </c>
      <c r="M1393">
        <v>381</v>
      </c>
      <c r="N1393">
        <v>59</v>
      </c>
      <c r="O1393" s="9">
        <v>0</v>
      </c>
      <c r="P1393">
        <v>1</v>
      </c>
      <c r="Q1393">
        <v>167</v>
      </c>
      <c r="R1393">
        <v>0</v>
      </c>
      <c r="S1393">
        <v>153</v>
      </c>
      <c r="T1393">
        <v>1</v>
      </c>
      <c r="U1393" s="3">
        <v>0.99737532808398954</v>
      </c>
      <c r="V1393" s="3">
        <v>0.99524940617577196</v>
      </c>
    </row>
    <row r="1394" spans="1:22" x14ac:dyDescent="0.25">
      <c r="A1394" s="2">
        <v>2017</v>
      </c>
      <c r="B1394" t="s">
        <v>51</v>
      </c>
      <c r="C1394" t="s">
        <v>22</v>
      </c>
      <c r="D1394" s="2">
        <v>19</v>
      </c>
      <c r="E1394" s="2">
        <v>5831</v>
      </c>
      <c r="F1394" t="s">
        <v>362</v>
      </c>
      <c r="G1394">
        <v>15</v>
      </c>
      <c r="H1394">
        <v>15</v>
      </c>
      <c r="I1394">
        <v>0</v>
      </c>
      <c r="J1394">
        <v>0</v>
      </c>
      <c r="K1394">
        <v>0</v>
      </c>
      <c r="L1394" s="6">
        <f t="shared" si="124"/>
        <v>1</v>
      </c>
      <c r="M1394">
        <v>260</v>
      </c>
      <c r="N1394">
        <v>46</v>
      </c>
      <c r="O1394" s="9">
        <v>0</v>
      </c>
      <c r="P1394">
        <v>0</v>
      </c>
      <c r="Q1394">
        <v>106</v>
      </c>
      <c r="R1394">
        <v>4</v>
      </c>
      <c r="S1394">
        <v>102</v>
      </c>
      <c r="T1394">
        <v>2</v>
      </c>
      <c r="U1394" s="3">
        <v>0.98461538461538467</v>
      </c>
      <c r="V1394" s="3">
        <v>0.98545454545454547</v>
      </c>
    </row>
    <row r="1395" spans="1:22" x14ac:dyDescent="0.25">
      <c r="A1395" s="2">
        <v>2017</v>
      </c>
      <c r="B1395" t="s">
        <v>51</v>
      </c>
      <c r="C1395" t="s">
        <v>22</v>
      </c>
      <c r="D1395" s="2">
        <v>68</v>
      </c>
      <c r="E1395" s="2">
        <v>7923</v>
      </c>
      <c r="F1395" t="s">
        <v>363</v>
      </c>
      <c r="G1395">
        <v>24</v>
      </c>
      <c r="H1395">
        <v>24</v>
      </c>
      <c r="I1395">
        <v>0</v>
      </c>
      <c r="J1395">
        <v>0</v>
      </c>
      <c r="K1395">
        <v>0</v>
      </c>
      <c r="L1395" s="6">
        <f t="shared" si="124"/>
        <v>1</v>
      </c>
      <c r="M1395">
        <v>344</v>
      </c>
      <c r="N1395">
        <v>68</v>
      </c>
      <c r="O1395" s="9">
        <v>0</v>
      </c>
      <c r="P1395">
        <v>1</v>
      </c>
      <c r="Q1395">
        <v>155</v>
      </c>
      <c r="R1395">
        <v>2</v>
      </c>
      <c r="S1395">
        <v>118</v>
      </c>
      <c r="T1395">
        <v>0</v>
      </c>
      <c r="U1395" s="3">
        <v>0.99127906976744184</v>
      </c>
      <c r="V1395" s="3">
        <v>0.99184782608695654</v>
      </c>
    </row>
    <row r="1396" spans="1:22" x14ac:dyDescent="0.25">
      <c r="A1396" s="2">
        <v>2017</v>
      </c>
      <c r="B1396" t="s">
        <v>51</v>
      </c>
      <c r="C1396" t="s">
        <v>22</v>
      </c>
      <c r="D1396" s="2">
        <v>118</v>
      </c>
      <c r="E1396" s="2">
        <v>4623</v>
      </c>
      <c r="F1396" t="s">
        <v>443</v>
      </c>
      <c r="G1396">
        <v>3</v>
      </c>
      <c r="H1396">
        <v>3</v>
      </c>
      <c r="I1396">
        <v>0</v>
      </c>
      <c r="J1396">
        <v>0</v>
      </c>
      <c r="K1396">
        <v>0</v>
      </c>
      <c r="L1396" s="6">
        <f t="shared" si="124"/>
        <v>1</v>
      </c>
      <c r="M1396">
        <v>48</v>
      </c>
      <c r="N1396">
        <v>11</v>
      </c>
      <c r="O1396" s="9">
        <v>0</v>
      </c>
      <c r="P1396">
        <v>0</v>
      </c>
      <c r="Q1396">
        <v>8</v>
      </c>
      <c r="R1396">
        <v>0</v>
      </c>
      <c r="S1396">
        <v>29</v>
      </c>
      <c r="T1396">
        <v>0</v>
      </c>
      <c r="U1396" s="3">
        <v>1</v>
      </c>
      <c r="V1396" s="3">
        <v>1</v>
      </c>
    </row>
    <row r="1397" spans="1:22" x14ac:dyDescent="0.25">
      <c r="A1397" s="2">
        <v>2017</v>
      </c>
      <c r="B1397" t="s">
        <v>51</v>
      </c>
      <c r="C1397" t="s">
        <v>22</v>
      </c>
      <c r="D1397" s="2">
        <v>70</v>
      </c>
      <c r="E1397" s="2">
        <v>8358</v>
      </c>
      <c r="F1397" t="s">
        <v>365</v>
      </c>
      <c r="G1397">
        <v>16</v>
      </c>
      <c r="H1397">
        <v>16</v>
      </c>
      <c r="I1397">
        <v>0</v>
      </c>
      <c r="J1397">
        <v>0</v>
      </c>
      <c r="K1397">
        <v>0</v>
      </c>
      <c r="L1397" s="6">
        <f t="shared" si="124"/>
        <v>1</v>
      </c>
      <c r="M1397">
        <v>154</v>
      </c>
      <c r="N1397">
        <v>19</v>
      </c>
      <c r="O1397" s="9">
        <v>0</v>
      </c>
      <c r="P1397">
        <v>0</v>
      </c>
      <c r="Q1397">
        <v>63</v>
      </c>
      <c r="R1397">
        <v>0</v>
      </c>
      <c r="S1397">
        <v>71</v>
      </c>
      <c r="T1397">
        <v>1</v>
      </c>
      <c r="U1397" s="3">
        <v>1</v>
      </c>
      <c r="V1397" s="3">
        <v>1</v>
      </c>
    </row>
    <row r="1398" spans="1:22" x14ac:dyDescent="0.25">
      <c r="A1398" s="2">
        <v>2017</v>
      </c>
      <c r="B1398" t="s">
        <v>51</v>
      </c>
      <c r="C1398" t="s">
        <v>22</v>
      </c>
      <c r="D1398" s="2">
        <v>145</v>
      </c>
      <c r="E1398" s="2">
        <v>5597</v>
      </c>
      <c r="F1398" t="s">
        <v>33</v>
      </c>
      <c r="G1398">
        <v>16</v>
      </c>
      <c r="H1398">
        <v>16</v>
      </c>
      <c r="I1398">
        <v>0</v>
      </c>
      <c r="J1398">
        <v>0</v>
      </c>
      <c r="K1398">
        <v>0</v>
      </c>
      <c r="L1398" s="6">
        <f t="shared" si="124"/>
        <v>1</v>
      </c>
      <c r="M1398">
        <v>164</v>
      </c>
      <c r="N1398">
        <v>30</v>
      </c>
      <c r="O1398" s="9">
        <v>0</v>
      </c>
      <c r="P1398">
        <v>0</v>
      </c>
      <c r="Q1398">
        <v>58</v>
      </c>
      <c r="R1398">
        <v>0</v>
      </c>
      <c r="S1398">
        <v>76</v>
      </c>
      <c r="T1398">
        <v>0</v>
      </c>
      <c r="U1398" s="3">
        <v>1</v>
      </c>
      <c r="V1398" s="3">
        <v>1</v>
      </c>
    </row>
    <row r="1399" spans="1:22" x14ac:dyDescent="0.25">
      <c r="A1399" s="2">
        <v>2017</v>
      </c>
      <c r="B1399" t="s">
        <v>51</v>
      </c>
      <c r="C1399" t="s">
        <v>22</v>
      </c>
      <c r="D1399" s="2">
        <v>1</v>
      </c>
      <c r="E1399" s="2">
        <v>6777</v>
      </c>
      <c r="F1399" t="s">
        <v>34</v>
      </c>
      <c r="G1399">
        <v>0</v>
      </c>
      <c r="H1399">
        <v>0</v>
      </c>
      <c r="I1399">
        <v>0</v>
      </c>
      <c r="J1399">
        <v>0</v>
      </c>
      <c r="K1399">
        <v>0</v>
      </c>
      <c r="L1399" s="6">
        <f t="shared" si="124"/>
        <v>0</v>
      </c>
      <c r="M1399">
        <v>1</v>
      </c>
      <c r="N1399">
        <v>0</v>
      </c>
      <c r="O1399" s="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 s="3">
        <v>1</v>
      </c>
      <c r="V1399" s="3">
        <v>1</v>
      </c>
    </row>
    <row r="1400" spans="1:22" x14ac:dyDescent="0.25">
      <c r="A1400" s="2">
        <v>2017</v>
      </c>
      <c r="B1400" t="s">
        <v>51</v>
      </c>
      <c r="C1400" t="s">
        <v>22</v>
      </c>
      <c r="D1400" s="2">
        <v>65</v>
      </c>
      <c r="E1400" s="2">
        <v>7806</v>
      </c>
      <c r="F1400" t="s">
        <v>328</v>
      </c>
      <c r="G1400">
        <v>25</v>
      </c>
      <c r="H1400">
        <v>25</v>
      </c>
      <c r="I1400">
        <v>0</v>
      </c>
      <c r="J1400">
        <v>0</v>
      </c>
      <c r="K1400">
        <v>0</v>
      </c>
      <c r="L1400" s="6">
        <f t="shared" si="124"/>
        <v>1</v>
      </c>
      <c r="M1400">
        <v>366</v>
      </c>
      <c r="N1400">
        <v>65</v>
      </c>
      <c r="O1400" s="9">
        <v>0</v>
      </c>
      <c r="P1400">
        <v>0</v>
      </c>
      <c r="Q1400">
        <v>174</v>
      </c>
      <c r="R1400">
        <v>1</v>
      </c>
      <c r="S1400">
        <v>123</v>
      </c>
      <c r="T1400">
        <v>3</v>
      </c>
      <c r="U1400" s="3">
        <v>0.99726775956284153</v>
      </c>
      <c r="V1400" s="3">
        <v>0.99744245524296671</v>
      </c>
    </row>
    <row r="1401" spans="1:22" x14ac:dyDescent="0.25">
      <c r="A1401" s="2">
        <v>2017</v>
      </c>
      <c r="B1401" t="s">
        <v>51</v>
      </c>
      <c r="C1401" t="s">
        <v>22</v>
      </c>
      <c r="D1401" s="2">
        <v>27</v>
      </c>
      <c r="E1401" s="2">
        <v>4492</v>
      </c>
      <c r="F1401" t="s">
        <v>367</v>
      </c>
      <c r="G1401">
        <v>32</v>
      </c>
      <c r="H1401">
        <v>32</v>
      </c>
      <c r="I1401">
        <v>0</v>
      </c>
      <c r="J1401">
        <v>0</v>
      </c>
      <c r="K1401">
        <v>0</v>
      </c>
      <c r="L1401" s="6">
        <f t="shared" si="124"/>
        <v>1</v>
      </c>
      <c r="M1401">
        <v>343</v>
      </c>
      <c r="N1401">
        <v>69</v>
      </c>
      <c r="O1401" s="9">
        <v>0</v>
      </c>
      <c r="P1401">
        <v>1</v>
      </c>
      <c r="Q1401">
        <v>153</v>
      </c>
      <c r="R1401">
        <v>0</v>
      </c>
      <c r="S1401">
        <v>115</v>
      </c>
      <c r="T1401">
        <v>5</v>
      </c>
      <c r="U1401" s="3">
        <v>0.99708454810495628</v>
      </c>
      <c r="V1401" s="3">
        <v>0.99733333333333329</v>
      </c>
    </row>
    <row r="1402" spans="1:22" x14ac:dyDescent="0.25">
      <c r="A1402" s="2">
        <v>2017</v>
      </c>
      <c r="B1402" t="s">
        <v>51</v>
      </c>
      <c r="C1402" t="s">
        <v>22</v>
      </c>
      <c r="D1402" s="2">
        <v>130</v>
      </c>
      <c r="E1402" s="2">
        <v>5670</v>
      </c>
      <c r="F1402" t="s">
        <v>491</v>
      </c>
      <c r="G1402">
        <v>0</v>
      </c>
      <c r="H1402">
        <v>0</v>
      </c>
      <c r="I1402">
        <v>0</v>
      </c>
      <c r="J1402">
        <v>0</v>
      </c>
      <c r="K1402">
        <v>0</v>
      </c>
      <c r="L1402" s="6">
        <f t="shared" si="124"/>
        <v>0</v>
      </c>
      <c r="M1402">
        <v>76</v>
      </c>
      <c r="N1402">
        <v>11</v>
      </c>
      <c r="O1402" s="9">
        <v>0</v>
      </c>
      <c r="P1402">
        <v>0</v>
      </c>
      <c r="Q1402">
        <v>51</v>
      </c>
      <c r="R1402">
        <v>0</v>
      </c>
      <c r="S1402">
        <v>13</v>
      </c>
      <c r="T1402">
        <v>1</v>
      </c>
      <c r="U1402" s="3">
        <v>1</v>
      </c>
      <c r="V1402" s="3">
        <v>1</v>
      </c>
    </row>
    <row r="1403" spans="1:22" x14ac:dyDescent="0.25">
      <c r="A1403" s="2">
        <v>2017</v>
      </c>
      <c r="B1403" t="s">
        <v>51</v>
      </c>
      <c r="C1403" t="s">
        <v>22</v>
      </c>
      <c r="D1403" s="2">
        <v>119</v>
      </c>
      <c r="E1403" s="2">
        <v>8697</v>
      </c>
      <c r="F1403" t="s">
        <v>368</v>
      </c>
      <c r="G1403">
        <v>1</v>
      </c>
      <c r="H1403">
        <v>1</v>
      </c>
      <c r="I1403">
        <v>0</v>
      </c>
      <c r="J1403">
        <v>0</v>
      </c>
      <c r="K1403">
        <v>0</v>
      </c>
      <c r="L1403" s="6">
        <f t="shared" si="124"/>
        <v>1</v>
      </c>
      <c r="M1403">
        <v>110</v>
      </c>
      <c r="N1403">
        <v>18</v>
      </c>
      <c r="O1403" s="9">
        <v>0</v>
      </c>
      <c r="P1403">
        <v>0</v>
      </c>
      <c r="Q1403">
        <v>72</v>
      </c>
      <c r="R1403">
        <v>0</v>
      </c>
      <c r="S1403">
        <v>20</v>
      </c>
      <c r="T1403">
        <v>0</v>
      </c>
      <c r="U1403" s="3">
        <v>1</v>
      </c>
      <c r="V1403" s="3">
        <v>1</v>
      </c>
    </row>
    <row r="1404" spans="1:22" x14ac:dyDescent="0.25">
      <c r="A1404" s="2">
        <v>2017</v>
      </c>
      <c r="B1404" t="s">
        <v>51</v>
      </c>
      <c r="C1404" t="s">
        <v>22</v>
      </c>
      <c r="D1404" s="2">
        <v>152</v>
      </c>
      <c r="E1404" s="2">
        <v>222222222</v>
      </c>
      <c r="F1404" t="s">
        <v>429</v>
      </c>
      <c r="G1404">
        <v>6</v>
      </c>
      <c r="H1404">
        <v>6</v>
      </c>
      <c r="I1404">
        <v>0</v>
      </c>
      <c r="J1404">
        <v>0</v>
      </c>
      <c r="K1404">
        <v>0</v>
      </c>
      <c r="L1404" s="6">
        <f t="shared" si="124"/>
        <v>1</v>
      </c>
      <c r="M1404">
        <v>51</v>
      </c>
      <c r="N1404">
        <v>6</v>
      </c>
      <c r="O1404" s="9">
        <v>0</v>
      </c>
      <c r="P1404">
        <v>0</v>
      </c>
      <c r="Q1404">
        <v>21</v>
      </c>
      <c r="R1404">
        <v>0</v>
      </c>
      <c r="S1404">
        <v>22</v>
      </c>
      <c r="T1404">
        <v>2</v>
      </c>
      <c r="U1404" s="3">
        <v>1</v>
      </c>
      <c r="V1404" s="3">
        <v>1</v>
      </c>
    </row>
    <row r="1405" spans="1:22" x14ac:dyDescent="0.25">
      <c r="A1405" s="2">
        <v>2017</v>
      </c>
      <c r="B1405" t="s">
        <v>51</v>
      </c>
      <c r="C1405" t="s">
        <v>22</v>
      </c>
      <c r="D1405" s="2">
        <v>156</v>
      </c>
      <c r="E1405" s="2">
        <v>124582</v>
      </c>
      <c r="F1405" t="s">
        <v>438</v>
      </c>
      <c r="G1405">
        <v>20</v>
      </c>
      <c r="H1405">
        <v>20</v>
      </c>
      <c r="I1405">
        <v>0</v>
      </c>
      <c r="J1405">
        <v>0</v>
      </c>
      <c r="K1405">
        <v>0</v>
      </c>
      <c r="L1405" s="6">
        <f t="shared" si="124"/>
        <v>1</v>
      </c>
      <c r="M1405">
        <v>339</v>
      </c>
      <c r="N1405">
        <v>62</v>
      </c>
      <c r="O1405" s="9">
        <v>0</v>
      </c>
      <c r="P1405">
        <v>0</v>
      </c>
      <c r="Q1405">
        <v>171</v>
      </c>
      <c r="R1405">
        <v>1</v>
      </c>
      <c r="S1405">
        <v>101</v>
      </c>
      <c r="T1405">
        <v>4</v>
      </c>
      <c r="U1405" s="3">
        <v>0.99705014749262533</v>
      </c>
      <c r="V1405" s="3">
        <v>0.99721448467966578</v>
      </c>
    </row>
    <row r="1406" spans="1:22" x14ac:dyDescent="0.25">
      <c r="A1406" s="2">
        <v>2017</v>
      </c>
      <c r="B1406" t="s">
        <v>51</v>
      </c>
      <c r="C1406" t="s">
        <v>22</v>
      </c>
      <c r="D1406" s="2">
        <v>148</v>
      </c>
      <c r="E1406" s="2">
        <v>111111111</v>
      </c>
      <c r="F1406" t="s">
        <v>449</v>
      </c>
      <c r="G1406">
        <v>0</v>
      </c>
      <c r="H1406">
        <v>0</v>
      </c>
      <c r="I1406">
        <v>0</v>
      </c>
      <c r="J1406">
        <v>0</v>
      </c>
      <c r="K1406">
        <v>0</v>
      </c>
      <c r="L1406" s="6">
        <f t="shared" si="124"/>
        <v>0</v>
      </c>
      <c r="M1406">
        <v>1</v>
      </c>
      <c r="N1406">
        <v>0</v>
      </c>
      <c r="O1406" s="9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 s="3">
        <v>1</v>
      </c>
      <c r="V1406" s="3">
        <v>1</v>
      </c>
    </row>
    <row r="1407" spans="1:22" x14ac:dyDescent="0.25">
      <c r="A1407" s="2">
        <v>2017</v>
      </c>
      <c r="B1407" t="s">
        <v>51</v>
      </c>
      <c r="C1407" t="s">
        <v>22</v>
      </c>
      <c r="D1407" s="2">
        <v>158</v>
      </c>
      <c r="E1407" s="2">
        <v>886</v>
      </c>
      <c r="F1407" t="s">
        <v>435</v>
      </c>
      <c r="G1407">
        <v>2</v>
      </c>
      <c r="H1407">
        <v>2</v>
      </c>
      <c r="I1407">
        <v>0</v>
      </c>
      <c r="J1407">
        <v>0</v>
      </c>
      <c r="K1407">
        <v>0</v>
      </c>
      <c r="L1407" s="6">
        <f t="shared" si="124"/>
        <v>1</v>
      </c>
      <c r="M1407">
        <v>207</v>
      </c>
      <c r="N1407">
        <v>35</v>
      </c>
      <c r="O1407" s="9">
        <v>0</v>
      </c>
      <c r="P1407">
        <v>0</v>
      </c>
      <c r="Q1407">
        <v>116</v>
      </c>
      <c r="R1407">
        <v>0</v>
      </c>
      <c r="S1407">
        <v>56</v>
      </c>
      <c r="T1407">
        <v>0</v>
      </c>
      <c r="U1407" s="3">
        <v>1</v>
      </c>
      <c r="V1407" s="3">
        <v>1</v>
      </c>
    </row>
    <row r="1408" spans="1:22" x14ac:dyDescent="0.25">
      <c r="A1408" s="2">
        <v>2017</v>
      </c>
      <c r="B1408" t="s">
        <v>51</v>
      </c>
      <c r="C1408" t="s">
        <v>22</v>
      </c>
      <c r="D1408" s="2">
        <v>25</v>
      </c>
      <c r="E1408" s="2">
        <v>4357</v>
      </c>
      <c r="F1408" t="s">
        <v>369</v>
      </c>
      <c r="G1408">
        <v>29</v>
      </c>
      <c r="H1408">
        <v>29</v>
      </c>
      <c r="I1408">
        <v>0</v>
      </c>
      <c r="J1408">
        <v>0</v>
      </c>
      <c r="K1408">
        <v>0</v>
      </c>
      <c r="L1408" s="6">
        <f t="shared" si="124"/>
        <v>1</v>
      </c>
      <c r="M1408">
        <v>368</v>
      </c>
      <c r="N1408">
        <v>52</v>
      </c>
      <c r="O1408" s="9">
        <v>0</v>
      </c>
      <c r="P1408">
        <v>2</v>
      </c>
      <c r="Q1408">
        <v>146</v>
      </c>
      <c r="R1408">
        <v>0</v>
      </c>
      <c r="S1408">
        <v>167</v>
      </c>
      <c r="T1408">
        <v>1</v>
      </c>
      <c r="U1408" s="3">
        <v>0.99456521739130432</v>
      </c>
      <c r="V1408" s="3">
        <v>0.99496221662468509</v>
      </c>
    </row>
    <row r="1409" spans="1:22" x14ac:dyDescent="0.25">
      <c r="A1409" s="2">
        <v>2017</v>
      </c>
      <c r="B1409" t="s">
        <v>51</v>
      </c>
      <c r="C1409" t="s">
        <v>22</v>
      </c>
      <c r="D1409" s="2">
        <v>184</v>
      </c>
      <c r="E1409" s="2">
        <v>120870</v>
      </c>
      <c r="F1409" t="s">
        <v>371</v>
      </c>
      <c r="G1409">
        <v>7</v>
      </c>
      <c r="H1409">
        <v>7</v>
      </c>
      <c r="I1409">
        <v>0</v>
      </c>
      <c r="J1409">
        <v>0</v>
      </c>
      <c r="K1409">
        <v>0</v>
      </c>
      <c r="L1409" s="6">
        <f t="shared" si="124"/>
        <v>1</v>
      </c>
      <c r="M1409">
        <v>340</v>
      </c>
      <c r="N1409">
        <v>64</v>
      </c>
      <c r="O1409" s="9">
        <v>0</v>
      </c>
      <c r="P1409">
        <v>0</v>
      </c>
      <c r="Q1409">
        <v>145</v>
      </c>
      <c r="R1409">
        <v>0</v>
      </c>
      <c r="S1409">
        <v>131</v>
      </c>
      <c r="T1409">
        <v>0</v>
      </c>
      <c r="U1409" s="3">
        <v>1</v>
      </c>
      <c r="V1409" s="3">
        <v>1</v>
      </c>
    </row>
    <row r="1410" spans="1:22" x14ac:dyDescent="0.25">
      <c r="A1410" s="2">
        <v>2017</v>
      </c>
      <c r="B1410" t="s">
        <v>51</v>
      </c>
      <c r="C1410" t="s">
        <v>22</v>
      </c>
      <c r="D1410" s="2">
        <v>162</v>
      </c>
      <c r="E1410" s="2">
        <v>124131</v>
      </c>
      <c r="F1410" t="s">
        <v>439</v>
      </c>
      <c r="G1410">
        <v>3</v>
      </c>
      <c r="H1410">
        <v>3</v>
      </c>
      <c r="I1410">
        <v>0</v>
      </c>
      <c r="J1410">
        <v>0</v>
      </c>
      <c r="K1410">
        <v>0</v>
      </c>
      <c r="L1410" s="6">
        <f t="shared" si="124"/>
        <v>1</v>
      </c>
      <c r="M1410">
        <v>29</v>
      </c>
      <c r="N1410">
        <v>6</v>
      </c>
      <c r="O1410" s="9">
        <v>0</v>
      </c>
      <c r="P1410">
        <v>0</v>
      </c>
      <c r="Q1410">
        <v>15</v>
      </c>
      <c r="R1410">
        <v>0</v>
      </c>
      <c r="S1410">
        <v>8</v>
      </c>
      <c r="T1410">
        <v>0</v>
      </c>
      <c r="U1410" s="3">
        <v>1</v>
      </c>
      <c r="V1410" s="3">
        <v>1</v>
      </c>
    </row>
    <row r="1411" spans="1:22" x14ac:dyDescent="0.25">
      <c r="A1411" s="2">
        <v>2017</v>
      </c>
      <c r="B1411" t="s">
        <v>51</v>
      </c>
      <c r="C1411" t="s">
        <v>22</v>
      </c>
      <c r="D1411" s="2">
        <v>129</v>
      </c>
      <c r="E1411" s="2">
        <v>5246</v>
      </c>
      <c r="F1411" t="s">
        <v>347</v>
      </c>
      <c r="G1411">
        <v>4</v>
      </c>
      <c r="H1411">
        <v>4</v>
      </c>
      <c r="I1411">
        <v>0</v>
      </c>
      <c r="J1411">
        <v>0</v>
      </c>
      <c r="K1411">
        <v>0</v>
      </c>
      <c r="L1411" s="6">
        <f t="shared" si="124"/>
        <v>1</v>
      </c>
      <c r="M1411">
        <v>55</v>
      </c>
      <c r="N1411">
        <v>7</v>
      </c>
      <c r="O1411" s="9">
        <v>0</v>
      </c>
      <c r="P1411">
        <v>0</v>
      </c>
      <c r="Q1411">
        <v>23</v>
      </c>
      <c r="R1411">
        <v>0</v>
      </c>
      <c r="S1411">
        <v>25</v>
      </c>
      <c r="T1411">
        <v>0</v>
      </c>
      <c r="U1411" s="3">
        <v>1</v>
      </c>
      <c r="V1411" s="3">
        <v>1</v>
      </c>
    </row>
    <row r="1412" spans="1:22" x14ac:dyDescent="0.25">
      <c r="A1412" s="2">
        <v>2017</v>
      </c>
      <c r="B1412" t="s">
        <v>51</v>
      </c>
      <c r="C1412" t="s">
        <v>22</v>
      </c>
      <c r="D1412" s="2">
        <v>142</v>
      </c>
      <c r="E1412" s="2">
        <v>122502</v>
      </c>
      <c r="F1412" t="s">
        <v>372</v>
      </c>
      <c r="G1412">
        <v>23</v>
      </c>
      <c r="H1412">
        <v>23</v>
      </c>
      <c r="I1412">
        <v>0</v>
      </c>
      <c r="J1412">
        <v>0</v>
      </c>
      <c r="K1412">
        <v>0</v>
      </c>
      <c r="L1412" s="6">
        <f t="shared" si="124"/>
        <v>1</v>
      </c>
      <c r="M1412">
        <v>229</v>
      </c>
      <c r="N1412">
        <v>48</v>
      </c>
      <c r="O1412" s="9">
        <v>0</v>
      </c>
      <c r="P1412">
        <v>0</v>
      </c>
      <c r="Q1412">
        <v>107</v>
      </c>
      <c r="R1412">
        <v>0</v>
      </c>
      <c r="S1412">
        <v>73</v>
      </c>
      <c r="T1412">
        <v>1</v>
      </c>
      <c r="U1412" s="3">
        <v>1</v>
      </c>
      <c r="V1412" s="3">
        <v>1</v>
      </c>
    </row>
    <row r="1413" spans="1:22" x14ac:dyDescent="0.25">
      <c r="A1413" s="2">
        <v>2017</v>
      </c>
      <c r="B1413" t="s">
        <v>51</v>
      </c>
      <c r="C1413" t="s">
        <v>20</v>
      </c>
      <c r="D1413" s="2">
        <v>528</v>
      </c>
      <c r="E1413" s="2">
        <v>10623</v>
      </c>
      <c r="F1413" t="s">
        <v>42</v>
      </c>
      <c r="G1413">
        <v>0</v>
      </c>
      <c r="H1413">
        <v>0</v>
      </c>
      <c r="I1413">
        <v>0</v>
      </c>
      <c r="J1413">
        <v>0</v>
      </c>
      <c r="K1413">
        <v>0</v>
      </c>
      <c r="L1413" s="6">
        <f t="shared" si="124"/>
        <v>0</v>
      </c>
      <c r="M1413">
        <v>3</v>
      </c>
      <c r="N1413">
        <v>0</v>
      </c>
      <c r="O1413" s="9">
        <v>0</v>
      </c>
      <c r="P1413">
        <v>0</v>
      </c>
      <c r="Q1413">
        <v>1</v>
      </c>
      <c r="R1413">
        <v>0</v>
      </c>
      <c r="S1413">
        <v>2</v>
      </c>
      <c r="T1413">
        <v>0</v>
      </c>
      <c r="U1413" s="3">
        <v>1</v>
      </c>
      <c r="V1413" s="3">
        <v>1</v>
      </c>
    </row>
    <row r="1414" spans="1:22" x14ac:dyDescent="0.25">
      <c r="A1414" s="2">
        <v>2017</v>
      </c>
      <c r="B1414" t="s">
        <v>51</v>
      </c>
      <c r="C1414" t="s">
        <v>20</v>
      </c>
      <c r="D1414" s="2">
        <v>578</v>
      </c>
      <c r="E1414" s="2">
        <v>122349</v>
      </c>
      <c r="F1414" t="s">
        <v>43</v>
      </c>
      <c r="G1414">
        <v>14</v>
      </c>
      <c r="H1414">
        <v>14</v>
      </c>
      <c r="I1414">
        <v>0</v>
      </c>
      <c r="J1414">
        <v>0</v>
      </c>
      <c r="K1414">
        <v>0</v>
      </c>
      <c r="L1414" s="6">
        <f t="shared" si="124"/>
        <v>1</v>
      </c>
      <c r="M1414">
        <v>138</v>
      </c>
      <c r="N1414">
        <v>11</v>
      </c>
      <c r="O1414" s="9">
        <v>0</v>
      </c>
      <c r="P1414">
        <v>0</v>
      </c>
      <c r="Q1414">
        <v>70</v>
      </c>
      <c r="R1414">
        <v>0</v>
      </c>
      <c r="S1414">
        <v>56</v>
      </c>
      <c r="T1414">
        <v>1</v>
      </c>
      <c r="U1414" s="3">
        <v>1</v>
      </c>
      <c r="V1414" s="3">
        <v>1</v>
      </c>
    </row>
    <row r="1415" spans="1:22" x14ac:dyDescent="0.25">
      <c r="A1415" s="2">
        <v>2017</v>
      </c>
      <c r="B1415" t="s">
        <v>51</v>
      </c>
      <c r="C1415" t="s">
        <v>20</v>
      </c>
      <c r="D1415" s="2">
        <v>772</v>
      </c>
      <c r="E1415" s="2">
        <v>5384</v>
      </c>
      <c r="F1415" t="s">
        <v>331</v>
      </c>
      <c r="G1415">
        <v>0</v>
      </c>
      <c r="H1415">
        <v>0</v>
      </c>
      <c r="I1415">
        <v>0</v>
      </c>
      <c r="J1415">
        <v>0</v>
      </c>
      <c r="K1415">
        <v>0</v>
      </c>
      <c r="L1415" s="6">
        <f t="shared" si="124"/>
        <v>0</v>
      </c>
      <c r="M1415">
        <v>51</v>
      </c>
      <c r="N1415">
        <v>7</v>
      </c>
      <c r="O1415" s="9">
        <v>0</v>
      </c>
      <c r="P1415">
        <v>0</v>
      </c>
      <c r="Q1415">
        <v>32</v>
      </c>
      <c r="R1415">
        <v>0</v>
      </c>
      <c r="S1415">
        <v>12</v>
      </c>
      <c r="T1415">
        <v>0</v>
      </c>
      <c r="U1415" s="3">
        <v>1</v>
      </c>
      <c r="V1415" s="3">
        <v>1</v>
      </c>
    </row>
    <row r="1416" spans="1:22" x14ac:dyDescent="0.25">
      <c r="A1416" s="2">
        <v>2017</v>
      </c>
      <c r="B1416" t="s">
        <v>51</v>
      </c>
      <c r="C1416" t="s">
        <v>20</v>
      </c>
      <c r="D1416" s="2">
        <v>555</v>
      </c>
      <c r="E1416" s="2">
        <v>119114</v>
      </c>
      <c r="F1416" t="s">
        <v>375</v>
      </c>
      <c r="G1416">
        <v>0</v>
      </c>
      <c r="H1416">
        <v>0</v>
      </c>
      <c r="I1416">
        <v>0</v>
      </c>
      <c r="J1416">
        <v>0</v>
      </c>
      <c r="K1416">
        <v>0</v>
      </c>
      <c r="L1416" s="6">
        <f t="shared" si="124"/>
        <v>0</v>
      </c>
      <c r="M1416">
        <v>1</v>
      </c>
      <c r="N1416">
        <v>0</v>
      </c>
      <c r="O1416" s="9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 s="3">
        <v>1</v>
      </c>
      <c r="V1416" s="3">
        <v>1</v>
      </c>
    </row>
    <row r="1417" spans="1:22" x14ac:dyDescent="0.25">
      <c r="A1417" s="2">
        <v>2017</v>
      </c>
      <c r="B1417" t="s">
        <v>51</v>
      </c>
      <c r="C1417" t="s">
        <v>20</v>
      </c>
      <c r="D1417" s="2">
        <v>605</v>
      </c>
      <c r="E1417" s="2">
        <v>7198</v>
      </c>
      <c r="F1417" t="s">
        <v>440</v>
      </c>
      <c r="G1417">
        <v>1</v>
      </c>
      <c r="H1417">
        <v>1</v>
      </c>
      <c r="I1417">
        <v>0</v>
      </c>
      <c r="J1417">
        <v>0</v>
      </c>
      <c r="K1417">
        <v>0</v>
      </c>
      <c r="L1417" s="6">
        <f t="shared" si="124"/>
        <v>1</v>
      </c>
      <c r="M1417">
        <v>41</v>
      </c>
      <c r="N1417">
        <v>9</v>
      </c>
      <c r="O1417" s="9">
        <v>0</v>
      </c>
      <c r="P1417">
        <v>0</v>
      </c>
      <c r="Q1417">
        <v>24</v>
      </c>
      <c r="R1417">
        <v>0</v>
      </c>
      <c r="S1417">
        <v>8</v>
      </c>
      <c r="T1417">
        <v>0</v>
      </c>
      <c r="U1417" s="3">
        <v>1</v>
      </c>
      <c r="V1417" s="3">
        <v>1</v>
      </c>
    </row>
    <row r="1418" spans="1:22" x14ac:dyDescent="0.25">
      <c r="A1418" s="2">
        <v>2017</v>
      </c>
      <c r="B1418" t="s">
        <v>51</v>
      </c>
      <c r="C1418" t="s">
        <v>20</v>
      </c>
      <c r="D1418" s="2">
        <v>590</v>
      </c>
      <c r="E1418" s="2">
        <v>122682</v>
      </c>
      <c r="F1418" t="s">
        <v>334</v>
      </c>
      <c r="G1418">
        <v>9</v>
      </c>
      <c r="H1418">
        <v>9</v>
      </c>
      <c r="I1418">
        <v>0</v>
      </c>
      <c r="J1418">
        <v>0</v>
      </c>
      <c r="K1418">
        <v>0</v>
      </c>
      <c r="L1418" s="6">
        <f t="shared" si="124"/>
        <v>1</v>
      </c>
      <c r="M1418">
        <v>100</v>
      </c>
      <c r="N1418">
        <v>10</v>
      </c>
      <c r="O1418" s="9">
        <v>0</v>
      </c>
      <c r="P1418">
        <v>0</v>
      </c>
      <c r="Q1418">
        <v>43</v>
      </c>
      <c r="R1418">
        <v>0</v>
      </c>
      <c r="S1418">
        <v>47</v>
      </c>
      <c r="T1418">
        <v>0</v>
      </c>
      <c r="U1418" s="3">
        <v>1</v>
      </c>
      <c r="V1418" s="3">
        <v>1</v>
      </c>
    </row>
    <row r="1419" spans="1:22" x14ac:dyDescent="0.25">
      <c r="A1419" s="2">
        <v>2017</v>
      </c>
      <c r="B1419" t="s">
        <v>51</v>
      </c>
      <c r="C1419" t="s">
        <v>20</v>
      </c>
      <c r="D1419" s="2">
        <v>586</v>
      </c>
      <c r="E1419" s="2">
        <v>122754</v>
      </c>
      <c r="F1419" t="s">
        <v>335</v>
      </c>
      <c r="G1419">
        <v>22</v>
      </c>
      <c r="H1419">
        <v>22</v>
      </c>
      <c r="I1419">
        <v>0</v>
      </c>
      <c r="J1419">
        <v>0</v>
      </c>
      <c r="K1419">
        <v>0</v>
      </c>
      <c r="L1419" s="6">
        <f t="shared" si="124"/>
        <v>1</v>
      </c>
      <c r="M1419">
        <v>234</v>
      </c>
      <c r="N1419">
        <v>24</v>
      </c>
      <c r="O1419" s="9">
        <v>0</v>
      </c>
      <c r="P1419">
        <v>0</v>
      </c>
      <c r="Q1419">
        <v>108</v>
      </c>
      <c r="R1419">
        <v>0</v>
      </c>
      <c r="S1419">
        <v>101</v>
      </c>
      <c r="T1419">
        <v>1</v>
      </c>
      <c r="U1419" s="3">
        <v>1</v>
      </c>
      <c r="V1419" s="3">
        <v>1</v>
      </c>
    </row>
    <row r="1420" spans="1:22" x14ac:dyDescent="0.25">
      <c r="A1420" s="2">
        <v>2017</v>
      </c>
      <c r="B1420" t="s">
        <v>51</v>
      </c>
      <c r="C1420" t="s">
        <v>20</v>
      </c>
      <c r="D1420" s="2">
        <v>527</v>
      </c>
      <c r="E1420" s="2">
        <v>9715</v>
      </c>
      <c r="F1420" t="s">
        <v>337</v>
      </c>
      <c r="G1420">
        <v>63</v>
      </c>
      <c r="H1420">
        <v>63</v>
      </c>
      <c r="I1420">
        <v>0</v>
      </c>
      <c r="J1420">
        <v>0</v>
      </c>
      <c r="K1420">
        <v>0</v>
      </c>
      <c r="L1420" s="6">
        <f t="shared" si="124"/>
        <v>1</v>
      </c>
      <c r="M1420">
        <v>574</v>
      </c>
      <c r="N1420">
        <v>82</v>
      </c>
      <c r="O1420" s="9">
        <v>0</v>
      </c>
      <c r="P1420">
        <v>0</v>
      </c>
      <c r="Q1420">
        <v>263</v>
      </c>
      <c r="R1420">
        <v>0</v>
      </c>
      <c r="S1420">
        <v>229</v>
      </c>
      <c r="T1420">
        <v>0</v>
      </c>
      <c r="U1420" s="3">
        <v>1</v>
      </c>
      <c r="V1420" s="3">
        <v>1</v>
      </c>
    </row>
    <row r="1421" spans="1:22" x14ac:dyDescent="0.25">
      <c r="A1421" s="2">
        <v>2017</v>
      </c>
      <c r="B1421" t="s">
        <v>51</v>
      </c>
      <c r="C1421" t="s">
        <v>20</v>
      </c>
      <c r="D1421" s="2">
        <v>404</v>
      </c>
      <c r="E1421" s="2">
        <v>6777</v>
      </c>
      <c r="F1421" t="s">
        <v>34</v>
      </c>
      <c r="G1421">
        <v>9</v>
      </c>
      <c r="H1421">
        <v>9</v>
      </c>
      <c r="I1421">
        <v>0</v>
      </c>
      <c r="J1421">
        <v>0</v>
      </c>
      <c r="K1421">
        <v>0</v>
      </c>
      <c r="L1421" s="6">
        <f t="shared" si="124"/>
        <v>1</v>
      </c>
      <c r="M1421">
        <v>199</v>
      </c>
      <c r="N1421">
        <v>28</v>
      </c>
      <c r="O1421" s="9">
        <v>0</v>
      </c>
      <c r="P1421">
        <v>0</v>
      </c>
      <c r="Q1421">
        <v>96</v>
      </c>
      <c r="R1421">
        <v>0</v>
      </c>
      <c r="S1421">
        <v>75</v>
      </c>
      <c r="T1421">
        <v>0</v>
      </c>
      <c r="U1421" s="3">
        <v>1</v>
      </c>
      <c r="V1421" s="3">
        <v>1</v>
      </c>
    </row>
    <row r="1422" spans="1:22" x14ac:dyDescent="0.25">
      <c r="A1422" s="2">
        <v>2017</v>
      </c>
      <c r="B1422" t="s">
        <v>51</v>
      </c>
      <c r="C1422" t="s">
        <v>20</v>
      </c>
      <c r="D1422" s="2">
        <v>559</v>
      </c>
      <c r="E1422" s="2">
        <v>8697</v>
      </c>
      <c r="F1422" t="s">
        <v>368</v>
      </c>
      <c r="G1422">
        <v>5</v>
      </c>
      <c r="H1422">
        <v>5</v>
      </c>
      <c r="I1422">
        <v>0</v>
      </c>
      <c r="J1422">
        <v>0</v>
      </c>
      <c r="K1422">
        <v>0</v>
      </c>
      <c r="L1422" s="6">
        <f t="shared" si="124"/>
        <v>1</v>
      </c>
      <c r="M1422">
        <v>161</v>
      </c>
      <c r="N1422">
        <v>30</v>
      </c>
      <c r="O1422" s="9">
        <v>0</v>
      </c>
      <c r="P1422">
        <v>0</v>
      </c>
      <c r="Q1422">
        <v>92</v>
      </c>
      <c r="R1422">
        <v>0</v>
      </c>
      <c r="S1422">
        <v>39</v>
      </c>
      <c r="T1422">
        <v>0</v>
      </c>
      <c r="U1422" s="3">
        <v>1</v>
      </c>
      <c r="V1422" s="3">
        <v>1</v>
      </c>
    </row>
    <row r="1423" spans="1:22" x14ac:dyDescent="0.25">
      <c r="A1423" s="2">
        <v>2017</v>
      </c>
      <c r="B1423" t="s">
        <v>51</v>
      </c>
      <c r="C1423" t="s">
        <v>20</v>
      </c>
      <c r="D1423" s="2">
        <v>455</v>
      </c>
      <c r="E1423" s="2">
        <v>7401</v>
      </c>
      <c r="F1423" t="s">
        <v>36</v>
      </c>
      <c r="G1423">
        <v>13</v>
      </c>
      <c r="H1423">
        <v>13</v>
      </c>
      <c r="I1423">
        <v>0</v>
      </c>
      <c r="J1423">
        <v>0</v>
      </c>
      <c r="K1423">
        <v>0</v>
      </c>
      <c r="L1423" s="6">
        <f t="shared" si="124"/>
        <v>1</v>
      </c>
      <c r="M1423">
        <v>103</v>
      </c>
      <c r="N1423">
        <v>14</v>
      </c>
      <c r="O1423" s="9">
        <v>0</v>
      </c>
      <c r="P1423">
        <v>0</v>
      </c>
      <c r="Q1423">
        <v>47</v>
      </c>
      <c r="R1423">
        <v>0</v>
      </c>
      <c r="S1423">
        <v>40</v>
      </c>
      <c r="T1423">
        <v>2</v>
      </c>
      <c r="U1423" s="3">
        <v>1</v>
      </c>
      <c r="V1423" s="3">
        <v>1</v>
      </c>
    </row>
    <row r="1424" spans="1:22" x14ac:dyDescent="0.25">
      <c r="A1424" s="2">
        <v>2017</v>
      </c>
      <c r="B1424" t="s">
        <v>51</v>
      </c>
      <c r="C1424" t="s">
        <v>20</v>
      </c>
      <c r="D1424" s="2">
        <v>356</v>
      </c>
      <c r="E1424" s="2">
        <v>1674</v>
      </c>
      <c r="F1424" t="s">
        <v>340</v>
      </c>
      <c r="G1424">
        <v>6</v>
      </c>
      <c r="H1424">
        <v>6</v>
      </c>
      <c r="I1424">
        <v>0</v>
      </c>
      <c r="J1424">
        <v>0</v>
      </c>
      <c r="K1424">
        <v>0</v>
      </c>
      <c r="L1424" s="6">
        <f t="shared" si="124"/>
        <v>1</v>
      </c>
      <c r="M1424">
        <v>156</v>
      </c>
      <c r="N1424">
        <v>22</v>
      </c>
      <c r="O1424" s="9">
        <v>0</v>
      </c>
      <c r="P1424">
        <v>0</v>
      </c>
      <c r="Q1424">
        <v>78</v>
      </c>
      <c r="R1424">
        <v>0</v>
      </c>
      <c r="S1424">
        <v>56</v>
      </c>
      <c r="T1424">
        <v>0</v>
      </c>
      <c r="U1424" s="3">
        <v>1</v>
      </c>
      <c r="V1424" s="3">
        <v>1</v>
      </c>
    </row>
    <row r="1425" spans="1:22" x14ac:dyDescent="0.25">
      <c r="A1425" s="2">
        <v>2017</v>
      </c>
      <c r="B1425" t="s">
        <v>51</v>
      </c>
      <c r="C1425" t="s">
        <v>20</v>
      </c>
      <c r="D1425" s="2">
        <v>842</v>
      </c>
      <c r="E1425" s="2">
        <v>5618</v>
      </c>
      <c r="F1425" t="s">
        <v>37</v>
      </c>
      <c r="G1425">
        <v>3</v>
      </c>
      <c r="H1425">
        <v>3</v>
      </c>
      <c r="I1425">
        <v>0</v>
      </c>
      <c r="J1425">
        <v>0</v>
      </c>
      <c r="K1425">
        <v>0</v>
      </c>
      <c r="L1425" s="6">
        <f t="shared" si="124"/>
        <v>1</v>
      </c>
      <c r="M1425">
        <v>72</v>
      </c>
      <c r="N1425">
        <v>6</v>
      </c>
      <c r="O1425" s="9">
        <v>0</v>
      </c>
      <c r="P1425">
        <v>1</v>
      </c>
      <c r="Q1425">
        <v>27</v>
      </c>
      <c r="R1425">
        <v>1</v>
      </c>
      <c r="S1425">
        <v>37</v>
      </c>
      <c r="T1425">
        <v>0</v>
      </c>
      <c r="U1425" s="3">
        <v>0.97222222222222221</v>
      </c>
      <c r="V1425" s="3">
        <v>0.97333333333333338</v>
      </c>
    </row>
    <row r="1426" spans="1:22" x14ac:dyDescent="0.25">
      <c r="A1426" s="2">
        <v>2017</v>
      </c>
      <c r="B1426" t="s">
        <v>51</v>
      </c>
      <c r="C1426" t="s">
        <v>20</v>
      </c>
      <c r="D1426" s="2">
        <v>600</v>
      </c>
      <c r="E1426" s="2">
        <v>886</v>
      </c>
      <c r="F1426" t="s">
        <v>435</v>
      </c>
      <c r="G1426">
        <v>1</v>
      </c>
      <c r="H1426">
        <v>1</v>
      </c>
      <c r="I1426">
        <v>0</v>
      </c>
      <c r="J1426">
        <v>0</v>
      </c>
      <c r="K1426">
        <v>0</v>
      </c>
      <c r="L1426" s="6">
        <f t="shared" ref="L1426:L1489" si="125">IF(G1426=0,0,SUM(H1426:J1426)/G1426)</f>
        <v>1</v>
      </c>
      <c r="M1426">
        <v>72</v>
      </c>
      <c r="N1426">
        <v>10</v>
      </c>
      <c r="O1426" s="9">
        <v>0</v>
      </c>
      <c r="P1426">
        <v>0</v>
      </c>
      <c r="Q1426">
        <v>46</v>
      </c>
      <c r="R1426">
        <v>0</v>
      </c>
      <c r="S1426">
        <v>15</v>
      </c>
      <c r="T1426">
        <v>1</v>
      </c>
      <c r="U1426" s="3">
        <v>1</v>
      </c>
      <c r="V1426" s="3">
        <v>1</v>
      </c>
    </row>
    <row r="1427" spans="1:22" x14ac:dyDescent="0.25">
      <c r="A1427" s="2">
        <v>2017</v>
      </c>
      <c r="B1427" t="s">
        <v>51</v>
      </c>
      <c r="C1427" t="s">
        <v>20</v>
      </c>
      <c r="D1427" s="2">
        <v>543</v>
      </c>
      <c r="E1427" s="2">
        <v>10917</v>
      </c>
      <c r="F1427" t="s">
        <v>341</v>
      </c>
      <c r="G1427">
        <v>4</v>
      </c>
      <c r="H1427">
        <v>4</v>
      </c>
      <c r="I1427">
        <v>0</v>
      </c>
      <c r="J1427">
        <v>0</v>
      </c>
      <c r="K1427">
        <v>0</v>
      </c>
      <c r="L1427" s="6">
        <f t="shared" si="125"/>
        <v>1</v>
      </c>
      <c r="M1427">
        <v>73</v>
      </c>
      <c r="N1427">
        <v>13</v>
      </c>
      <c r="O1427" s="9">
        <v>0</v>
      </c>
      <c r="P1427">
        <v>0</v>
      </c>
      <c r="Q1427">
        <v>32</v>
      </c>
      <c r="R1427">
        <v>0</v>
      </c>
      <c r="S1427">
        <v>28</v>
      </c>
      <c r="T1427">
        <v>0</v>
      </c>
      <c r="U1427" s="3">
        <v>1</v>
      </c>
      <c r="V1427" s="3">
        <v>1</v>
      </c>
    </row>
    <row r="1428" spans="1:22" x14ac:dyDescent="0.25">
      <c r="A1428" s="2">
        <v>2017</v>
      </c>
      <c r="B1428" t="s">
        <v>51</v>
      </c>
      <c r="C1428" t="s">
        <v>20</v>
      </c>
      <c r="D1428" s="2">
        <v>565</v>
      </c>
      <c r="E1428" s="2">
        <v>9507</v>
      </c>
      <c r="F1428" t="s">
        <v>432</v>
      </c>
      <c r="G1428">
        <v>4</v>
      </c>
      <c r="H1428">
        <v>4</v>
      </c>
      <c r="I1428">
        <v>0</v>
      </c>
      <c r="J1428">
        <v>0</v>
      </c>
      <c r="K1428">
        <v>0</v>
      </c>
      <c r="L1428" s="6">
        <f t="shared" si="125"/>
        <v>1</v>
      </c>
      <c r="M1428">
        <v>143</v>
      </c>
      <c r="N1428">
        <v>15</v>
      </c>
      <c r="O1428" s="9">
        <v>0</v>
      </c>
      <c r="P1428">
        <v>0</v>
      </c>
      <c r="Q1428">
        <v>94</v>
      </c>
      <c r="R1428">
        <v>0</v>
      </c>
      <c r="S1428">
        <v>31</v>
      </c>
      <c r="T1428">
        <v>3</v>
      </c>
      <c r="U1428" s="3">
        <v>1</v>
      </c>
      <c r="V1428" s="3">
        <v>1</v>
      </c>
    </row>
    <row r="1429" spans="1:22" x14ac:dyDescent="0.25">
      <c r="A1429" s="2">
        <v>2017</v>
      </c>
      <c r="B1429" t="s">
        <v>51</v>
      </c>
      <c r="C1429" t="s">
        <v>20</v>
      </c>
      <c r="D1429" s="2">
        <v>576</v>
      </c>
      <c r="E1429" s="2">
        <v>122114</v>
      </c>
      <c r="F1429" t="s">
        <v>342</v>
      </c>
      <c r="G1429">
        <v>2</v>
      </c>
      <c r="H1429">
        <v>2</v>
      </c>
      <c r="I1429">
        <v>0</v>
      </c>
      <c r="J1429">
        <v>0</v>
      </c>
      <c r="K1429">
        <v>0</v>
      </c>
      <c r="L1429" s="6">
        <f t="shared" si="125"/>
        <v>1</v>
      </c>
      <c r="M1429">
        <v>55</v>
      </c>
      <c r="N1429">
        <v>9</v>
      </c>
      <c r="O1429" s="9">
        <v>0</v>
      </c>
      <c r="P1429">
        <v>0</v>
      </c>
      <c r="Q1429">
        <v>34</v>
      </c>
      <c r="R1429">
        <v>0</v>
      </c>
      <c r="S1429">
        <v>12</v>
      </c>
      <c r="T1429">
        <v>0</v>
      </c>
      <c r="U1429" s="3">
        <v>1</v>
      </c>
      <c r="V1429" s="3">
        <v>1</v>
      </c>
    </row>
    <row r="1430" spans="1:22" x14ac:dyDescent="0.25">
      <c r="A1430" s="2">
        <v>2017</v>
      </c>
      <c r="B1430" t="s">
        <v>51</v>
      </c>
      <c r="C1430" t="s">
        <v>20</v>
      </c>
      <c r="D1430" s="2">
        <v>525</v>
      </c>
      <c r="E1430" s="2">
        <v>10340</v>
      </c>
      <c r="F1430" t="s">
        <v>343</v>
      </c>
      <c r="G1430">
        <v>40</v>
      </c>
      <c r="H1430">
        <v>40</v>
      </c>
      <c r="I1430">
        <v>0</v>
      </c>
      <c r="J1430">
        <v>0</v>
      </c>
      <c r="K1430">
        <v>0</v>
      </c>
      <c r="L1430" s="6">
        <f t="shared" si="125"/>
        <v>1</v>
      </c>
      <c r="M1430">
        <v>362</v>
      </c>
      <c r="N1430">
        <v>36</v>
      </c>
      <c r="O1430" s="9">
        <v>0</v>
      </c>
      <c r="P1430">
        <v>5</v>
      </c>
      <c r="Q1430">
        <v>157</v>
      </c>
      <c r="R1430">
        <v>1</v>
      </c>
      <c r="S1430">
        <v>162</v>
      </c>
      <c r="T1430">
        <v>1</v>
      </c>
      <c r="U1430" s="3">
        <v>0.98342541436464093</v>
      </c>
      <c r="V1430" s="3">
        <v>0.9850746268656716</v>
      </c>
    </row>
    <row r="1431" spans="1:22" x14ac:dyDescent="0.25">
      <c r="A1431" s="2">
        <v>2017</v>
      </c>
      <c r="B1431" t="s">
        <v>51</v>
      </c>
      <c r="C1431" t="s">
        <v>20</v>
      </c>
      <c r="D1431" s="2">
        <v>588</v>
      </c>
      <c r="E1431" s="2">
        <v>122737</v>
      </c>
      <c r="F1431" t="s">
        <v>352</v>
      </c>
      <c r="G1431">
        <v>6</v>
      </c>
      <c r="H1431">
        <v>6</v>
      </c>
      <c r="I1431">
        <v>0</v>
      </c>
      <c r="J1431">
        <v>0</v>
      </c>
      <c r="K1431">
        <v>0</v>
      </c>
      <c r="L1431" s="6">
        <f t="shared" si="125"/>
        <v>1</v>
      </c>
      <c r="M1431">
        <v>184</v>
      </c>
      <c r="N1431">
        <v>27</v>
      </c>
      <c r="O1431" s="9">
        <v>0</v>
      </c>
      <c r="P1431">
        <v>0</v>
      </c>
      <c r="Q1431">
        <v>113</v>
      </c>
      <c r="R1431">
        <v>0</v>
      </c>
      <c r="S1431">
        <v>44</v>
      </c>
      <c r="T1431">
        <v>0</v>
      </c>
      <c r="U1431" s="3">
        <v>1</v>
      </c>
      <c r="V1431" s="3">
        <v>1</v>
      </c>
    </row>
    <row r="1432" spans="1:22" x14ac:dyDescent="0.25">
      <c r="A1432" s="2">
        <v>2017</v>
      </c>
      <c r="B1432" t="s">
        <v>51</v>
      </c>
      <c r="C1432" t="s">
        <v>20</v>
      </c>
      <c r="D1432" s="2">
        <v>550</v>
      </c>
      <c r="E1432" s="2">
        <v>119292</v>
      </c>
      <c r="F1432" t="s">
        <v>344</v>
      </c>
      <c r="G1432">
        <v>5</v>
      </c>
      <c r="H1432">
        <v>5</v>
      </c>
      <c r="I1432">
        <v>0</v>
      </c>
      <c r="J1432">
        <v>0</v>
      </c>
      <c r="K1432">
        <v>0</v>
      </c>
      <c r="L1432" s="6">
        <f t="shared" si="125"/>
        <v>1</v>
      </c>
      <c r="M1432">
        <v>72</v>
      </c>
      <c r="N1432">
        <v>11</v>
      </c>
      <c r="O1432" s="9">
        <v>0</v>
      </c>
      <c r="P1432">
        <v>0</v>
      </c>
      <c r="Q1432">
        <v>32</v>
      </c>
      <c r="R1432">
        <v>0</v>
      </c>
      <c r="S1432">
        <v>29</v>
      </c>
      <c r="T1432">
        <v>0</v>
      </c>
      <c r="U1432" s="3">
        <v>1</v>
      </c>
      <c r="V1432" s="3">
        <v>1</v>
      </c>
    </row>
    <row r="1433" spans="1:22" x14ac:dyDescent="0.25">
      <c r="A1433" s="2">
        <v>2017</v>
      </c>
      <c r="B1433" t="s">
        <v>51</v>
      </c>
      <c r="C1433" t="s">
        <v>20</v>
      </c>
      <c r="D1433" s="2">
        <v>546</v>
      </c>
      <c r="E1433" s="2">
        <v>119467</v>
      </c>
      <c r="F1433" t="s">
        <v>345</v>
      </c>
      <c r="G1433">
        <v>11</v>
      </c>
      <c r="H1433">
        <v>11</v>
      </c>
      <c r="I1433">
        <v>0</v>
      </c>
      <c r="J1433">
        <v>0</v>
      </c>
      <c r="K1433">
        <v>0</v>
      </c>
      <c r="L1433" s="6">
        <f t="shared" si="125"/>
        <v>1</v>
      </c>
      <c r="M1433">
        <v>224</v>
      </c>
      <c r="N1433">
        <v>28</v>
      </c>
      <c r="O1433" s="9">
        <v>0</v>
      </c>
      <c r="P1433">
        <v>0</v>
      </c>
      <c r="Q1433">
        <v>101</v>
      </c>
      <c r="R1433">
        <v>0</v>
      </c>
      <c r="S1433">
        <v>94</v>
      </c>
      <c r="T1433">
        <v>1</v>
      </c>
      <c r="U1433" s="3">
        <v>1</v>
      </c>
      <c r="V1433" s="3">
        <v>1</v>
      </c>
    </row>
    <row r="1434" spans="1:22" x14ac:dyDescent="0.25">
      <c r="A1434" s="2">
        <v>2017</v>
      </c>
      <c r="B1434" t="s">
        <v>51</v>
      </c>
      <c r="C1434" t="s">
        <v>20</v>
      </c>
      <c r="D1434" s="2">
        <v>520</v>
      </c>
      <c r="E1434" s="2">
        <v>8687</v>
      </c>
      <c r="F1434" t="s">
        <v>346</v>
      </c>
      <c r="G1434">
        <v>8</v>
      </c>
      <c r="H1434">
        <v>8</v>
      </c>
      <c r="I1434">
        <v>0</v>
      </c>
      <c r="J1434">
        <v>0</v>
      </c>
      <c r="K1434">
        <v>0</v>
      </c>
      <c r="L1434" s="6">
        <f t="shared" si="125"/>
        <v>1</v>
      </c>
      <c r="M1434">
        <v>229</v>
      </c>
      <c r="N1434">
        <v>23</v>
      </c>
      <c r="O1434" s="9">
        <v>0</v>
      </c>
      <c r="P1434">
        <v>0</v>
      </c>
      <c r="Q1434">
        <v>124</v>
      </c>
      <c r="R1434">
        <v>1</v>
      </c>
      <c r="S1434">
        <v>81</v>
      </c>
      <c r="T1434">
        <v>0</v>
      </c>
      <c r="U1434" s="3">
        <v>0.99563318777292575</v>
      </c>
      <c r="V1434" s="3">
        <v>0.99578059071729963</v>
      </c>
    </row>
    <row r="1435" spans="1:22" x14ac:dyDescent="0.25">
      <c r="A1435" s="2">
        <v>2017</v>
      </c>
      <c r="B1435" t="s">
        <v>51</v>
      </c>
      <c r="C1435" t="s">
        <v>20</v>
      </c>
      <c r="D1435" s="2">
        <v>563</v>
      </c>
      <c r="E1435" s="2">
        <v>5246</v>
      </c>
      <c r="F1435" t="s">
        <v>347</v>
      </c>
      <c r="G1435">
        <v>6</v>
      </c>
      <c r="H1435">
        <v>6</v>
      </c>
      <c r="I1435">
        <v>0</v>
      </c>
      <c r="J1435">
        <v>0</v>
      </c>
      <c r="K1435">
        <v>0</v>
      </c>
      <c r="L1435" s="6">
        <f t="shared" si="125"/>
        <v>1</v>
      </c>
      <c r="M1435">
        <v>34</v>
      </c>
      <c r="N1435">
        <v>6</v>
      </c>
      <c r="O1435" s="9">
        <v>0</v>
      </c>
      <c r="P1435">
        <v>1</v>
      </c>
      <c r="Q1435">
        <v>15</v>
      </c>
      <c r="R1435">
        <v>0</v>
      </c>
      <c r="S1435">
        <v>12</v>
      </c>
      <c r="T1435">
        <v>0</v>
      </c>
      <c r="U1435" s="3">
        <v>0.97058823529411764</v>
      </c>
      <c r="V1435" s="3">
        <v>0.97499999999999998</v>
      </c>
    </row>
    <row r="1436" spans="1:22" x14ac:dyDescent="0.25">
      <c r="A1436" s="2">
        <v>2017</v>
      </c>
      <c r="B1436" t="s">
        <v>51</v>
      </c>
      <c r="C1436" t="s">
        <v>23</v>
      </c>
      <c r="D1436" s="2">
        <v>489</v>
      </c>
      <c r="E1436" s="2">
        <v>7740</v>
      </c>
      <c r="F1436" t="s">
        <v>40</v>
      </c>
      <c r="G1436">
        <v>10</v>
      </c>
      <c r="H1436">
        <v>10</v>
      </c>
      <c r="I1436">
        <v>0</v>
      </c>
      <c r="J1436">
        <v>0</v>
      </c>
      <c r="K1436">
        <v>0</v>
      </c>
      <c r="L1436" s="6">
        <f t="shared" si="125"/>
        <v>1</v>
      </c>
      <c r="M1436">
        <v>241</v>
      </c>
      <c r="N1436">
        <v>32</v>
      </c>
      <c r="O1436" s="9">
        <v>0</v>
      </c>
      <c r="P1436">
        <v>0</v>
      </c>
      <c r="Q1436">
        <v>97</v>
      </c>
      <c r="R1436">
        <v>1</v>
      </c>
      <c r="S1436">
        <v>111</v>
      </c>
      <c r="T1436">
        <v>0</v>
      </c>
      <c r="U1436" s="3">
        <v>0.99585062240663902</v>
      </c>
      <c r="V1436" s="3">
        <v>0.99601593625498008</v>
      </c>
    </row>
    <row r="1437" spans="1:22" x14ac:dyDescent="0.25">
      <c r="A1437" s="2">
        <v>2017</v>
      </c>
      <c r="B1437" t="s">
        <v>51</v>
      </c>
      <c r="C1437" t="s">
        <v>23</v>
      </c>
      <c r="D1437" s="2">
        <v>492</v>
      </c>
      <c r="E1437" s="2">
        <v>7744</v>
      </c>
      <c r="F1437" t="s">
        <v>374</v>
      </c>
      <c r="G1437">
        <v>10</v>
      </c>
      <c r="H1437">
        <v>10</v>
      </c>
      <c r="I1437">
        <v>0</v>
      </c>
      <c r="J1437">
        <v>0</v>
      </c>
      <c r="K1437">
        <v>0</v>
      </c>
      <c r="L1437" s="6">
        <f t="shared" si="125"/>
        <v>1</v>
      </c>
      <c r="M1437">
        <v>228</v>
      </c>
      <c r="N1437">
        <v>40</v>
      </c>
      <c r="O1437" s="9">
        <v>0</v>
      </c>
      <c r="P1437">
        <v>0</v>
      </c>
      <c r="Q1437">
        <v>105</v>
      </c>
      <c r="R1437">
        <v>0</v>
      </c>
      <c r="S1437">
        <v>83</v>
      </c>
      <c r="T1437">
        <v>0</v>
      </c>
      <c r="U1437" s="3">
        <v>1</v>
      </c>
      <c r="V1437" s="3">
        <v>1</v>
      </c>
    </row>
    <row r="1438" spans="1:22" x14ac:dyDescent="0.25">
      <c r="A1438" s="2">
        <v>2017</v>
      </c>
      <c r="B1438" t="s">
        <v>51</v>
      </c>
      <c r="C1438" t="s">
        <v>23</v>
      </c>
      <c r="D1438" s="2">
        <v>555</v>
      </c>
      <c r="E1438" s="2">
        <v>119114</v>
      </c>
      <c r="F1438" t="s">
        <v>375</v>
      </c>
      <c r="G1438">
        <v>19</v>
      </c>
      <c r="H1438">
        <v>19</v>
      </c>
      <c r="I1438">
        <v>0</v>
      </c>
      <c r="J1438">
        <v>0</v>
      </c>
      <c r="K1438">
        <v>0</v>
      </c>
      <c r="L1438" s="6">
        <f t="shared" si="125"/>
        <v>1</v>
      </c>
      <c r="M1438">
        <v>277</v>
      </c>
      <c r="N1438">
        <v>53</v>
      </c>
      <c r="O1438" s="9">
        <v>0</v>
      </c>
      <c r="P1438">
        <v>0</v>
      </c>
      <c r="Q1438">
        <v>118</v>
      </c>
      <c r="R1438">
        <v>0</v>
      </c>
      <c r="S1438">
        <v>104</v>
      </c>
      <c r="T1438">
        <v>2</v>
      </c>
      <c r="U1438" s="3">
        <v>1</v>
      </c>
      <c r="V1438" s="3">
        <v>1</v>
      </c>
    </row>
    <row r="1439" spans="1:22" x14ac:dyDescent="0.25">
      <c r="A1439" s="2">
        <v>2017</v>
      </c>
      <c r="B1439" t="s">
        <v>51</v>
      </c>
      <c r="C1439" t="s">
        <v>23</v>
      </c>
      <c r="D1439" s="2">
        <v>493</v>
      </c>
      <c r="E1439" s="2">
        <v>7742</v>
      </c>
      <c r="F1439" t="s">
        <v>376</v>
      </c>
      <c r="G1439">
        <v>5</v>
      </c>
      <c r="H1439">
        <v>5</v>
      </c>
      <c r="I1439">
        <v>0</v>
      </c>
      <c r="J1439">
        <v>0</v>
      </c>
      <c r="K1439">
        <v>0</v>
      </c>
      <c r="L1439" s="6">
        <f t="shared" si="125"/>
        <v>1</v>
      </c>
      <c r="M1439">
        <v>155</v>
      </c>
      <c r="N1439">
        <v>26</v>
      </c>
      <c r="O1439" s="9">
        <v>0</v>
      </c>
      <c r="P1439">
        <v>0</v>
      </c>
      <c r="Q1439">
        <v>60</v>
      </c>
      <c r="R1439">
        <v>0</v>
      </c>
      <c r="S1439">
        <v>69</v>
      </c>
      <c r="T1439">
        <v>0</v>
      </c>
      <c r="U1439" s="3">
        <v>1</v>
      </c>
      <c r="V1439" s="3">
        <v>1</v>
      </c>
    </row>
    <row r="1440" spans="1:22" x14ac:dyDescent="0.25">
      <c r="A1440" s="2">
        <v>2017</v>
      </c>
      <c r="B1440" t="s">
        <v>51</v>
      </c>
      <c r="C1440" t="s">
        <v>23</v>
      </c>
      <c r="D1440" s="2">
        <v>593</v>
      </c>
      <c r="E1440" s="2">
        <v>122796</v>
      </c>
      <c r="F1440" t="s">
        <v>379</v>
      </c>
      <c r="G1440">
        <v>25</v>
      </c>
      <c r="H1440">
        <v>25</v>
      </c>
      <c r="I1440">
        <v>0</v>
      </c>
      <c r="J1440">
        <v>0</v>
      </c>
      <c r="K1440">
        <v>0</v>
      </c>
      <c r="L1440" s="6">
        <f t="shared" si="125"/>
        <v>1</v>
      </c>
      <c r="M1440">
        <v>275</v>
      </c>
      <c r="N1440">
        <v>48</v>
      </c>
      <c r="O1440" s="9">
        <v>0</v>
      </c>
      <c r="P1440">
        <v>0</v>
      </c>
      <c r="Q1440">
        <v>129</v>
      </c>
      <c r="R1440">
        <v>0</v>
      </c>
      <c r="S1440">
        <v>97</v>
      </c>
      <c r="T1440">
        <v>1</v>
      </c>
      <c r="U1440" s="3">
        <v>1</v>
      </c>
      <c r="V1440" s="3">
        <v>1</v>
      </c>
    </row>
    <row r="1441" spans="1:22" x14ac:dyDescent="0.25">
      <c r="A1441" s="2">
        <v>2017</v>
      </c>
      <c r="B1441" t="s">
        <v>51</v>
      </c>
      <c r="C1441" t="s">
        <v>23</v>
      </c>
      <c r="D1441" s="2">
        <v>291</v>
      </c>
      <c r="E1441" s="2">
        <v>121506</v>
      </c>
      <c r="F1441" t="s">
        <v>380</v>
      </c>
      <c r="G1441">
        <v>0</v>
      </c>
      <c r="H1441">
        <v>0</v>
      </c>
      <c r="I1441">
        <v>0</v>
      </c>
      <c r="J1441">
        <v>0</v>
      </c>
      <c r="K1441">
        <v>0</v>
      </c>
      <c r="L1441" s="6">
        <f t="shared" si="125"/>
        <v>0</v>
      </c>
      <c r="M1441">
        <v>1</v>
      </c>
      <c r="N1441">
        <v>0</v>
      </c>
      <c r="O1441" s="9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 s="3">
        <v>1</v>
      </c>
      <c r="V1441" s="3">
        <v>1</v>
      </c>
    </row>
    <row r="1442" spans="1:22" x14ac:dyDescent="0.25">
      <c r="A1442" s="2">
        <v>2017</v>
      </c>
      <c r="B1442" t="s">
        <v>51</v>
      </c>
      <c r="C1442" t="s">
        <v>23</v>
      </c>
      <c r="D1442" s="2">
        <v>592</v>
      </c>
      <c r="E1442" s="2">
        <v>122956</v>
      </c>
      <c r="F1442" t="s">
        <v>381</v>
      </c>
      <c r="G1442">
        <v>9</v>
      </c>
      <c r="H1442">
        <v>9</v>
      </c>
      <c r="I1442">
        <v>0</v>
      </c>
      <c r="J1442">
        <v>0</v>
      </c>
      <c r="K1442">
        <v>0</v>
      </c>
      <c r="L1442" s="6">
        <f t="shared" si="125"/>
        <v>1</v>
      </c>
      <c r="M1442">
        <v>196</v>
      </c>
      <c r="N1442">
        <v>35</v>
      </c>
      <c r="O1442" s="9">
        <v>0</v>
      </c>
      <c r="P1442">
        <v>0</v>
      </c>
      <c r="Q1442">
        <v>91</v>
      </c>
      <c r="R1442">
        <v>0</v>
      </c>
      <c r="S1442">
        <v>70</v>
      </c>
      <c r="T1442">
        <v>0</v>
      </c>
      <c r="U1442" s="3">
        <v>1</v>
      </c>
      <c r="V1442" s="3">
        <v>1</v>
      </c>
    </row>
    <row r="1443" spans="1:22" x14ac:dyDescent="0.25">
      <c r="A1443" s="2">
        <v>2017</v>
      </c>
      <c r="B1443" t="s">
        <v>51</v>
      </c>
      <c r="C1443" t="s">
        <v>23</v>
      </c>
      <c r="D1443" s="2">
        <v>494</v>
      </c>
      <c r="E1443" s="2">
        <v>7743</v>
      </c>
      <c r="F1443" t="s">
        <v>383</v>
      </c>
      <c r="G1443">
        <v>8</v>
      </c>
      <c r="H1443">
        <v>8</v>
      </c>
      <c r="I1443">
        <v>0</v>
      </c>
      <c r="J1443">
        <v>0</v>
      </c>
      <c r="K1443">
        <v>0</v>
      </c>
      <c r="L1443" s="6">
        <f t="shared" si="125"/>
        <v>1</v>
      </c>
      <c r="M1443">
        <v>278</v>
      </c>
      <c r="N1443">
        <v>38</v>
      </c>
      <c r="O1443" s="9">
        <v>0</v>
      </c>
      <c r="P1443">
        <v>1</v>
      </c>
      <c r="Q1443">
        <v>123</v>
      </c>
      <c r="R1443">
        <v>1</v>
      </c>
      <c r="S1443">
        <v>114</v>
      </c>
      <c r="T1443">
        <v>1</v>
      </c>
      <c r="U1443" s="3">
        <v>0.9928057553956835</v>
      </c>
      <c r="V1443" s="3">
        <v>0.99300699300699302</v>
      </c>
    </row>
    <row r="1444" spans="1:22" x14ac:dyDescent="0.25">
      <c r="A1444" s="2">
        <v>2017</v>
      </c>
      <c r="B1444" t="s">
        <v>51</v>
      </c>
      <c r="C1444" t="s">
        <v>23</v>
      </c>
      <c r="D1444" s="2">
        <v>534</v>
      </c>
      <c r="E1444" s="2">
        <v>10480</v>
      </c>
      <c r="F1444" t="s">
        <v>384</v>
      </c>
      <c r="G1444">
        <v>0</v>
      </c>
      <c r="H1444">
        <v>0</v>
      </c>
      <c r="I1444">
        <v>0</v>
      </c>
      <c r="J1444">
        <v>0</v>
      </c>
      <c r="K1444">
        <v>0</v>
      </c>
      <c r="L1444" s="6">
        <f t="shared" si="125"/>
        <v>0</v>
      </c>
      <c r="M1444">
        <v>4</v>
      </c>
      <c r="N1444">
        <v>0</v>
      </c>
      <c r="O1444" s="9">
        <v>0</v>
      </c>
      <c r="P1444">
        <v>0</v>
      </c>
      <c r="Q1444">
        <v>3</v>
      </c>
      <c r="R1444">
        <v>0</v>
      </c>
      <c r="S1444">
        <v>1</v>
      </c>
      <c r="T1444">
        <v>0</v>
      </c>
      <c r="U1444" s="3">
        <v>1</v>
      </c>
      <c r="V1444" s="3">
        <v>1</v>
      </c>
    </row>
    <row r="1445" spans="1:22" x14ac:dyDescent="0.25">
      <c r="A1445" s="2">
        <v>2017</v>
      </c>
      <c r="B1445" t="s">
        <v>51</v>
      </c>
      <c r="C1445" t="s">
        <v>23</v>
      </c>
      <c r="D1445" s="2">
        <v>596</v>
      </c>
      <c r="E1445" s="2">
        <v>222222222</v>
      </c>
      <c r="F1445" t="s">
        <v>421</v>
      </c>
      <c r="G1445">
        <v>0</v>
      </c>
      <c r="H1445">
        <v>0</v>
      </c>
      <c r="I1445">
        <v>0</v>
      </c>
      <c r="J1445">
        <v>0</v>
      </c>
      <c r="K1445">
        <v>0</v>
      </c>
      <c r="L1445" s="6">
        <f t="shared" si="125"/>
        <v>0</v>
      </c>
      <c r="M1445">
        <v>1</v>
      </c>
      <c r="N1445">
        <v>0</v>
      </c>
      <c r="O1445" s="9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 s="3">
        <v>1</v>
      </c>
      <c r="V1445" s="3">
        <v>1</v>
      </c>
    </row>
    <row r="1446" spans="1:22" x14ac:dyDescent="0.25">
      <c r="A1446" s="2">
        <v>2017</v>
      </c>
      <c r="B1446" t="s">
        <v>51</v>
      </c>
      <c r="C1446" t="s">
        <v>23</v>
      </c>
      <c r="D1446" s="2">
        <v>496</v>
      </c>
      <c r="E1446" s="2">
        <v>7741</v>
      </c>
      <c r="F1446" t="s">
        <v>387</v>
      </c>
      <c r="G1446">
        <v>23</v>
      </c>
      <c r="H1446">
        <v>22</v>
      </c>
      <c r="I1446">
        <v>0</v>
      </c>
      <c r="J1446">
        <v>0</v>
      </c>
      <c r="K1446">
        <v>1</v>
      </c>
      <c r="L1446" s="6">
        <f t="shared" si="125"/>
        <v>0.95652173913043481</v>
      </c>
      <c r="M1446">
        <v>329</v>
      </c>
      <c r="N1446">
        <v>42</v>
      </c>
      <c r="O1446" s="9">
        <v>0</v>
      </c>
      <c r="P1446">
        <v>0</v>
      </c>
      <c r="Q1446">
        <v>118</v>
      </c>
      <c r="R1446">
        <v>0</v>
      </c>
      <c r="S1446">
        <v>167</v>
      </c>
      <c r="T1446">
        <v>2</v>
      </c>
      <c r="U1446" s="3">
        <v>1</v>
      </c>
      <c r="V1446" s="3">
        <v>0.99715909090909094</v>
      </c>
    </row>
    <row r="1447" spans="1:22" x14ac:dyDescent="0.25">
      <c r="A1447" s="2">
        <v>2017</v>
      </c>
      <c r="B1447" t="s">
        <v>51</v>
      </c>
      <c r="C1447" t="s">
        <v>23</v>
      </c>
      <c r="D1447" s="2">
        <v>444</v>
      </c>
      <c r="E1447" s="2">
        <v>7314</v>
      </c>
      <c r="F1447" t="s">
        <v>388</v>
      </c>
      <c r="G1447">
        <v>9</v>
      </c>
      <c r="H1447">
        <v>9</v>
      </c>
      <c r="I1447">
        <v>0</v>
      </c>
      <c r="J1447">
        <v>0</v>
      </c>
      <c r="K1447">
        <v>0</v>
      </c>
      <c r="L1447" s="6">
        <f t="shared" si="125"/>
        <v>1</v>
      </c>
      <c r="M1447">
        <v>179</v>
      </c>
      <c r="N1447">
        <v>25</v>
      </c>
      <c r="O1447" s="9">
        <v>0</v>
      </c>
      <c r="P1447">
        <v>0</v>
      </c>
      <c r="Q1447">
        <v>54</v>
      </c>
      <c r="R1447">
        <v>0</v>
      </c>
      <c r="S1447">
        <v>99</v>
      </c>
      <c r="T1447">
        <v>1</v>
      </c>
      <c r="U1447" s="3">
        <v>1</v>
      </c>
      <c r="V1447" s="3">
        <v>1</v>
      </c>
    </row>
    <row r="1448" spans="1:22" x14ac:dyDescent="0.25">
      <c r="A1448" s="2">
        <v>2017</v>
      </c>
      <c r="B1448" t="s">
        <v>51</v>
      </c>
      <c r="C1448" t="s">
        <v>23</v>
      </c>
      <c r="D1448" s="2">
        <v>505</v>
      </c>
      <c r="E1448" s="2">
        <v>8344</v>
      </c>
      <c r="F1448" t="s">
        <v>389</v>
      </c>
      <c r="G1448">
        <v>16</v>
      </c>
      <c r="H1448">
        <v>16</v>
      </c>
      <c r="I1448">
        <v>0</v>
      </c>
      <c r="J1448">
        <v>0</v>
      </c>
      <c r="K1448">
        <v>0</v>
      </c>
      <c r="L1448" s="6">
        <f t="shared" si="125"/>
        <v>1</v>
      </c>
      <c r="M1448">
        <v>248</v>
      </c>
      <c r="N1448">
        <v>44</v>
      </c>
      <c r="O1448" s="9">
        <v>0</v>
      </c>
      <c r="P1448">
        <v>0</v>
      </c>
      <c r="Q1448">
        <v>97</v>
      </c>
      <c r="R1448">
        <v>0</v>
      </c>
      <c r="S1448">
        <v>106</v>
      </c>
      <c r="T1448">
        <v>1</v>
      </c>
      <c r="U1448" s="3">
        <v>1</v>
      </c>
      <c r="V1448" s="3">
        <v>1</v>
      </c>
    </row>
    <row r="1449" spans="1:22" x14ac:dyDescent="0.25">
      <c r="A1449" s="2">
        <v>2017</v>
      </c>
      <c r="B1449" t="s">
        <v>51</v>
      </c>
      <c r="C1449" t="s">
        <v>21</v>
      </c>
      <c r="D1449" s="2">
        <v>528</v>
      </c>
      <c r="E1449" s="2">
        <v>10623</v>
      </c>
      <c r="F1449" t="s">
        <v>42</v>
      </c>
      <c r="G1449">
        <v>0</v>
      </c>
      <c r="H1449">
        <v>0</v>
      </c>
      <c r="I1449">
        <v>0</v>
      </c>
      <c r="J1449">
        <v>0</v>
      </c>
      <c r="K1449">
        <v>0</v>
      </c>
      <c r="L1449" s="6">
        <f t="shared" si="125"/>
        <v>0</v>
      </c>
      <c r="M1449">
        <v>161</v>
      </c>
      <c r="N1449">
        <v>12</v>
      </c>
      <c r="O1449" s="9">
        <v>0</v>
      </c>
      <c r="P1449">
        <v>0</v>
      </c>
      <c r="Q1449">
        <v>97</v>
      </c>
      <c r="R1449">
        <v>0</v>
      </c>
      <c r="S1449">
        <v>52</v>
      </c>
      <c r="T1449">
        <v>0</v>
      </c>
      <c r="U1449" s="3">
        <v>1</v>
      </c>
      <c r="V1449" s="3">
        <v>1</v>
      </c>
    </row>
    <row r="1450" spans="1:22" x14ac:dyDescent="0.25">
      <c r="A1450" s="2">
        <v>2017</v>
      </c>
      <c r="B1450" t="s">
        <v>51</v>
      </c>
      <c r="C1450" t="s">
        <v>21</v>
      </c>
      <c r="D1450" s="2">
        <v>578</v>
      </c>
      <c r="E1450" s="2">
        <v>122349</v>
      </c>
      <c r="F1450" t="s">
        <v>43</v>
      </c>
      <c r="G1450">
        <v>15</v>
      </c>
      <c r="H1450">
        <v>15</v>
      </c>
      <c r="I1450">
        <v>0</v>
      </c>
      <c r="J1450">
        <v>0</v>
      </c>
      <c r="K1450">
        <v>0</v>
      </c>
      <c r="L1450" s="6">
        <f t="shared" si="125"/>
        <v>1</v>
      </c>
      <c r="M1450">
        <v>159</v>
      </c>
      <c r="N1450">
        <v>23</v>
      </c>
      <c r="O1450" s="9">
        <v>0</v>
      </c>
      <c r="P1450">
        <v>0</v>
      </c>
      <c r="Q1450">
        <v>89</v>
      </c>
      <c r="R1450">
        <v>0</v>
      </c>
      <c r="S1450">
        <v>46</v>
      </c>
      <c r="T1450">
        <v>1</v>
      </c>
      <c r="U1450" s="3">
        <v>1</v>
      </c>
      <c r="V1450" s="3">
        <v>1</v>
      </c>
    </row>
    <row r="1451" spans="1:22" x14ac:dyDescent="0.25">
      <c r="A1451" s="2">
        <v>2017</v>
      </c>
      <c r="B1451" t="s">
        <v>51</v>
      </c>
      <c r="C1451" t="s">
        <v>21</v>
      </c>
      <c r="D1451" s="2">
        <v>589</v>
      </c>
      <c r="E1451" s="2">
        <v>124030</v>
      </c>
      <c r="F1451" t="s">
        <v>441</v>
      </c>
      <c r="G1451">
        <v>0</v>
      </c>
      <c r="H1451">
        <v>0</v>
      </c>
      <c r="I1451">
        <v>0</v>
      </c>
      <c r="J1451">
        <v>0</v>
      </c>
      <c r="K1451">
        <v>0</v>
      </c>
      <c r="L1451" s="6">
        <f t="shared" si="125"/>
        <v>0</v>
      </c>
      <c r="M1451">
        <v>82</v>
      </c>
      <c r="N1451">
        <v>10</v>
      </c>
      <c r="O1451" s="9">
        <v>0</v>
      </c>
      <c r="P1451">
        <v>0</v>
      </c>
      <c r="Q1451">
        <v>52</v>
      </c>
      <c r="R1451">
        <v>0</v>
      </c>
      <c r="S1451">
        <v>20</v>
      </c>
      <c r="T1451">
        <v>0</v>
      </c>
      <c r="U1451" s="3">
        <v>1</v>
      </c>
      <c r="V1451" s="3">
        <v>1</v>
      </c>
    </row>
    <row r="1452" spans="1:22" x14ac:dyDescent="0.25">
      <c r="A1452" s="2">
        <v>2017</v>
      </c>
      <c r="B1452" t="s">
        <v>51</v>
      </c>
      <c r="C1452" t="s">
        <v>21</v>
      </c>
      <c r="D1452" s="2">
        <v>840</v>
      </c>
      <c r="E1452" s="2">
        <v>5614</v>
      </c>
      <c r="F1452" t="s">
        <v>423</v>
      </c>
      <c r="G1452">
        <v>0</v>
      </c>
      <c r="H1452">
        <v>0</v>
      </c>
      <c r="I1452">
        <v>0</v>
      </c>
      <c r="J1452">
        <v>0</v>
      </c>
      <c r="K1452">
        <v>0</v>
      </c>
      <c r="L1452" s="6">
        <f t="shared" si="125"/>
        <v>0</v>
      </c>
      <c r="M1452">
        <v>1</v>
      </c>
      <c r="N1452">
        <v>0</v>
      </c>
      <c r="O1452" s="9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 s="3">
        <v>1</v>
      </c>
      <c r="V1452" s="3">
        <v>1</v>
      </c>
    </row>
    <row r="1453" spans="1:22" x14ac:dyDescent="0.25">
      <c r="A1453" s="2">
        <v>2017</v>
      </c>
      <c r="B1453" t="s">
        <v>51</v>
      </c>
      <c r="C1453" t="s">
        <v>21</v>
      </c>
      <c r="D1453" s="2">
        <v>403</v>
      </c>
      <c r="E1453" s="2">
        <v>6783</v>
      </c>
      <c r="F1453" t="s">
        <v>348</v>
      </c>
      <c r="G1453">
        <v>3</v>
      </c>
      <c r="H1453">
        <v>3</v>
      </c>
      <c r="I1453">
        <v>0</v>
      </c>
      <c r="J1453">
        <v>0</v>
      </c>
      <c r="K1453">
        <v>0</v>
      </c>
      <c r="L1453" s="6">
        <f t="shared" si="125"/>
        <v>1</v>
      </c>
      <c r="M1453">
        <v>290</v>
      </c>
      <c r="N1453">
        <v>30</v>
      </c>
      <c r="O1453" s="9">
        <v>0</v>
      </c>
      <c r="P1453">
        <v>0</v>
      </c>
      <c r="Q1453">
        <v>196</v>
      </c>
      <c r="R1453">
        <v>1</v>
      </c>
      <c r="S1453">
        <v>62</v>
      </c>
      <c r="T1453">
        <v>1</v>
      </c>
      <c r="U1453" s="3">
        <v>0.99655172413793103</v>
      </c>
      <c r="V1453" s="3">
        <v>0.9965870307167235</v>
      </c>
    </row>
    <row r="1454" spans="1:22" x14ac:dyDescent="0.25">
      <c r="A1454" s="2">
        <v>2017</v>
      </c>
      <c r="B1454" t="s">
        <v>51</v>
      </c>
      <c r="C1454" t="s">
        <v>21</v>
      </c>
      <c r="D1454" s="2">
        <v>527</v>
      </c>
      <c r="E1454" s="2">
        <v>9715</v>
      </c>
      <c r="F1454" t="s">
        <v>337</v>
      </c>
      <c r="G1454">
        <v>0</v>
      </c>
      <c r="H1454">
        <v>0</v>
      </c>
      <c r="I1454">
        <v>0</v>
      </c>
      <c r="J1454">
        <v>0</v>
      </c>
      <c r="K1454">
        <v>0</v>
      </c>
      <c r="L1454" s="6">
        <f t="shared" si="125"/>
        <v>0</v>
      </c>
      <c r="M1454">
        <v>1</v>
      </c>
      <c r="N1454">
        <v>0</v>
      </c>
      <c r="O1454" s="9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 s="3">
        <v>1</v>
      </c>
      <c r="V1454" s="3">
        <v>1</v>
      </c>
    </row>
    <row r="1455" spans="1:22" x14ac:dyDescent="0.25">
      <c r="A1455" s="2">
        <v>2017</v>
      </c>
      <c r="B1455" t="s">
        <v>51</v>
      </c>
      <c r="C1455" t="s">
        <v>21</v>
      </c>
      <c r="D1455" s="2">
        <v>559</v>
      </c>
      <c r="E1455" s="2">
        <v>8697</v>
      </c>
      <c r="F1455" t="s">
        <v>368</v>
      </c>
      <c r="G1455">
        <v>1</v>
      </c>
      <c r="H1455">
        <v>1</v>
      </c>
      <c r="I1455">
        <v>0</v>
      </c>
      <c r="J1455">
        <v>0</v>
      </c>
      <c r="K1455">
        <v>0</v>
      </c>
      <c r="L1455" s="6">
        <f t="shared" si="125"/>
        <v>1</v>
      </c>
      <c r="M1455">
        <v>28</v>
      </c>
      <c r="N1455">
        <v>6</v>
      </c>
      <c r="O1455" s="9">
        <v>0</v>
      </c>
      <c r="P1455">
        <v>0</v>
      </c>
      <c r="Q1455">
        <v>14</v>
      </c>
      <c r="R1455">
        <v>0</v>
      </c>
      <c r="S1455">
        <v>8</v>
      </c>
      <c r="T1455">
        <v>0</v>
      </c>
      <c r="U1455" s="3">
        <v>1</v>
      </c>
      <c r="V1455" s="3">
        <v>1</v>
      </c>
    </row>
    <row r="1456" spans="1:22" x14ac:dyDescent="0.25">
      <c r="A1456" s="2">
        <v>2017</v>
      </c>
      <c r="B1456" t="s">
        <v>51</v>
      </c>
      <c r="C1456" t="s">
        <v>21</v>
      </c>
      <c r="D1456" s="2">
        <v>595</v>
      </c>
      <c r="E1456" s="2">
        <v>123208</v>
      </c>
      <c r="F1456" t="s">
        <v>35</v>
      </c>
      <c r="G1456">
        <v>3</v>
      </c>
      <c r="H1456">
        <v>3</v>
      </c>
      <c r="I1456">
        <v>0</v>
      </c>
      <c r="J1456">
        <v>0</v>
      </c>
      <c r="K1456">
        <v>0</v>
      </c>
      <c r="L1456" s="6">
        <f t="shared" si="125"/>
        <v>1</v>
      </c>
      <c r="M1456">
        <v>371</v>
      </c>
      <c r="N1456">
        <v>53</v>
      </c>
      <c r="O1456" s="9">
        <v>0</v>
      </c>
      <c r="P1456">
        <v>1</v>
      </c>
      <c r="Q1456">
        <v>262</v>
      </c>
      <c r="R1456">
        <v>0</v>
      </c>
      <c r="S1456">
        <v>55</v>
      </c>
      <c r="T1456">
        <v>0</v>
      </c>
      <c r="U1456" s="3">
        <v>0.99730458221024254</v>
      </c>
      <c r="V1456" s="3">
        <v>0.99732620320855614</v>
      </c>
    </row>
    <row r="1457" spans="1:22" x14ac:dyDescent="0.25">
      <c r="A1457" s="2">
        <v>2017</v>
      </c>
      <c r="B1457" t="s">
        <v>51</v>
      </c>
      <c r="C1457" t="s">
        <v>21</v>
      </c>
      <c r="D1457" s="2">
        <v>455</v>
      </c>
      <c r="E1457" s="2">
        <v>7401</v>
      </c>
      <c r="F1457" t="s">
        <v>36</v>
      </c>
      <c r="G1457">
        <v>5</v>
      </c>
      <c r="H1457">
        <v>5</v>
      </c>
      <c r="I1457">
        <v>0</v>
      </c>
      <c r="J1457">
        <v>0</v>
      </c>
      <c r="K1457">
        <v>0</v>
      </c>
      <c r="L1457" s="6">
        <f t="shared" si="125"/>
        <v>1</v>
      </c>
      <c r="M1457">
        <v>84</v>
      </c>
      <c r="N1457">
        <v>8</v>
      </c>
      <c r="O1457" s="9">
        <v>0</v>
      </c>
      <c r="P1457">
        <v>0</v>
      </c>
      <c r="Q1457">
        <v>48</v>
      </c>
      <c r="R1457">
        <v>0</v>
      </c>
      <c r="S1457">
        <v>27</v>
      </c>
      <c r="T1457">
        <v>1</v>
      </c>
      <c r="U1457" s="3">
        <v>1</v>
      </c>
      <c r="V1457" s="3">
        <v>1</v>
      </c>
    </row>
    <row r="1458" spans="1:22" x14ac:dyDescent="0.25">
      <c r="A1458" s="2">
        <v>2017</v>
      </c>
      <c r="B1458" t="s">
        <v>51</v>
      </c>
      <c r="C1458" t="s">
        <v>21</v>
      </c>
      <c r="D1458" s="2">
        <v>842</v>
      </c>
      <c r="E1458" s="2">
        <v>5618</v>
      </c>
      <c r="F1458" t="s">
        <v>37</v>
      </c>
      <c r="G1458">
        <v>3</v>
      </c>
      <c r="H1458">
        <v>3</v>
      </c>
      <c r="I1458">
        <v>0</v>
      </c>
      <c r="J1458">
        <v>0</v>
      </c>
      <c r="K1458">
        <v>0</v>
      </c>
      <c r="L1458" s="6">
        <f t="shared" si="125"/>
        <v>1</v>
      </c>
      <c r="M1458">
        <v>71</v>
      </c>
      <c r="N1458">
        <v>10</v>
      </c>
      <c r="O1458" s="9">
        <v>0</v>
      </c>
      <c r="P1458">
        <v>0</v>
      </c>
      <c r="Q1458">
        <v>27</v>
      </c>
      <c r="R1458">
        <v>0</v>
      </c>
      <c r="S1458">
        <v>34</v>
      </c>
      <c r="T1458">
        <v>0</v>
      </c>
      <c r="U1458" s="3">
        <v>1</v>
      </c>
      <c r="V1458" s="3">
        <v>1</v>
      </c>
    </row>
    <row r="1459" spans="1:22" x14ac:dyDescent="0.25">
      <c r="A1459" s="2">
        <v>2017</v>
      </c>
      <c r="B1459" t="s">
        <v>51</v>
      </c>
      <c r="C1459" t="s">
        <v>21</v>
      </c>
      <c r="D1459" s="2">
        <v>766</v>
      </c>
      <c r="E1459" s="2">
        <v>6781</v>
      </c>
      <c r="F1459" t="s">
        <v>349</v>
      </c>
      <c r="G1459">
        <v>19</v>
      </c>
      <c r="H1459">
        <v>19</v>
      </c>
      <c r="I1459">
        <v>0</v>
      </c>
      <c r="J1459">
        <v>0</v>
      </c>
      <c r="K1459">
        <v>0</v>
      </c>
      <c r="L1459" s="6">
        <f t="shared" si="125"/>
        <v>1</v>
      </c>
      <c r="M1459">
        <v>307</v>
      </c>
      <c r="N1459">
        <v>37</v>
      </c>
      <c r="O1459" s="9">
        <v>0</v>
      </c>
      <c r="P1459">
        <v>2</v>
      </c>
      <c r="Q1459">
        <v>133</v>
      </c>
      <c r="R1459">
        <v>2</v>
      </c>
      <c r="S1459">
        <v>131</v>
      </c>
      <c r="T1459">
        <v>2</v>
      </c>
      <c r="U1459" s="3">
        <v>0.98697068403908794</v>
      </c>
      <c r="V1459" s="3">
        <v>0.98773006134969321</v>
      </c>
    </row>
    <row r="1460" spans="1:22" x14ac:dyDescent="0.25">
      <c r="A1460" s="2">
        <v>2017</v>
      </c>
      <c r="B1460" t="s">
        <v>51</v>
      </c>
      <c r="C1460" t="s">
        <v>21</v>
      </c>
      <c r="D1460" s="2">
        <v>777</v>
      </c>
      <c r="E1460" s="2">
        <v>5357</v>
      </c>
      <c r="F1460" t="s">
        <v>350</v>
      </c>
      <c r="G1460">
        <v>35</v>
      </c>
      <c r="H1460">
        <v>34</v>
      </c>
      <c r="I1460">
        <v>0</v>
      </c>
      <c r="J1460">
        <v>0</v>
      </c>
      <c r="K1460">
        <v>1</v>
      </c>
      <c r="L1460" s="6">
        <f t="shared" si="125"/>
        <v>0.97142857142857142</v>
      </c>
      <c r="M1460">
        <v>430</v>
      </c>
      <c r="N1460">
        <v>44</v>
      </c>
      <c r="O1460" s="9">
        <v>0</v>
      </c>
      <c r="P1460">
        <v>1</v>
      </c>
      <c r="Q1460">
        <v>182</v>
      </c>
      <c r="R1460">
        <v>0</v>
      </c>
      <c r="S1460">
        <v>201</v>
      </c>
      <c r="T1460">
        <v>2</v>
      </c>
      <c r="U1460" s="3">
        <v>0.99767441860465111</v>
      </c>
      <c r="V1460" s="3">
        <v>0.99569892473118282</v>
      </c>
    </row>
    <row r="1461" spans="1:22" x14ac:dyDescent="0.25">
      <c r="A1461" s="2">
        <v>2017</v>
      </c>
      <c r="B1461" t="s">
        <v>51</v>
      </c>
      <c r="C1461" t="s">
        <v>21</v>
      </c>
      <c r="D1461" s="2">
        <v>577</v>
      </c>
      <c r="E1461" s="2">
        <v>222222222</v>
      </c>
      <c r="F1461" t="s">
        <v>450</v>
      </c>
      <c r="G1461">
        <v>0</v>
      </c>
      <c r="H1461">
        <v>0</v>
      </c>
      <c r="I1461">
        <v>0</v>
      </c>
      <c r="J1461">
        <v>0</v>
      </c>
      <c r="K1461">
        <v>0</v>
      </c>
      <c r="L1461" s="6">
        <f t="shared" si="125"/>
        <v>0</v>
      </c>
      <c r="M1461">
        <v>1</v>
      </c>
      <c r="N1461">
        <v>1</v>
      </c>
      <c r="O1461" s="9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s="3">
        <v>1</v>
      </c>
      <c r="V1461" s="3">
        <v>1</v>
      </c>
    </row>
    <row r="1462" spans="1:22" x14ac:dyDescent="0.25">
      <c r="A1462" s="2">
        <v>2017</v>
      </c>
      <c r="B1462" t="s">
        <v>51</v>
      </c>
      <c r="C1462" t="s">
        <v>21</v>
      </c>
      <c r="D1462" s="2">
        <v>543</v>
      </c>
      <c r="E1462" s="2">
        <v>10917</v>
      </c>
      <c r="F1462" t="s">
        <v>341</v>
      </c>
      <c r="G1462">
        <v>14</v>
      </c>
      <c r="H1462">
        <v>14</v>
      </c>
      <c r="I1462">
        <v>0</v>
      </c>
      <c r="J1462">
        <v>0</v>
      </c>
      <c r="K1462">
        <v>0</v>
      </c>
      <c r="L1462" s="6">
        <f t="shared" si="125"/>
        <v>1</v>
      </c>
      <c r="M1462">
        <v>354</v>
      </c>
      <c r="N1462">
        <v>46</v>
      </c>
      <c r="O1462" s="9">
        <v>0</v>
      </c>
      <c r="P1462">
        <v>1</v>
      </c>
      <c r="Q1462">
        <v>179</v>
      </c>
      <c r="R1462">
        <v>0</v>
      </c>
      <c r="S1462">
        <v>128</v>
      </c>
      <c r="T1462">
        <v>0</v>
      </c>
      <c r="U1462" s="3">
        <v>0.99717514124293782</v>
      </c>
      <c r="V1462" s="3">
        <v>0.99728260869565222</v>
      </c>
    </row>
    <row r="1463" spans="1:22" x14ac:dyDescent="0.25">
      <c r="A1463" s="2">
        <v>2017</v>
      </c>
      <c r="B1463" t="s">
        <v>51</v>
      </c>
      <c r="C1463" t="s">
        <v>21</v>
      </c>
      <c r="D1463" s="2">
        <v>576</v>
      </c>
      <c r="E1463" s="2">
        <v>122114</v>
      </c>
      <c r="F1463" t="s">
        <v>342</v>
      </c>
      <c r="G1463">
        <v>12</v>
      </c>
      <c r="H1463">
        <v>12</v>
      </c>
      <c r="I1463">
        <v>0</v>
      </c>
      <c r="J1463">
        <v>0</v>
      </c>
      <c r="K1463">
        <v>0</v>
      </c>
      <c r="L1463" s="6">
        <f t="shared" si="125"/>
        <v>1</v>
      </c>
      <c r="M1463">
        <v>141</v>
      </c>
      <c r="N1463">
        <v>17</v>
      </c>
      <c r="O1463" s="9">
        <v>0</v>
      </c>
      <c r="P1463">
        <v>0</v>
      </c>
      <c r="Q1463">
        <v>68</v>
      </c>
      <c r="R1463">
        <v>0</v>
      </c>
      <c r="S1463">
        <v>56</v>
      </c>
      <c r="T1463">
        <v>0</v>
      </c>
      <c r="U1463" s="3">
        <v>1</v>
      </c>
      <c r="V1463" s="3">
        <v>1</v>
      </c>
    </row>
    <row r="1464" spans="1:22" x14ac:dyDescent="0.25">
      <c r="A1464" s="2">
        <v>2017</v>
      </c>
      <c r="B1464" t="s">
        <v>51</v>
      </c>
      <c r="C1464" t="s">
        <v>21</v>
      </c>
      <c r="D1464" s="2">
        <v>536</v>
      </c>
      <c r="E1464" s="2">
        <v>10757</v>
      </c>
      <c r="F1464" t="s">
        <v>351</v>
      </c>
      <c r="G1464">
        <v>0</v>
      </c>
      <c r="H1464">
        <v>0</v>
      </c>
      <c r="I1464">
        <v>0</v>
      </c>
      <c r="J1464">
        <v>0</v>
      </c>
      <c r="K1464">
        <v>0</v>
      </c>
      <c r="L1464" s="6">
        <f t="shared" si="125"/>
        <v>0</v>
      </c>
      <c r="M1464">
        <v>267</v>
      </c>
      <c r="N1464">
        <v>38</v>
      </c>
      <c r="O1464" s="9">
        <v>0</v>
      </c>
      <c r="P1464">
        <v>0</v>
      </c>
      <c r="Q1464">
        <v>166</v>
      </c>
      <c r="R1464">
        <v>0</v>
      </c>
      <c r="S1464">
        <v>62</v>
      </c>
      <c r="T1464">
        <v>1</v>
      </c>
      <c r="U1464" s="3">
        <v>1</v>
      </c>
      <c r="V1464" s="3">
        <v>1</v>
      </c>
    </row>
    <row r="1465" spans="1:22" x14ac:dyDescent="0.25">
      <c r="A1465" s="2">
        <v>2017</v>
      </c>
      <c r="B1465" t="s">
        <v>51</v>
      </c>
      <c r="C1465" t="s">
        <v>21</v>
      </c>
      <c r="D1465" s="2">
        <v>550</v>
      </c>
      <c r="E1465" s="2">
        <v>119292</v>
      </c>
      <c r="F1465" t="s">
        <v>344</v>
      </c>
      <c r="G1465">
        <v>19</v>
      </c>
      <c r="H1465">
        <v>18</v>
      </c>
      <c r="I1465">
        <v>0</v>
      </c>
      <c r="J1465">
        <v>0</v>
      </c>
      <c r="K1465">
        <v>1</v>
      </c>
      <c r="L1465" s="6">
        <f t="shared" si="125"/>
        <v>0.94736842105263153</v>
      </c>
      <c r="M1465">
        <v>238</v>
      </c>
      <c r="N1465">
        <v>23</v>
      </c>
      <c r="O1465" s="9">
        <v>0</v>
      </c>
      <c r="P1465">
        <v>0</v>
      </c>
      <c r="Q1465">
        <v>105</v>
      </c>
      <c r="R1465">
        <v>1</v>
      </c>
      <c r="S1465">
        <v>109</v>
      </c>
      <c r="T1465">
        <v>0</v>
      </c>
      <c r="U1465" s="3">
        <v>0.99579831932773111</v>
      </c>
      <c r="V1465" s="3">
        <v>0.99221789883268485</v>
      </c>
    </row>
    <row r="1466" spans="1:22" x14ac:dyDescent="0.25">
      <c r="A1466" s="2">
        <v>2017</v>
      </c>
      <c r="B1466" t="s">
        <v>51</v>
      </c>
      <c r="C1466" t="s">
        <v>21</v>
      </c>
      <c r="D1466" s="2">
        <v>546</v>
      </c>
      <c r="E1466" s="2">
        <v>119467</v>
      </c>
      <c r="F1466" t="s">
        <v>345</v>
      </c>
      <c r="G1466">
        <v>16</v>
      </c>
      <c r="H1466">
        <v>16</v>
      </c>
      <c r="I1466">
        <v>0</v>
      </c>
      <c r="J1466">
        <v>0</v>
      </c>
      <c r="K1466">
        <v>0</v>
      </c>
      <c r="L1466" s="6">
        <f t="shared" si="125"/>
        <v>1</v>
      </c>
      <c r="M1466">
        <v>117</v>
      </c>
      <c r="N1466">
        <v>7</v>
      </c>
      <c r="O1466" s="9">
        <v>0</v>
      </c>
      <c r="P1466">
        <v>0</v>
      </c>
      <c r="Q1466">
        <v>60</v>
      </c>
      <c r="R1466">
        <v>0</v>
      </c>
      <c r="S1466">
        <v>50</v>
      </c>
      <c r="T1466">
        <v>0</v>
      </c>
      <c r="U1466" s="3">
        <v>1</v>
      </c>
      <c r="V1466" s="3">
        <v>1</v>
      </c>
    </row>
    <row r="1467" spans="1:22" x14ac:dyDescent="0.25">
      <c r="A1467" s="2">
        <v>2017</v>
      </c>
      <c r="B1467" t="s">
        <v>51</v>
      </c>
      <c r="C1467" t="s">
        <v>21</v>
      </c>
      <c r="D1467" s="2">
        <v>563</v>
      </c>
      <c r="E1467" s="2">
        <v>5246</v>
      </c>
      <c r="F1467" t="s">
        <v>347</v>
      </c>
      <c r="G1467">
        <v>1</v>
      </c>
      <c r="H1467">
        <v>1</v>
      </c>
      <c r="I1467">
        <v>0</v>
      </c>
      <c r="J1467">
        <v>0</v>
      </c>
      <c r="K1467">
        <v>0</v>
      </c>
      <c r="L1467" s="6">
        <f t="shared" si="125"/>
        <v>1</v>
      </c>
      <c r="M1467">
        <v>14</v>
      </c>
      <c r="N1467">
        <v>1</v>
      </c>
      <c r="O1467" s="9">
        <v>0</v>
      </c>
      <c r="P1467">
        <v>0</v>
      </c>
      <c r="Q1467">
        <v>8</v>
      </c>
      <c r="R1467">
        <v>0</v>
      </c>
      <c r="S1467">
        <v>4</v>
      </c>
      <c r="T1467">
        <v>1</v>
      </c>
      <c r="U1467" s="3">
        <v>1</v>
      </c>
      <c r="V1467" s="3">
        <v>1</v>
      </c>
    </row>
    <row r="1468" spans="1:22" x14ac:dyDescent="0.25">
      <c r="A1468" s="2">
        <v>2017</v>
      </c>
      <c r="B1468" t="s">
        <v>89</v>
      </c>
      <c r="C1468" t="s">
        <v>1</v>
      </c>
      <c r="D1468" s="2">
        <v>53</v>
      </c>
      <c r="E1468" s="2" t="s">
        <v>90</v>
      </c>
      <c r="F1468" t="s">
        <v>470</v>
      </c>
      <c r="G1468">
        <v>7</v>
      </c>
      <c r="H1468">
        <v>7</v>
      </c>
      <c r="I1468">
        <v>0</v>
      </c>
      <c r="J1468">
        <v>0</v>
      </c>
      <c r="K1468">
        <v>0</v>
      </c>
      <c r="L1468" s="6">
        <f t="shared" si="125"/>
        <v>1</v>
      </c>
      <c r="M1468">
        <v>120</v>
      </c>
      <c r="N1468">
        <v>23</v>
      </c>
      <c r="O1468" s="9">
        <v>0</v>
      </c>
      <c r="P1468">
        <v>0</v>
      </c>
      <c r="Q1468">
        <v>39</v>
      </c>
      <c r="R1468">
        <v>0</v>
      </c>
      <c r="S1468">
        <v>58</v>
      </c>
      <c r="T1468">
        <v>0</v>
      </c>
      <c r="U1468" s="3">
        <f t="shared" ref="U1468:U1495" si="126">IF(M1468=0,0,((N1468+O1468+Q1468+S1468+T1468)/M1468))</f>
        <v>1</v>
      </c>
      <c r="V1468" s="3">
        <f>IF(AND(G1468=0,M1468=0),0,(H1468+I1468+J1468+N1468+Q1468+S1468+T1468)/(G1468+M1468))</f>
        <v>1</v>
      </c>
    </row>
    <row r="1469" spans="1:22" x14ac:dyDescent="0.25">
      <c r="A1469" s="2">
        <v>2017</v>
      </c>
      <c r="B1469" t="s">
        <v>89</v>
      </c>
      <c r="C1469" t="s">
        <v>1</v>
      </c>
      <c r="D1469" s="2">
        <v>243</v>
      </c>
      <c r="E1469" s="2" t="s">
        <v>91</v>
      </c>
      <c r="F1469" t="s">
        <v>471</v>
      </c>
      <c r="G1469">
        <v>0</v>
      </c>
      <c r="H1469">
        <v>0</v>
      </c>
      <c r="I1469">
        <v>0</v>
      </c>
      <c r="J1469">
        <v>0</v>
      </c>
      <c r="K1469">
        <v>0</v>
      </c>
      <c r="L1469" s="6">
        <f t="shared" si="125"/>
        <v>0</v>
      </c>
      <c r="M1469">
        <v>121</v>
      </c>
      <c r="N1469">
        <v>31</v>
      </c>
      <c r="O1469" s="9">
        <v>0</v>
      </c>
      <c r="P1469">
        <v>0</v>
      </c>
      <c r="Q1469">
        <v>64</v>
      </c>
      <c r="R1469">
        <v>0</v>
      </c>
      <c r="S1469">
        <v>25</v>
      </c>
      <c r="T1469">
        <v>1</v>
      </c>
      <c r="U1469" s="3">
        <f t="shared" si="126"/>
        <v>1</v>
      </c>
      <c r="V1469" s="3">
        <f t="shared" ref="V1469:V1532" si="127">IF(AND(G1469=0,M1469=0),0,(H1469+I1469+J1469+N1469+Q1469+S1469+T1469)/(G1469+M1469))</f>
        <v>1</v>
      </c>
    </row>
    <row r="1470" spans="1:22" x14ac:dyDescent="0.25">
      <c r="A1470" s="2">
        <v>2017</v>
      </c>
      <c r="B1470" t="s">
        <v>89</v>
      </c>
      <c r="C1470" t="s">
        <v>1</v>
      </c>
      <c r="D1470" s="2">
        <v>16594</v>
      </c>
      <c r="E1470" s="2" t="s">
        <v>92</v>
      </c>
      <c r="F1470" t="s">
        <v>472</v>
      </c>
      <c r="G1470">
        <v>12</v>
      </c>
      <c r="H1470">
        <v>12</v>
      </c>
      <c r="I1470">
        <v>0</v>
      </c>
      <c r="J1470">
        <v>0</v>
      </c>
      <c r="K1470">
        <v>0</v>
      </c>
      <c r="L1470" s="6">
        <f t="shared" si="125"/>
        <v>1</v>
      </c>
      <c r="M1470">
        <v>79</v>
      </c>
      <c r="N1470">
        <v>12</v>
      </c>
      <c r="O1470" s="9">
        <v>0</v>
      </c>
      <c r="P1470">
        <v>0</v>
      </c>
      <c r="Q1470">
        <v>35</v>
      </c>
      <c r="R1470">
        <v>0</v>
      </c>
      <c r="S1470">
        <v>32</v>
      </c>
      <c r="T1470">
        <v>0</v>
      </c>
      <c r="U1470" s="3">
        <f t="shared" si="126"/>
        <v>1</v>
      </c>
      <c r="V1470" s="3">
        <f t="shared" si="127"/>
        <v>1</v>
      </c>
    </row>
    <row r="1471" spans="1:22" x14ac:dyDescent="0.25">
      <c r="A1471" s="2">
        <v>2017</v>
      </c>
      <c r="B1471" t="s">
        <v>89</v>
      </c>
      <c r="C1471" t="s">
        <v>1</v>
      </c>
      <c r="D1471" s="2">
        <v>335</v>
      </c>
      <c r="E1471" s="2" t="s">
        <v>93</v>
      </c>
      <c r="F1471" t="s">
        <v>473</v>
      </c>
      <c r="G1471">
        <v>13</v>
      </c>
      <c r="H1471">
        <v>12</v>
      </c>
      <c r="I1471">
        <v>0</v>
      </c>
      <c r="J1471">
        <v>0</v>
      </c>
      <c r="K1471">
        <v>1</v>
      </c>
      <c r="L1471" s="6">
        <f t="shared" si="125"/>
        <v>0.92307692307692313</v>
      </c>
      <c r="M1471">
        <v>121</v>
      </c>
      <c r="N1471">
        <v>25</v>
      </c>
      <c r="O1471" s="9">
        <v>0</v>
      </c>
      <c r="P1471">
        <v>0</v>
      </c>
      <c r="Q1471">
        <v>52</v>
      </c>
      <c r="R1471">
        <v>0</v>
      </c>
      <c r="S1471">
        <v>44</v>
      </c>
      <c r="T1471">
        <v>0</v>
      </c>
      <c r="U1471" s="3">
        <f t="shared" si="126"/>
        <v>1</v>
      </c>
      <c r="V1471" s="3">
        <f t="shared" si="127"/>
        <v>0.9925373134328358</v>
      </c>
    </row>
    <row r="1472" spans="1:22" x14ac:dyDescent="0.25">
      <c r="A1472" s="2">
        <v>2017</v>
      </c>
      <c r="B1472" t="s">
        <v>89</v>
      </c>
      <c r="C1472" t="s">
        <v>1</v>
      </c>
      <c r="D1472" s="2">
        <v>473</v>
      </c>
      <c r="E1472" s="2" t="s">
        <v>94</v>
      </c>
      <c r="F1472" t="s">
        <v>474</v>
      </c>
      <c r="G1472">
        <v>3</v>
      </c>
      <c r="H1472">
        <v>3</v>
      </c>
      <c r="I1472">
        <v>0</v>
      </c>
      <c r="J1472">
        <v>0</v>
      </c>
      <c r="K1472">
        <v>0</v>
      </c>
      <c r="L1472" s="6">
        <f t="shared" si="125"/>
        <v>1</v>
      </c>
      <c r="M1472">
        <v>85</v>
      </c>
      <c r="N1472">
        <v>19</v>
      </c>
      <c r="O1472" s="9">
        <v>0</v>
      </c>
      <c r="P1472">
        <v>0</v>
      </c>
      <c r="Q1472">
        <v>33</v>
      </c>
      <c r="R1472">
        <v>0</v>
      </c>
      <c r="S1472">
        <v>33</v>
      </c>
      <c r="T1472">
        <v>0</v>
      </c>
      <c r="U1472" s="3">
        <f t="shared" si="126"/>
        <v>1</v>
      </c>
      <c r="V1472" s="3">
        <f t="shared" si="127"/>
        <v>1</v>
      </c>
    </row>
    <row r="1473" spans="1:22" x14ac:dyDescent="0.25">
      <c r="A1473" s="2">
        <v>2017</v>
      </c>
      <c r="B1473" t="s">
        <v>89</v>
      </c>
      <c r="C1473" t="s">
        <v>1</v>
      </c>
      <c r="D1473" s="2">
        <v>67</v>
      </c>
      <c r="E1473" s="2" t="s">
        <v>95</v>
      </c>
      <c r="F1473" t="s">
        <v>475</v>
      </c>
      <c r="G1473">
        <v>1</v>
      </c>
      <c r="H1473">
        <v>1</v>
      </c>
      <c r="I1473">
        <v>0</v>
      </c>
      <c r="J1473">
        <v>0</v>
      </c>
      <c r="K1473">
        <v>0</v>
      </c>
      <c r="L1473" s="6">
        <f t="shared" si="125"/>
        <v>1</v>
      </c>
      <c r="M1473">
        <v>36</v>
      </c>
      <c r="N1473">
        <v>6</v>
      </c>
      <c r="O1473" s="9">
        <v>0</v>
      </c>
      <c r="P1473">
        <v>0</v>
      </c>
      <c r="Q1473">
        <v>16</v>
      </c>
      <c r="R1473">
        <v>0</v>
      </c>
      <c r="S1473">
        <v>14</v>
      </c>
      <c r="T1473">
        <v>0</v>
      </c>
      <c r="U1473" s="3">
        <f t="shared" si="126"/>
        <v>1</v>
      </c>
      <c r="V1473" s="3">
        <f t="shared" si="127"/>
        <v>1</v>
      </c>
    </row>
    <row r="1474" spans="1:22" x14ac:dyDescent="0.25">
      <c r="A1474" s="2">
        <v>2017</v>
      </c>
      <c r="B1474" t="s">
        <v>89</v>
      </c>
      <c r="C1474" t="s">
        <v>1</v>
      </c>
      <c r="D1474" s="2">
        <v>3621</v>
      </c>
      <c r="E1474" s="2" t="s">
        <v>96</v>
      </c>
      <c r="F1474" t="s">
        <v>476</v>
      </c>
      <c r="G1474">
        <v>7</v>
      </c>
      <c r="H1474">
        <v>7</v>
      </c>
      <c r="I1474">
        <v>0</v>
      </c>
      <c r="J1474">
        <v>0</v>
      </c>
      <c r="K1474">
        <v>0</v>
      </c>
      <c r="L1474" s="6">
        <f t="shared" si="125"/>
        <v>1</v>
      </c>
      <c r="M1474">
        <v>110</v>
      </c>
      <c r="N1474">
        <v>21</v>
      </c>
      <c r="O1474" s="9">
        <v>0</v>
      </c>
      <c r="P1474">
        <v>0</v>
      </c>
      <c r="Q1474">
        <v>39</v>
      </c>
      <c r="R1474">
        <v>0</v>
      </c>
      <c r="S1474">
        <v>49</v>
      </c>
      <c r="T1474">
        <v>1</v>
      </c>
      <c r="U1474" s="3">
        <f t="shared" si="126"/>
        <v>1</v>
      </c>
      <c r="V1474" s="3">
        <f t="shared" si="127"/>
        <v>1</v>
      </c>
    </row>
    <row r="1475" spans="1:22" x14ac:dyDescent="0.25">
      <c r="A1475" s="2">
        <v>2017</v>
      </c>
      <c r="B1475" t="s">
        <v>89</v>
      </c>
      <c r="C1475" t="s">
        <v>1</v>
      </c>
      <c r="D1475" s="2">
        <v>567</v>
      </c>
      <c r="E1475" s="2" t="s">
        <v>97</v>
      </c>
      <c r="F1475" t="s">
        <v>477</v>
      </c>
      <c r="G1475">
        <v>7</v>
      </c>
      <c r="H1475">
        <v>7</v>
      </c>
      <c r="I1475">
        <v>0</v>
      </c>
      <c r="J1475">
        <v>0</v>
      </c>
      <c r="K1475">
        <v>0</v>
      </c>
      <c r="L1475" s="6">
        <f t="shared" si="125"/>
        <v>1</v>
      </c>
      <c r="M1475">
        <v>119</v>
      </c>
      <c r="N1475">
        <v>17</v>
      </c>
      <c r="O1475" s="9">
        <v>0</v>
      </c>
      <c r="P1475">
        <v>0</v>
      </c>
      <c r="Q1475">
        <v>45</v>
      </c>
      <c r="R1475">
        <v>0</v>
      </c>
      <c r="S1475">
        <v>57</v>
      </c>
      <c r="T1475">
        <v>0</v>
      </c>
      <c r="U1475" s="3">
        <f t="shared" si="126"/>
        <v>1</v>
      </c>
      <c r="V1475" s="3">
        <f t="shared" si="127"/>
        <v>1</v>
      </c>
    </row>
    <row r="1476" spans="1:22" x14ac:dyDescent="0.25">
      <c r="A1476" s="2">
        <v>2017</v>
      </c>
      <c r="B1476" t="s">
        <v>89</v>
      </c>
      <c r="C1476" t="s">
        <v>1</v>
      </c>
      <c r="D1476" s="2">
        <v>627</v>
      </c>
      <c r="E1476" s="2" t="s">
        <v>98</v>
      </c>
      <c r="F1476" t="s">
        <v>478</v>
      </c>
      <c r="G1476">
        <v>11</v>
      </c>
      <c r="H1476">
        <v>11</v>
      </c>
      <c r="I1476">
        <v>0</v>
      </c>
      <c r="J1476">
        <v>0</v>
      </c>
      <c r="K1476">
        <v>0</v>
      </c>
      <c r="L1476" s="6">
        <f t="shared" si="125"/>
        <v>1</v>
      </c>
      <c r="M1476">
        <v>161</v>
      </c>
      <c r="N1476">
        <v>28</v>
      </c>
      <c r="O1476" s="9">
        <v>0</v>
      </c>
      <c r="P1476">
        <v>0</v>
      </c>
      <c r="Q1476">
        <v>61</v>
      </c>
      <c r="R1476">
        <v>0</v>
      </c>
      <c r="S1476">
        <v>71</v>
      </c>
      <c r="T1476">
        <v>1</v>
      </c>
      <c r="U1476" s="3">
        <f t="shared" si="126"/>
        <v>1</v>
      </c>
      <c r="V1476" s="3">
        <f t="shared" si="127"/>
        <v>1</v>
      </c>
    </row>
    <row r="1477" spans="1:22" x14ac:dyDescent="0.25">
      <c r="A1477" s="2">
        <v>2017</v>
      </c>
      <c r="B1477" t="s">
        <v>89</v>
      </c>
      <c r="C1477" t="s">
        <v>1</v>
      </c>
      <c r="D1477" s="2">
        <v>130</v>
      </c>
      <c r="E1477" s="2" t="s">
        <v>99</v>
      </c>
      <c r="F1477" t="s">
        <v>479</v>
      </c>
      <c r="G1477">
        <v>8</v>
      </c>
      <c r="H1477">
        <v>8</v>
      </c>
      <c r="I1477">
        <v>0</v>
      </c>
      <c r="J1477">
        <v>0</v>
      </c>
      <c r="K1477">
        <v>0</v>
      </c>
      <c r="L1477" s="6">
        <f t="shared" si="125"/>
        <v>1</v>
      </c>
      <c r="M1477">
        <v>98</v>
      </c>
      <c r="N1477">
        <v>17</v>
      </c>
      <c r="O1477" s="9">
        <v>0</v>
      </c>
      <c r="P1477">
        <v>0</v>
      </c>
      <c r="Q1477">
        <v>41</v>
      </c>
      <c r="R1477">
        <v>0</v>
      </c>
      <c r="S1477">
        <v>40</v>
      </c>
      <c r="T1477">
        <v>0</v>
      </c>
      <c r="U1477" s="3">
        <f t="shared" si="126"/>
        <v>1</v>
      </c>
      <c r="V1477" s="3">
        <f t="shared" si="127"/>
        <v>1</v>
      </c>
    </row>
    <row r="1478" spans="1:22" x14ac:dyDescent="0.25">
      <c r="A1478" s="2">
        <v>2017</v>
      </c>
      <c r="B1478" t="s">
        <v>89</v>
      </c>
      <c r="C1478" t="s">
        <v>1</v>
      </c>
      <c r="D1478" s="2">
        <v>1397</v>
      </c>
      <c r="E1478" s="2" t="s">
        <v>100</v>
      </c>
      <c r="F1478" t="s">
        <v>480</v>
      </c>
      <c r="G1478">
        <v>5</v>
      </c>
      <c r="H1478">
        <v>5</v>
      </c>
      <c r="I1478">
        <v>0</v>
      </c>
      <c r="J1478">
        <v>0</v>
      </c>
      <c r="K1478">
        <v>0</v>
      </c>
      <c r="L1478" s="6">
        <f t="shared" si="125"/>
        <v>1</v>
      </c>
      <c r="M1478">
        <v>72</v>
      </c>
      <c r="N1478">
        <v>15</v>
      </c>
      <c r="O1478" s="9">
        <v>0</v>
      </c>
      <c r="P1478">
        <v>0</v>
      </c>
      <c r="Q1478">
        <v>34</v>
      </c>
      <c r="R1478">
        <v>0</v>
      </c>
      <c r="S1478">
        <v>23</v>
      </c>
      <c r="T1478">
        <v>0</v>
      </c>
      <c r="U1478" s="3">
        <f t="shared" si="126"/>
        <v>1</v>
      </c>
      <c r="V1478" s="3">
        <f t="shared" si="127"/>
        <v>1</v>
      </c>
    </row>
    <row r="1479" spans="1:22" x14ac:dyDescent="0.25">
      <c r="A1479" s="2">
        <v>2017</v>
      </c>
      <c r="B1479" t="s">
        <v>89</v>
      </c>
      <c r="C1479" t="s">
        <v>1</v>
      </c>
      <c r="D1479" s="2">
        <v>1508</v>
      </c>
      <c r="E1479" s="2" t="s">
        <v>101</v>
      </c>
      <c r="F1479" t="s">
        <v>481</v>
      </c>
      <c r="G1479">
        <v>0</v>
      </c>
      <c r="H1479">
        <v>0</v>
      </c>
      <c r="I1479">
        <v>0</v>
      </c>
      <c r="J1479">
        <v>0</v>
      </c>
      <c r="K1479">
        <v>0</v>
      </c>
      <c r="L1479" s="6">
        <f t="shared" si="125"/>
        <v>0</v>
      </c>
      <c r="M1479">
        <v>37</v>
      </c>
      <c r="N1479">
        <v>10</v>
      </c>
      <c r="O1479" s="9">
        <v>0</v>
      </c>
      <c r="P1479">
        <v>0</v>
      </c>
      <c r="Q1479">
        <v>15</v>
      </c>
      <c r="R1479">
        <v>0</v>
      </c>
      <c r="S1479">
        <v>12</v>
      </c>
      <c r="T1479">
        <v>0</v>
      </c>
      <c r="U1479" s="3">
        <f t="shared" si="126"/>
        <v>1</v>
      </c>
      <c r="V1479" s="3">
        <f t="shared" si="127"/>
        <v>1</v>
      </c>
    </row>
    <row r="1480" spans="1:22" x14ac:dyDescent="0.25">
      <c r="A1480" s="2">
        <v>2017</v>
      </c>
      <c r="B1480" t="s">
        <v>89</v>
      </c>
      <c r="C1480" t="s">
        <v>1</v>
      </c>
      <c r="D1480" s="2">
        <v>136</v>
      </c>
      <c r="E1480" s="2" t="s">
        <v>73</v>
      </c>
      <c r="F1480" t="s">
        <v>482</v>
      </c>
      <c r="G1480">
        <v>2</v>
      </c>
      <c r="H1480">
        <v>2</v>
      </c>
      <c r="I1480">
        <v>0</v>
      </c>
      <c r="J1480">
        <v>0</v>
      </c>
      <c r="K1480">
        <v>0</v>
      </c>
      <c r="L1480" s="6">
        <f t="shared" si="125"/>
        <v>1</v>
      </c>
      <c r="M1480">
        <v>106</v>
      </c>
      <c r="N1480">
        <v>26</v>
      </c>
      <c r="O1480" s="9">
        <v>0</v>
      </c>
      <c r="P1480">
        <v>0</v>
      </c>
      <c r="Q1480">
        <v>55</v>
      </c>
      <c r="R1480">
        <v>0</v>
      </c>
      <c r="S1480">
        <v>24</v>
      </c>
      <c r="T1480">
        <v>1</v>
      </c>
      <c r="U1480" s="3">
        <f t="shared" si="126"/>
        <v>1</v>
      </c>
      <c r="V1480" s="3">
        <f t="shared" si="127"/>
        <v>1</v>
      </c>
    </row>
    <row r="1481" spans="1:22" x14ac:dyDescent="0.25">
      <c r="A1481" s="2">
        <v>2017</v>
      </c>
      <c r="B1481" t="s">
        <v>89</v>
      </c>
      <c r="C1481" t="s">
        <v>1</v>
      </c>
      <c r="D1481" s="2">
        <v>138</v>
      </c>
      <c r="E1481" s="2" t="s">
        <v>102</v>
      </c>
      <c r="F1481" t="s">
        <v>483</v>
      </c>
      <c r="G1481">
        <v>7</v>
      </c>
      <c r="H1481">
        <v>7</v>
      </c>
      <c r="I1481">
        <v>0</v>
      </c>
      <c r="J1481">
        <v>0</v>
      </c>
      <c r="K1481">
        <v>0</v>
      </c>
      <c r="L1481" s="6">
        <f t="shared" si="125"/>
        <v>1</v>
      </c>
      <c r="M1481">
        <v>111</v>
      </c>
      <c r="N1481">
        <v>17</v>
      </c>
      <c r="O1481" s="9">
        <v>0</v>
      </c>
      <c r="P1481">
        <v>0</v>
      </c>
      <c r="Q1481">
        <v>43</v>
      </c>
      <c r="R1481">
        <v>0</v>
      </c>
      <c r="S1481">
        <v>51</v>
      </c>
      <c r="T1481">
        <v>0</v>
      </c>
      <c r="U1481" s="3">
        <f t="shared" si="126"/>
        <v>1</v>
      </c>
      <c r="V1481" s="3">
        <f t="shared" si="127"/>
        <v>1</v>
      </c>
    </row>
    <row r="1482" spans="1:22" x14ac:dyDescent="0.25">
      <c r="A1482" s="2">
        <v>2017</v>
      </c>
      <c r="B1482" t="s">
        <v>89</v>
      </c>
      <c r="C1482" t="s">
        <v>1</v>
      </c>
      <c r="D1482" s="2">
        <v>19352</v>
      </c>
      <c r="E1482" s="2" t="s">
        <v>103</v>
      </c>
      <c r="F1482" t="s">
        <v>484</v>
      </c>
      <c r="G1482">
        <v>2</v>
      </c>
      <c r="H1482">
        <v>2</v>
      </c>
      <c r="I1482">
        <v>0</v>
      </c>
      <c r="J1482">
        <v>0</v>
      </c>
      <c r="K1482">
        <v>0</v>
      </c>
      <c r="L1482" s="6">
        <f t="shared" si="125"/>
        <v>1</v>
      </c>
      <c r="M1482">
        <v>160</v>
      </c>
      <c r="N1482">
        <v>31</v>
      </c>
      <c r="O1482" s="9">
        <v>0</v>
      </c>
      <c r="P1482">
        <v>0</v>
      </c>
      <c r="Q1482">
        <v>76</v>
      </c>
      <c r="R1482">
        <v>0</v>
      </c>
      <c r="S1482">
        <v>53</v>
      </c>
      <c r="T1482">
        <v>0</v>
      </c>
      <c r="U1482" s="3">
        <f t="shared" si="126"/>
        <v>1</v>
      </c>
      <c r="V1482" s="3">
        <f t="shared" si="127"/>
        <v>1</v>
      </c>
    </row>
    <row r="1483" spans="1:22" x14ac:dyDescent="0.25">
      <c r="A1483" s="2">
        <v>2017</v>
      </c>
      <c r="B1483" t="s">
        <v>89</v>
      </c>
      <c r="C1483" t="s">
        <v>1</v>
      </c>
      <c r="D1483" s="2">
        <v>1632</v>
      </c>
      <c r="E1483" s="2" t="s">
        <v>104</v>
      </c>
      <c r="F1483" t="s">
        <v>485</v>
      </c>
      <c r="G1483">
        <v>0</v>
      </c>
      <c r="H1483">
        <v>0</v>
      </c>
      <c r="I1483">
        <v>0</v>
      </c>
      <c r="J1483">
        <v>0</v>
      </c>
      <c r="K1483">
        <v>0</v>
      </c>
      <c r="L1483" s="6">
        <f t="shared" si="125"/>
        <v>0</v>
      </c>
      <c r="M1483">
        <v>48</v>
      </c>
      <c r="N1483">
        <v>7</v>
      </c>
      <c r="O1483" s="9">
        <v>0</v>
      </c>
      <c r="P1483">
        <v>0</v>
      </c>
      <c r="Q1483">
        <v>22</v>
      </c>
      <c r="R1483">
        <v>0</v>
      </c>
      <c r="S1483">
        <v>19</v>
      </c>
      <c r="T1483">
        <v>0</v>
      </c>
      <c r="U1483" s="3">
        <f t="shared" si="126"/>
        <v>1</v>
      </c>
      <c r="V1483" s="3">
        <f t="shared" si="127"/>
        <v>1</v>
      </c>
    </row>
    <row r="1484" spans="1:22" x14ac:dyDescent="0.25">
      <c r="A1484" s="2">
        <v>2017</v>
      </c>
      <c r="B1484" t="s">
        <v>89</v>
      </c>
      <c r="C1484" t="s">
        <v>1</v>
      </c>
      <c r="D1484" s="2">
        <v>1667</v>
      </c>
      <c r="E1484" s="2" t="s">
        <v>105</v>
      </c>
      <c r="F1484" t="s">
        <v>487</v>
      </c>
      <c r="G1484">
        <v>9</v>
      </c>
      <c r="H1484">
        <v>9</v>
      </c>
      <c r="I1484">
        <v>0</v>
      </c>
      <c r="J1484">
        <v>0</v>
      </c>
      <c r="K1484">
        <v>0</v>
      </c>
      <c r="L1484" s="6">
        <f t="shared" si="125"/>
        <v>1</v>
      </c>
      <c r="M1484">
        <v>93</v>
      </c>
      <c r="N1484">
        <v>24</v>
      </c>
      <c r="O1484" s="9">
        <v>0</v>
      </c>
      <c r="P1484">
        <v>0</v>
      </c>
      <c r="Q1484">
        <v>47</v>
      </c>
      <c r="R1484">
        <v>0</v>
      </c>
      <c r="S1484">
        <v>22</v>
      </c>
      <c r="T1484">
        <v>0</v>
      </c>
      <c r="U1484" s="3">
        <f t="shared" si="126"/>
        <v>1</v>
      </c>
      <c r="V1484" s="3">
        <f t="shared" si="127"/>
        <v>1</v>
      </c>
    </row>
    <row r="1485" spans="1:22" x14ac:dyDescent="0.25">
      <c r="A1485" s="2">
        <v>2017</v>
      </c>
      <c r="B1485" t="s">
        <v>89</v>
      </c>
      <c r="C1485" t="s">
        <v>1</v>
      </c>
      <c r="D1485" s="2">
        <v>20010</v>
      </c>
      <c r="E1485" s="2" t="s">
        <v>106</v>
      </c>
      <c r="F1485" t="s">
        <v>488</v>
      </c>
      <c r="G1485">
        <v>4</v>
      </c>
      <c r="H1485">
        <v>4</v>
      </c>
      <c r="I1485">
        <v>0</v>
      </c>
      <c r="J1485">
        <v>0</v>
      </c>
      <c r="K1485">
        <v>0</v>
      </c>
      <c r="L1485" s="6">
        <f t="shared" si="125"/>
        <v>1</v>
      </c>
      <c r="M1485">
        <v>89</v>
      </c>
      <c r="N1485">
        <v>15</v>
      </c>
      <c r="O1485" s="9">
        <v>0</v>
      </c>
      <c r="P1485">
        <v>0</v>
      </c>
      <c r="Q1485">
        <v>30</v>
      </c>
      <c r="R1485">
        <v>0</v>
      </c>
      <c r="S1485">
        <v>43</v>
      </c>
      <c r="T1485">
        <v>1</v>
      </c>
      <c r="U1485" s="3">
        <f t="shared" si="126"/>
        <v>1</v>
      </c>
      <c r="V1485" s="3">
        <f t="shared" si="127"/>
        <v>1</v>
      </c>
    </row>
    <row r="1486" spans="1:22" x14ac:dyDescent="0.25">
      <c r="A1486" s="2">
        <v>2017</v>
      </c>
      <c r="B1486" t="s">
        <v>89</v>
      </c>
      <c r="C1486" t="s">
        <v>1</v>
      </c>
      <c r="D1486" s="2">
        <v>639</v>
      </c>
      <c r="E1486" s="2" t="s">
        <v>107</v>
      </c>
      <c r="F1486" t="s">
        <v>489</v>
      </c>
      <c r="G1486">
        <v>4</v>
      </c>
      <c r="H1486">
        <v>4</v>
      </c>
      <c r="I1486">
        <v>0</v>
      </c>
      <c r="J1486">
        <v>0</v>
      </c>
      <c r="K1486">
        <v>0</v>
      </c>
      <c r="L1486" s="6">
        <f t="shared" si="125"/>
        <v>1</v>
      </c>
      <c r="M1486">
        <v>83</v>
      </c>
      <c r="N1486">
        <v>16</v>
      </c>
      <c r="O1486" s="9">
        <v>0</v>
      </c>
      <c r="P1486">
        <v>0</v>
      </c>
      <c r="Q1486">
        <v>30</v>
      </c>
      <c r="R1486">
        <v>0</v>
      </c>
      <c r="S1486">
        <v>37</v>
      </c>
      <c r="T1486">
        <v>0</v>
      </c>
      <c r="U1486" s="3">
        <f t="shared" si="126"/>
        <v>1</v>
      </c>
      <c r="V1486" s="3">
        <f t="shared" si="127"/>
        <v>1</v>
      </c>
    </row>
    <row r="1487" spans="1:22" x14ac:dyDescent="0.25">
      <c r="A1487" s="2">
        <v>2017</v>
      </c>
      <c r="B1487" t="s">
        <v>89</v>
      </c>
      <c r="C1487" t="s">
        <v>1</v>
      </c>
      <c r="D1487" s="2">
        <v>1909</v>
      </c>
      <c r="E1487" s="2" t="s">
        <v>108</v>
      </c>
      <c r="F1487" t="s">
        <v>490</v>
      </c>
      <c r="G1487">
        <v>9</v>
      </c>
      <c r="H1487">
        <v>9</v>
      </c>
      <c r="I1487">
        <v>0</v>
      </c>
      <c r="J1487">
        <v>0</v>
      </c>
      <c r="K1487">
        <v>0</v>
      </c>
      <c r="L1487" s="6">
        <f t="shared" si="125"/>
        <v>1</v>
      </c>
      <c r="M1487">
        <v>84</v>
      </c>
      <c r="N1487">
        <v>11</v>
      </c>
      <c r="O1487" s="9">
        <v>0</v>
      </c>
      <c r="P1487">
        <v>0</v>
      </c>
      <c r="Q1487">
        <v>32</v>
      </c>
      <c r="R1487">
        <v>0</v>
      </c>
      <c r="S1487">
        <v>41</v>
      </c>
      <c r="T1487">
        <v>0</v>
      </c>
      <c r="U1487" s="3">
        <f t="shared" si="126"/>
        <v>1</v>
      </c>
      <c r="V1487" s="3">
        <f t="shared" si="127"/>
        <v>1</v>
      </c>
    </row>
    <row r="1488" spans="1:22" x14ac:dyDescent="0.25">
      <c r="A1488" s="2">
        <v>2017</v>
      </c>
      <c r="B1488" t="s">
        <v>89</v>
      </c>
      <c r="C1488" t="s">
        <v>1</v>
      </c>
      <c r="D1488" s="2">
        <v>3622</v>
      </c>
      <c r="E1488" s="2" t="s">
        <v>80</v>
      </c>
      <c r="F1488" t="s">
        <v>491</v>
      </c>
      <c r="G1488">
        <v>4</v>
      </c>
      <c r="H1488">
        <v>4</v>
      </c>
      <c r="I1488">
        <v>0</v>
      </c>
      <c r="J1488">
        <v>0</v>
      </c>
      <c r="K1488">
        <v>0</v>
      </c>
      <c r="L1488" s="6">
        <f t="shared" si="125"/>
        <v>1</v>
      </c>
      <c r="M1488">
        <v>116</v>
      </c>
      <c r="N1488">
        <v>28</v>
      </c>
      <c r="O1488" s="9">
        <v>0</v>
      </c>
      <c r="P1488">
        <v>0</v>
      </c>
      <c r="Q1488">
        <v>36</v>
      </c>
      <c r="R1488">
        <v>0</v>
      </c>
      <c r="S1488">
        <v>52</v>
      </c>
      <c r="T1488">
        <v>0</v>
      </c>
      <c r="U1488" s="3">
        <f t="shared" si="126"/>
        <v>1</v>
      </c>
      <c r="V1488" s="3">
        <f t="shared" si="127"/>
        <v>1</v>
      </c>
    </row>
    <row r="1489" spans="1:22" x14ac:dyDescent="0.25">
      <c r="A1489" s="2">
        <v>2017</v>
      </c>
      <c r="B1489" t="s">
        <v>89</v>
      </c>
      <c r="C1489" t="s">
        <v>1</v>
      </c>
      <c r="D1489" s="2">
        <v>15555</v>
      </c>
      <c r="E1489" s="2" t="s">
        <v>109</v>
      </c>
      <c r="F1489" t="s">
        <v>492</v>
      </c>
      <c r="G1489">
        <v>12</v>
      </c>
      <c r="H1489">
        <v>12</v>
      </c>
      <c r="I1489">
        <v>0</v>
      </c>
      <c r="J1489">
        <v>0</v>
      </c>
      <c r="K1489">
        <v>0</v>
      </c>
      <c r="L1489" s="6">
        <f t="shared" si="125"/>
        <v>1</v>
      </c>
      <c r="M1489">
        <v>108</v>
      </c>
      <c r="N1489">
        <v>19</v>
      </c>
      <c r="O1489" s="9">
        <v>0</v>
      </c>
      <c r="P1489">
        <v>0</v>
      </c>
      <c r="Q1489">
        <v>40</v>
      </c>
      <c r="R1489">
        <v>0</v>
      </c>
      <c r="S1489">
        <v>48</v>
      </c>
      <c r="T1489">
        <v>1</v>
      </c>
      <c r="U1489" s="3">
        <f t="shared" si="126"/>
        <v>1</v>
      </c>
      <c r="V1489" s="3">
        <f t="shared" si="127"/>
        <v>1</v>
      </c>
    </row>
    <row r="1490" spans="1:22" x14ac:dyDescent="0.25">
      <c r="A1490" s="2">
        <v>2017</v>
      </c>
      <c r="B1490" t="s">
        <v>89</v>
      </c>
      <c r="C1490" t="s">
        <v>1</v>
      </c>
      <c r="D1490" s="2">
        <v>820</v>
      </c>
      <c r="E1490" s="2" t="s">
        <v>110</v>
      </c>
      <c r="F1490" t="s">
        <v>493</v>
      </c>
      <c r="G1490">
        <v>5</v>
      </c>
      <c r="H1490">
        <v>5</v>
      </c>
      <c r="I1490">
        <v>0</v>
      </c>
      <c r="J1490">
        <v>0</v>
      </c>
      <c r="K1490">
        <v>0</v>
      </c>
      <c r="L1490" s="6">
        <f t="shared" ref="L1490:L1534" si="128">IF(G1490=0,0,SUM(H1490:J1490)/G1490)</f>
        <v>1</v>
      </c>
      <c r="M1490">
        <v>116</v>
      </c>
      <c r="N1490">
        <v>22</v>
      </c>
      <c r="O1490" s="9">
        <v>0</v>
      </c>
      <c r="P1490">
        <v>0</v>
      </c>
      <c r="Q1490">
        <v>50</v>
      </c>
      <c r="R1490">
        <v>0</v>
      </c>
      <c r="S1490">
        <v>44</v>
      </c>
      <c r="T1490">
        <v>0</v>
      </c>
      <c r="U1490" s="3">
        <f t="shared" si="126"/>
        <v>1</v>
      </c>
      <c r="V1490" s="3">
        <f t="shared" si="127"/>
        <v>1</v>
      </c>
    </row>
    <row r="1491" spans="1:22" x14ac:dyDescent="0.25">
      <c r="A1491" s="2">
        <v>2017</v>
      </c>
      <c r="B1491" t="s">
        <v>89</v>
      </c>
      <c r="C1491" t="s">
        <v>1</v>
      </c>
      <c r="D1491" s="2">
        <v>3595</v>
      </c>
      <c r="E1491" s="2" t="s">
        <v>111</v>
      </c>
      <c r="F1491" t="s">
        <v>495</v>
      </c>
      <c r="G1491">
        <v>13</v>
      </c>
      <c r="H1491">
        <v>13</v>
      </c>
      <c r="I1491">
        <v>0</v>
      </c>
      <c r="J1491">
        <v>0</v>
      </c>
      <c r="K1491">
        <v>0</v>
      </c>
      <c r="L1491" s="6">
        <f t="shared" si="128"/>
        <v>1</v>
      </c>
      <c r="M1491">
        <v>48</v>
      </c>
      <c r="N1491">
        <v>7</v>
      </c>
      <c r="O1491" s="9">
        <v>0</v>
      </c>
      <c r="P1491">
        <v>0</v>
      </c>
      <c r="Q1491">
        <v>14</v>
      </c>
      <c r="R1491">
        <v>0</v>
      </c>
      <c r="S1491">
        <v>27</v>
      </c>
      <c r="T1491">
        <v>0</v>
      </c>
      <c r="U1491" s="3">
        <f t="shared" si="126"/>
        <v>1</v>
      </c>
      <c r="V1491" s="3">
        <f t="shared" si="127"/>
        <v>1</v>
      </c>
    </row>
    <row r="1492" spans="1:22" x14ac:dyDescent="0.25">
      <c r="A1492" s="2">
        <v>2017</v>
      </c>
      <c r="B1492" t="s">
        <v>89</v>
      </c>
      <c r="C1492" t="s">
        <v>1</v>
      </c>
      <c r="D1492" s="2">
        <v>1016</v>
      </c>
      <c r="E1492" s="2" t="s">
        <v>112</v>
      </c>
      <c r="F1492" t="s">
        <v>496</v>
      </c>
      <c r="G1492">
        <v>5</v>
      </c>
      <c r="H1492">
        <v>5</v>
      </c>
      <c r="I1492">
        <v>0</v>
      </c>
      <c r="J1492">
        <v>0</v>
      </c>
      <c r="K1492">
        <v>0</v>
      </c>
      <c r="L1492" s="6">
        <f t="shared" si="128"/>
        <v>1</v>
      </c>
      <c r="M1492">
        <v>92</v>
      </c>
      <c r="N1492">
        <v>21</v>
      </c>
      <c r="O1492" s="9">
        <v>0</v>
      </c>
      <c r="P1492">
        <v>0</v>
      </c>
      <c r="Q1492">
        <v>27</v>
      </c>
      <c r="R1492">
        <v>0</v>
      </c>
      <c r="S1492">
        <v>44</v>
      </c>
      <c r="T1492">
        <v>0</v>
      </c>
      <c r="U1492" s="3">
        <f t="shared" si="126"/>
        <v>1</v>
      </c>
      <c r="V1492" s="3">
        <f t="shared" si="127"/>
        <v>1</v>
      </c>
    </row>
    <row r="1493" spans="1:22" x14ac:dyDescent="0.25">
      <c r="A1493" s="2">
        <v>2017</v>
      </c>
      <c r="B1493" t="s">
        <v>89</v>
      </c>
      <c r="C1493" t="s">
        <v>1</v>
      </c>
      <c r="D1493" s="2">
        <v>1108</v>
      </c>
      <c r="E1493" s="2" t="s">
        <v>113</v>
      </c>
      <c r="F1493" t="s">
        <v>498</v>
      </c>
      <c r="G1493">
        <v>5</v>
      </c>
      <c r="H1493">
        <v>5</v>
      </c>
      <c r="I1493">
        <v>0</v>
      </c>
      <c r="J1493">
        <v>0</v>
      </c>
      <c r="K1493">
        <v>0</v>
      </c>
      <c r="L1493" s="6">
        <f t="shared" si="128"/>
        <v>1</v>
      </c>
      <c r="M1493">
        <v>81</v>
      </c>
      <c r="N1493">
        <v>17</v>
      </c>
      <c r="O1493" s="9">
        <v>0</v>
      </c>
      <c r="P1493">
        <v>0</v>
      </c>
      <c r="Q1493">
        <v>29</v>
      </c>
      <c r="R1493">
        <v>0</v>
      </c>
      <c r="S1493">
        <v>35</v>
      </c>
      <c r="T1493">
        <v>0</v>
      </c>
      <c r="U1493" s="3">
        <f t="shared" si="126"/>
        <v>1</v>
      </c>
      <c r="V1493" s="3">
        <f t="shared" si="127"/>
        <v>1</v>
      </c>
    </row>
    <row r="1494" spans="1:22" x14ac:dyDescent="0.25">
      <c r="A1494" s="2">
        <v>2017</v>
      </c>
      <c r="B1494" t="s">
        <v>89</v>
      </c>
      <c r="C1494" t="s">
        <v>1</v>
      </c>
      <c r="D1494" s="2">
        <v>3623</v>
      </c>
      <c r="E1494" s="2" t="s">
        <v>114</v>
      </c>
      <c r="F1494" t="s">
        <v>499</v>
      </c>
      <c r="G1494">
        <v>5</v>
      </c>
      <c r="H1494">
        <v>5</v>
      </c>
      <c r="I1494">
        <v>0</v>
      </c>
      <c r="J1494">
        <v>0</v>
      </c>
      <c r="K1494">
        <v>0</v>
      </c>
      <c r="L1494" s="6">
        <f t="shared" si="128"/>
        <v>1</v>
      </c>
      <c r="M1494">
        <v>121</v>
      </c>
      <c r="N1494">
        <v>24</v>
      </c>
      <c r="O1494" s="9">
        <v>0</v>
      </c>
      <c r="P1494">
        <v>0</v>
      </c>
      <c r="Q1494">
        <v>64</v>
      </c>
      <c r="R1494">
        <v>0</v>
      </c>
      <c r="S1494">
        <v>33</v>
      </c>
      <c r="T1494">
        <v>0</v>
      </c>
      <c r="U1494" s="3">
        <f t="shared" si="126"/>
        <v>1</v>
      </c>
      <c r="V1494" s="3">
        <f t="shared" si="127"/>
        <v>1</v>
      </c>
    </row>
    <row r="1495" spans="1:22" x14ac:dyDescent="0.25">
      <c r="A1495" s="2">
        <v>2017</v>
      </c>
      <c r="B1495" t="s">
        <v>89</v>
      </c>
      <c r="C1495" t="s">
        <v>1</v>
      </c>
      <c r="D1495" s="2">
        <v>15880</v>
      </c>
      <c r="E1495" s="2" t="s">
        <v>115</v>
      </c>
      <c r="F1495" t="s">
        <v>501</v>
      </c>
      <c r="G1495">
        <v>4</v>
      </c>
      <c r="H1495">
        <v>4</v>
      </c>
      <c r="I1495">
        <v>0</v>
      </c>
      <c r="J1495">
        <v>0</v>
      </c>
      <c r="K1495">
        <v>0</v>
      </c>
      <c r="L1495" s="6">
        <f t="shared" si="128"/>
        <v>1</v>
      </c>
      <c r="M1495">
        <v>123</v>
      </c>
      <c r="N1495">
        <v>26</v>
      </c>
      <c r="O1495" s="9">
        <v>0</v>
      </c>
      <c r="P1495">
        <v>0</v>
      </c>
      <c r="Q1495">
        <v>40</v>
      </c>
      <c r="R1495">
        <v>0</v>
      </c>
      <c r="S1495">
        <v>57</v>
      </c>
      <c r="T1495">
        <v>0</v>
      </c>
      <c r="U1495" s="3">
        <f t="shared" si="126"/>
        <v>1</v>
      </c>
      <c r="V1495" s="3">
        <f t="shared" si="127"/>
        <v>1</v>
      </c>
    </row>
    <row r="1496" spans="1:22" x14ac:dyDescent="0.25">
      <c r="A1496" s="2">
        <v>2017</v>
      </c>
      <c r="B1496" t="s">
        <v>89</v>
      </c>
      <c r="C1496" t="s">
        <v>22</v>
      </c>
      <c r="D1496" s="2">
        <v>136</v>
      </c>
      <c r="E1496" s="2" t="s">
        <v>116</v>
      </c>
      <c r="F1496" t="s">
        <v>41</v>
      </c>
      <c r="G1496">
        <v>19</v>
      </c>
      <c r="H1496">
        <v>19</v>
      </c>
      <c r="I1496">
        <v>0</v>
      </c>
      <c r="J1496">
        <v>0</v>
      </c>
      <c r="K1496">
        <v>0</v>
      </c>
      <c r="L1496" s="6">
        <f t="shared" si="128"/>
        <v>1</v>
      </c>
      <c r="M1496">
        <v>260</v>
      </c>
      <c r="N1496">
        <v>46</v>
      </c>
      <c r="O1496" s="9">
        <v>0</v>
      </c>
      <c r="P1496">
        <v>0</v>
      </c>
      <c r="Q1496">
        <v>123</v>
      </c>
      <c r="R1496">
        <v>0</v>
      </c>
      <c r="S1496">
        <v>89</v>
      </c>
      <c r="T1496">
        <v>2</v>
      </c>
      <c r="U1496" s="3">
        <f t="shared" ref="U1496:U1534" si="129">IF(M1496=0,0,((N1496+O1496+Q1496+S1496+T1496)/M1496))</f>
        <v>1</v>
      </c>
      <c r="V1496" s="3">
        <f t="shared" si="127"/>
        <v>1</v>
      </c>
    </row>
    <row r="1497" spans="1:22" x14ac:dyDescent="0.25">
      <c r="A1497" s="2">
        <v>2017</v>
      </c>
      <c r="B1497" t="s">
        <v>89</v>
      </c>
      <c r="C1497" t="s">
        <v>22</v>
      </c>
      <c r="D1497" s="2" t="s">
        <v>117</v>
      </c>
      <c r="E1497" s="2" t="s">
        <v>62</v>
      </c>
      <c r="F1497" t="s">
        <v>27</v>
      </c>
      <c r="G1497">
        <v>10</v>
      </c>
      <c r="H1497">
        <v>10</v>
      </c>
      <c r="I1497">
        <v>0</v>
      </c>
      <c r="J1497">
        <v>0</v>
      </c>
      <c r="K1497">
        <v>0</v>
      </c>
      <c r="L1497" s="6">
        <f t="shared" si="128"/>
        <v>1</v>
      </c>
      <c r="M1497">
        <v>184</v>
      </c>
      <c r="N1497">
        <v>29</v>
      </c>
      <c r="O1497" s="9">
        <v>0</v>
      </c>
      <c r="P1497">
        <v>0</v>
      </c>
      <c r="Q1497">
        <v>56</v>
      </c>
      <c r="R1497">
        <v>7</v>
      </c>
      <c r="S1497">
        <v>91</v>
      </c>
      <c r="T1497">
        <v>1</v>
      </c>
      <c r="U1497" s="3">
        <f t="shared" si="129"/>
        <v>0.96195652173913049</v>
      </c>
      <c r="V1497" s="3">
        <f t="shared" si="127"/>
        <v>0.96391752577319589</v>
      </c>
    </row>
    <row r="1498" spans="1:22" x14ac:dyDescent="0.25">
      <c r="A1498" s="2">
        <v>2017</v>
      </c>
      <c r="B1498" t="s">
        <v>89</v>
      </c>
      <c r="C1498" t="s">
        <v>22</v>
      </c>
      <c r="D1498" s="2" t="s">
        <v>118</v>
      </c>
      <c r="E1498" s="2" t="s">
        <v>63</v>
      </c>
      <c r="F1498" t="s">
        <v>353</v>
      </c>
      <c r="G1498">
        <v>26</v>
      </c>
      <c r="H1498">
        <v>26</v>
      </c>
      <c r="I1498">
        <v>0</v>
      </c>
      <c r="J1498">
        <v>0</v>
      </c>
      <c r="K1498">
        <v>0</v>
      </c>
      <c r="L1498" s="6">
        <f t="shared" si="128"/>
        <v>1</v>
      </c>
      <c r="M1498">
        <v>288</v>
      </c>
      <c r="N1498">
        <v>47</v>
      </c>
      <c r="O1498" s="9">
        <v>0</v>
      </c>
      <c r="P1498">
        <v>0</v>
      </c>
      <c r="Q1498">
        <v>114</v>
      </c>
      <c r="R1498">
        <v>0</v>
      </c>
      <c r="S1498">
        <v>125</v>
      </c>
      <c r="T1498">
        <v>2</v>
      </c>
      <c r="U1498" s="3">
        <f t="shared" si="129"/>
        <v>1</v>
      </c>
      <c r="V1498" s="3">
        <f t="shared" si="127"/>
        <v>1</v>
      </c>
    </row>
    <row r="1499" spans="1:22" x14ac:dyDescent="0.25">
      <c r="A1499" s="2">
        <v>2017</v>
      </c>
      <c r="B1499" t="s">
        <v>89</v>
      </c>
      <c r="C1499" t="s">
        <v>22</v>
      </c>
      <c r="D1499" s="2" t="s">
        <v>119</v>
      </c>
      <c r="E1499" s="2" t="s">
        <v>65</v>
      </c>
      <c r="F1499" t="s">
        <v>355</v>
      </c>
      <c r="G1499">
        <v>58</v>
      </c>
      <c r="H1499">
        <v>57</v>
      </c>
      <c r="I1499">
        <v>1</v>
      </c>
      <c r="J1499">
        <v>0</v>
      </c>
      <c r="K1499">
        <v>0</v>
      </c>
      <c r="L1499" s="6">
        <f t="shared" si="128"/>
        <v>1</v>
      </c>
      <c r="M1499">
        <v>465</v>
      </c>
      <c r="N1499">
        <v>77</v>
      </c>
      <c r="O1499" s="9">
        <v>0</v>
      </c>
      <c r="P1499">
        <v>2</v>
      </c>
      <c r="Q1499">
        <v>216</v>
      </c>
      <c r="R1499">
        <v>4</v>
      </c>
      <c r="S1499">
        <v>159</v>
      </c>
      <c r="T1499">
        <v>7</v>
      </c>
      <c r="U1499" s="3">
        <f t="shared" si="129"/>
        <v>0.98709677419354835</v>
      </c>
      <c r="V1499" s="3">
        <f t="shared" si="127"/>
        <v>0.98852772466539196</v>
      </c>
    </row>
    <row r="1500" spans="1:22" x14ac:dyDescent="0.25">
      <c r="A1500" s="2">
        <v>2017</v>
      </c>
      <c r="B1500" t="s">
        <v>89</v>
      </c>
      <c r="C1500" t="s">
        <v>22</v>
      </c>
      <c r="D1500" s="2" t="s">
        <v>120</v>
      </c>
      <c r="E1500" s="2" t="s">
        <v>121</v>
      </c>
      <c r="F1500" t="s">
        <v>437</v>
      </c>
      <c r="G1500">
        <v>0</v>
      </c>
      <c r="H1500">
        <v>0</v>
      </c>
      <c r="I1500">
        <v>0</v>
      </c>
      <c r="J1500">
        <v>0</v>
      </c>
      <c r="K1500">
        <v>0</v>
      </c>
      <c r="L1500" s="6">
        <f t="shared" ref="L1500:L1502" si="130">IF(G1500=0,0,SUM(H1500:J1500)/G1500)</f>
        <v>0</v>
      </c>
      <c r="M1500">
        <v>17</v>
      </c>
      <c r="N1500">
        <v>4</v>
      </c>
      <c r="O1500" s="9">
        <v>0</v>
      </c>
      <c r="P1500">
        <v>0</v>
      </c>
      <c r="Q1500">
        <v>8</v>
      </c>
      <c r="R1500">
        <v>0</v>
      </c>
      <c r="S1500">
        <v>5</v>
      </c>
      <c r="T1500">
        <v>0</v>
      </c>
      <c r="U1500" s="3">
        <f t="shared" ref="U1500:U1502" si="131">IF(M1500=0,0,((N1500+O1500+Q1500+S1500+T1500)/M1500))</f>
        <v>1</v>
      </c>
      <c r="V1500" s="3">
        <f t="shared" si="127"/>
        <v>1</v>
      </c>
    </row>
    <row r="1501" spans="1:22" x14ac:dyDescent="0.25">
      <c r="A1501" s="2">
        <v>2017</v>
      </c>
      <c r="B1501" t="s">
        <v>89</v>
      </c>
      <c r="C1501" t="s">
        <v>22</v>
      </c>
      <c r="D1501" s="2" t="s">
        <v>122</v>
      </c>
      <c r="E1501" s="2" t="s">
        <v>123</v>
      </c>
      <c r="F1501" t="s">
        <v>357</v>
      </c>
      <c r="G1501">
        <v>0</v>
      </c>
      <c r="H1501">
        <v>0</v>
      </c>
      <c r="I1501">
        <v>0</v>
      </c>
      <c r="J1501">
        <v>0</v>
      </c>
      <c r="K1501">
        <v>0</v>
      </c>
      <c r="L1501" s="6">
        <f t="shared" si="130"/>
        <v>0</v>
      </c>
      <c r="M1501">
        <v>2</v>
      </c>
      <c r="N1501">
        <v>0</v>
      </c>
      <c r="O1501" s="9">
        <v>0</v>
      </c>
      <c r="P1501">
        <v>0</v>
      </c>
      <c r="Q1501">
        <v>1</v>
      </c>
      <c r="R1501">
        <v>0</v>
      </c>
      <c r="S1501">
        <v>1</v>
      </c>
      <c r="T1501">
        <v>0</v>
      </c>
      <c r="U1501" s="3">
        <f t="shared" si="131"/>
        <v>1</v>
      </c>
      <c r="V1501" s="3">
        <f t="shared" si="127"/>
        <v>1</v>
      </c>
    </row>
    <row r="1502" spans="1:22" x14ac:dyDescent="0.25">
      <c r="A1502" s="2">
        <v>2017</v>
      </c>
      <c r="B1502" t="s">
        <v>89</v>
      </c>
      <c r="C1502" t="s">
        <v>22</v>
      </c>
      <c r="D1502" s="2" t="s">
        <v>124</v>
      </c>
      <c r="E1502" s="2" t="s">
        <v>68</v>
      </c>
      <c r="F1502" t="s">
        <v>358</v>
      </c>
      <c r="G1502">
        <v>2</v>
      </c>
      <c r="H1502">
        <v>2</v>
      </c>
      <c r="I1502">
        <v>0</v>
      </c>
      <c r="J1502">
        <v>0</v>
      </c>
      <c r="K1502">
        <v>0</v>
      </c>
      <c r="L1502" s="6">
        <f t="shared" si="130"/>
        <v>1</v>
      </c>
      <c r="M1502">
        <v>14</v>
      </c>
      <c r="N1502">
        <v>2</v>
      </c>
      <c r="O1502" s="9">
        <v>0</v>
      </c>
      <c r="P1502">
        <v>0</v>
      </c>
      <c r="Q1502">
        <v>4</v>
      </c>
      <c r="R1502">
        <v>0</v>
      </c>
      <c r="S1502">
        <v>8</v>
      </c>
      <c r="T1502">
        <v>0</v>
      </c>
      <c r="U1502" s="3">
        <f t="shared" si="131"/>
        <v>1</v>
      </c>
      <c r="V1502" s="3">
        <f t="shared" si="127"/>
        <v>1</v>
      </c>
    </row>
    <row r="1503" spans="1:22" x14ac:dyDescent="0.25">
      <c r="A1503" s="2">
        <v>2017</v>
      </c>
      <c r="B1503" t="s">
        <v>89</v>
      </c>
      <c r="C1503" t="s">
        <v>22</v>
      </c>
      <c r="D1503" s="2" t="s">
        <v>125</v>
      </c>
      <c r="E1503" s="2" t="s">
        <v>70</v>
      </c>
      <c r="F1503" t="s">
        <v>360</v>
      </c>
      <c r="G1503">
        <v>30</v>
      </c>
      <c r="H1503">
        <v>30</v>
      </c>
      <c r="I1503">
        <v>0</v>
      </c>
      <c r="J1503">
        <v>0</v>
      </c>
      <c r="K1503">
        <v>0</v>
      </c>
      <c r="L1503" s="6">
        <f t="shared" si="128"/>
        <v>1</v>
      </c>
      <c r="M1503">
        <v>542</v>
      </c>
      <c r="N1503">
        <v>110</v>
      </c>
      <c r="O1503" s="9">
        <v>0</v>
      </c>
      <c r="P1503">
        <v>1</v>
      </c>
      <c r="Q1503">
        <v>246</v>
      </c>
      <c r="R1503">
        <v>0</v>
      </c>
      <c r="S1503">
        <v>184</v>
      </c>
      <c r="T1503">
        <v>1</v>
      </c>
      <c r="U1503" s="3">
        <f t="shared" si="129"/>
        <v>0.99815498154981552</v>
      </c>
      <c r="V1503" s="3">
        <f t="shared" si="127"/>
        <v>0.99825174825174823</v>
      </c>
    </row>
    <row r="1504" spans="1:22" x14ac:dyDescent="0.25">
      <c r="A1504" s="2">
        <v>2017</v>
      </c>
      <c r="B1504" t="s">
        <v>89</v>
      </c>
      <c r="C1504" t="s">
        <v>22</v>
      </c>
      <c r="D1504" s="2" t="s">
        <v>126</v>
      </c>
      <c r="E1504" s="2" t="s">
        <v>71</v>
      </c>
      <c r="F1504" t="s">
        <v>361</v>
      </c>
      <c r="G1504">
        <v>28</v>
      </c>
      <c r="H1504">
        <v>28</v>
      </c>
      <c r="I1504">
        <v>0</v>
      </c>
      <c r="J1504">
        <v>0</v>
      </c>
      <c r="K1504">
        <v>0</v>
      </c>
      <c r="L1504" s="6">
        <f t="shared" ref="L1504:L1526" si="132">IF(G1504=0,0,SUM(H1504:J1504)/G1504)</f>
        <v>1</v>
      </c>
      <c r="M1504">
        <v>340</v>
      </c>
      <c r="N1504">
        <v>61</v>
      </c>
      <c r="O1504" s="9">
        <v>0</v>
      </c>
      <c r="P1504">
        <v>0</v>
      </c>
      <c r="Q1504">
        <v>142</v>
      </c>
      <c r="R1504">
        <v>1</v>
      </c>
      <c r="S1504">
        <v>135</v>
      </c>
      <c r="T1504">
        <v>1</v>
      </c>
      <c r="U1504" s="3">
        <f t="shared" ref="U1504:U1526" si="133">IF(M1504=0,0,((N1504+O1504+Q1504+S1504+T1504)/M1504))</f>
        <v>0.99705882352941178</v>
      </c>
      <c r="V1504" s="3">
        <f t="shared" si="127"/>
        <v>0.99728260869565222</v>
      </c>
    </row>
    <row r="1505" spans="1:22" x14ac:dyDescent="0.25">
      <c r="A1505" s="2">
        <v>2017</v>
      </c>
      <c r="B1505" t="s">
        <v>89</v>
      </c>
      <c r="C1505" t="s">
        <v>22</v>
      </c>
      <c r="D1505" s="2" t="s">
        <v>127</v>
      </c>
      <c r="E1505" s="2" t="s">
        <v>72</v>
      </c>
      <c r="F1505" t="s">
        <v>362</v>
      </c>
      <c r="G1505">
        <v>17</v>
      </c>
      <c r="H1505">
        <v>17</v>
      </c>
      <c r="I1505">
        <v>0</v>
      </c>
      <c r="J1505">
        <v>0</v>
      </c>
      <c r="K1505">
        <v>0</v>
      </c>
      <c r="L1505" s="6">
        <f t="shared" si="132"/>
        <v>1</v>
      </c>
      <c r="M1505">
        <v>200</v>
      </c>
      <c r="N1505">
        <v>46</v>
      </c>
      <c r="O1505" s="9">
        <v>0</v>
      </c>
      <c r="P1505">
        <v>3</v>
      </c>
      <c r="Q1505">
        <v>77</v>
      </c>
      <c r="R1505">
        <v>5</v>
      </c>
      <c r="S1505">
        <v>68</v>
      </c>
      <c r="T1505">
        <v>1</v>
      </c>
      <c r="U1505" s="3">
        <f t="shared" si="133"/>
        <v>0.96</v>
      </c>
      <c r="V1505" s="3">
        <f t="shared" si="127"/>
        <v>0.96313364055299544</v>
      </c>
    </row>
    <row r="1506" spans="1:22" x14ac:dyDescent="0.25">
      <c r="A1506" s="2">
        <v>2017</v>
      </c>
      <c r="B1506" t="s">
        <v>89</v>
      </c>
      <c r="C1506" t="s">
        <v>22</v>
      </c>
      <c r="D1506" s="2" t="s">
        <v>128</v>
      </c>
      <c r="E1506" s="2" t="s">
        <v>74</v>
      </c>
      <c r="F1506" t="s">
        <v>363</v>
      </c>
      <c r="G1506">
        <v>22</v>
      </c>
      <c r="H1506">
        <v>22</v>
      </c>
      <c r="I1506">
        <v>0</v>
      </c>
      <c r="J1506">
        <v>0</v>
      </c>
      <c r="K1506">
        <v>0</v>
      </c>
      <c r="L1506" s="6">
        <f t="shared" si="132"/>
        <v>1</v>
      </c>
      <c r="M1506">
        <v>324</v>
      </c>
      <c r="N1506">
        <v>51</v>
      </c>
      <c r="O1506" s="9">
        <v>0</v>
      </c>
      <c r="P1506">
        <v>2</v>
      </c>
      <c r="Q1506">
        <v>155</v>
      </c>
      <c r="R1506">
        <v>3</v>
      </c>
      <c r="S1506">
        <v>111</v>
      </c>
      <c r="T1506">
        <v>2</v>
      </c>
      <c r="U1506" s="3">
        <f t="shared" si="133"/>
        <v>0.98456790123456794</v>
      </c>
      <c r="V1506" s="3">
        <f t="shared" si="127"/>
        <v>0.98554913294797686</v>
      </c>
    </row>
    <row r="1507" spans="1:22" x14ac:dyDescent="0.25">
      <c r="A1507" s="2">
        <v>2017</v>
      </c>
      <c r="B1507" t="s">
        <v>89</v>
      </c>
      <c r="C1507" t="s">
        <v>22</v>
      </c>
      <c r="D1507" s="2" t="s">
        <v>129</v>
      </c>
      <c r="E1507" s="2" t="s">
        <v>77</v>
      </c>
      <c r="F1507" t="s">
        <v>365</v>
      </c>
      <c r="G1507">
        <v>14</v>
      </c>
      <c r="H1507">
        <v>13</v>
      </c>
      <c r="I1507">
        <v>0</v>
      </c>
      <c r="J1507">
        <v>0</v>
      </c>
      <c r="K1507">
        <v>1</v>
      </c>
      <c r="L1507" s="6">
        <f t="shared" si="132"/>
        <v>0.9285714285714286</v>
      </c>
      <c r="M1507">
        <v>155</v>
      </c>
      <c r="N1507">
        <v>27</v>
      </c>
      <c r="O1507" s="9">
        <v>0</v>
      </c>
      <c r="P1507">
        <v>0</v>
      </c>
      <c r="Q1507">
        <v>59</v>
      </c>
      <c r="R1507">
        <v>0</v>
      </c>
      <c r="S1507">
        <v>69</v>
      </c>
      <c r="T1507">
        <v>0</v>
      </c>
      <c r="U1507" s="3">
        <f t="shared" si="133"/>
        <v>1</v>
      </c>
      <c r="V1507" s="3">
        <f t="shared" si="127"/>
        <v>0.99408284023668636</v>
      </c>
    </row>
    <row r="1508" spans="1:22" x14ac:dyDescent="0.25">
      <c r="A1508" s="2">
        <v>2017</v>
      </c>
      <c r="B1508" t="s">
        <v>89</v>
      </c>
      <c r="C1508" t="s">
        <v>22</v>
      </c>
      <c r="D1508" s="2" t="s">
        <v>130</v>
      </c>
      <c r="E1508" s="2" t="s">
        <v>131</v>
      </c>
      <c r="F1508" t="s">
        <v>451</v>
      </c>
      <c r="G1508">
        <v>27</v>
      </c>
      <c r="H1508">
        <v>27</v>
      </c>
      <c r="I1508">
        <v>0</v>
      </c>
      <c r="J1508">
        <v>0</v>
      </c>
      <c r="K1508">
        <v>0</v>
      </c>
      <c r="L1508" s="6">
        <f t="shared" si="132"/>
        <v>1</v>
      </c>
      <c r="M1508">
        <v>365</v>
      </c>
      <c r="N1508">
        <v>46</v>
      </c>
      <c r="O1508" s="9">
        <v>0</v>
      </c>
      <c r="P1508">
        <v>0</v>
      </c>
      <c r="Q1508">
        <v>157</v>
      </c>
      <c r="R1508">
        <v>0</v>
      </c>
      <c r="S1508">
        <v>161</v>
      </c>
      <c r="T1508">
        <v>1</v>
      </c>
      <c r="U1508" s="3">
        <f t="shared" si="133"/>
        <v>1</v>
      </c>
      <c r="V1508" s="3">
        <f t="shared" si="127"/>
        <v>1</v>
      </c>
    </row>
    <row r="1509" spans="1:22" x14ac:dyDescent="0.25">
      <c r="A1509" s="2">
        <v>2017</v>
      </c>
      <c r="B1509" t="s">
        <v>89</v>
      </c>
      <c r="C1509" t="s">
        <v>22</v>
      </c>
      <c r="D1509" s="2" t="s">
        <v>132</v>
      </c>
      <c r="E1509" s="2" t="s">
        <v>133</v>
      </c>
      <c r="F1509" t="s">
        <v>338</v>
      </c>
      <c r="G1509">
        <v>0</v>
      </c>
      <c r="H1509">
        <v>0</v>
      </c>
      <c r="I1509">
        <v>0</v>
      </c>
      <c r="J1509">
        <v>0</v>
      </c>
      <c r="K1509">
        <v>0</v>
      </c>
      <c r="L1509" s="6">
        <f t="shared" si="132"/>
        <v>0</v>
      </c>
      <c r="M1509">
        <v>1</v>
      </c>
      <c r="N1509">
        <v>0</v>
      </c>
      <c r="O1509" s="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 s="3">
        <f t="shared" si="133"/>
        <v>1</v>
      </c>
      <c r="V1509" s="3">
        <f t="shared" si="127"/>
        <v>1</v>
      </c>
    </row>
    <row r="1510" spans="1:22" x14ac:dyDescent="0.25">
      <c r="A1510" s="2">
        <v>2017</v>
      </c>
      <c r="B1510" t="s">
        <v>89</v>
      </c>
      <c r="C1510" t="s">
        <v>22</v>
      </c>
      <c r="D1510" s="2" t="s">
        <v>134</v>
      </c>
      <c r="E1510" s="2" t="s">
        <v>135</v>
      </c>
      <c r="F1510" t="s">
        <v>33</v>
      </c>
      <c r="G1510">
        <v>6</v>
      </c>
      <c r="H1510">
        <v>6</v>
      </c>
      <c r="I1510">
        <v>0</v>
      </c>
      <c r="J1510">
        <v>0</v>
      </c>
      <c r="K1510">
        <v>0</v>
      </c>
      <c r="L1510" s="6">
        <f t="shared" si="132"/>
        <v>1</v>
      </c>
      <c r="M1510">
        <v>51</v>
      </c>
      <c r="N1510">
        <v>5</v>
      </c>
      <c r="O1510" s="9">
        <v>0</v>
      </c>
      <c r="P1510">
        <v>0</v>
      </c>
      <c r="Q1510">
        <v>22</v>
      </c>
      <c r="R1510">
        <v>0</v>
      </c>
      <c r="S1510">
        <v>24</v>
      </c>
      <c r="T1510">
        <v>0</v>
      </c>
      <c r="U1510" s="3">
        <f t="shared" si="133"/>
        <v>1</v>
      </c>
      <c r="V1510" s="3">
        <f t="shared" si="127"/>
        <v>1</v>
      </c>
    </row>
    <row r="1511" spans="1:22" x14ac:dyDescent="0.25">
      <c r="A1511" s="2">
        <v>2017</v>
      </c>
      <c r="B1511" t="s">
        <v>89</v>
      </c>
      <c r="C1511" t="s">
        <v>22</v>
      </c>
      <c r="D1511" s="2" t="s">
        <v>136</v>
      </c>
      <c r="E1511" s="2" t="s">
        <v>137</v>
      </c>
      <c r="F1511" t="s">
        <v>34</v>
      </c>
      <c r="G1511">
        <v>0</v>
      </c>
      <c r="H1511">
        <v>0</v>
      </c>
      <c r="I1511">
        <v>0</v>
      </c>
      <c r="J1511">
        <v>0</v>
      </c>
      <c r="K1511">
        <v>0</v>
      </c>
      <c r="L1511" s="6">
        <f t="shared" si="132"/>
        <v>0</v>
      </c>
      <c r="M1511">
        <v>1</v>
      </c>
      <c r="N1511">
        <v>0</v>
      </c>
      <c r="O1511" s="9">
        <v>0</v>
      </c>
      <c r="P1511">
        <v>0</v>
      </c>
      <c r="Q1511">
        <v>0</v>
      </c>
      <c r="R1511">
        <v>0</v>
      </c>
      <c r="S1511">
        <v>1</v>
      </c>
      <c r="T1511">
        <v>0</v>
      </c>
      <c r="U1511" s="3">
        <f t="shared" si="133"/>
        <v>1</v>
      </c>
      <c r="V1511" s="3">
        <f t="shared" si="127"/>
        <v>1</v>
      </c>
    </row>
    <row r="1512" spans="1:22" x14ac:dyDescent="0.25">
      <c r="A1512" s="2">
        <v>2017</v>
      </c>
      <c r="B1512" t="s">
        <v>89</v>
      </c>
      <c r="C1512" t="s">
        <v>22</v>
      </c>
      <c r="D1512" s="2" t="s">
        <v>138</v>
      </c>
      <c r="E1512" s="2" t="s">
        <v>78</v>
      </c>
      <c r="F1512" t="s">
        <v>328</v>
      </c>
      <c r="G1512">
        <v>28</v>
      </c>
      <c r="H1512">
        <v>28</v>
      </c>
      <c r="I1512">
        <v>0</v>
      </c>
      <c r="J1512">
        <v>0</v>
      </c>
      <c r="K1512">
        <v>0</v>
      </c>
      <c r="L1512" s="6">
        <f t="shared" si="132"/>
        <v>1</v>
      </c>
      <c r="M1512">
        <v>335</v>
      </c>
      <c r="N1512">
        <v>53</v>
      </c>
      <c r="O1512" s="9">
        <v>0</v>
      </c>
      <c r="P1512">
        <v>1</v>
      </c>
      <c r="Q1512">
        <v>160</v>
      </c>
      <c r="R1512">
        <v>3</v>
      </c>
      <c r="S1512">
        <v>118</v>
      </c>
      <c r="T1512">
        <v>0</v>
      </c>
      <c r="U1512" s="3">
        <f t="shared" si="133"/>
        <v>0.9880597014925373</v>
      </c>
      <c r="V1512" s="3">
        <f t="shared" si="127"/>
        <v>0.98898071625344353</v>
      </c>
    </row>
    <row r="1513" spans="1:22" x14ac:dyDescent="0.25">
      <c r="A1513" s="2">
        <v>2017</v>
      </c>
      <c r="B1513" t="s">
        <v>89</v>
      </c>
      <c r="C1513" t="s">
        <v>22</v>
      </c>
      <c r="D1513" s="2" t="s">
        <v>139</v>
      </c>
      <c r="E1513" s="2" t="s">
        <v>79</v>
      </c>
      <c r="F1513" t="s">
        <v>367</v>
      </c>
      <c r="G1513">
        <v>22</v>
      </c>
      <c r="H1513">
        <v>22</v>
      </c>
      <c r="I1513">
        <v>0</v>
      </c>
      <c r="J1513">
        <v>0</v>
      </c>
      <c r="K1513">
        <v>0</v>
      </c>
      <c r="L1513" s="6">
        <f t="shared" si="132"/>
        <v>1</v>
      </c>
      <c r="M1513">
        <v>307</v>
      </c>
      <c r="N1513">
        <v>66</v>
      </c>
      <c r="O1513" s="9">
        <v>0</v>
      </c>
      <c r="P1513">
        <v>2</v>
      </c>
      <c r="Q1513">
        <v>126</v>
      </c>
      <c r="R1513">
        <v>5</v>
      </c>
      <c r="S1513">
        <v>107</v>
      </c>
      <c r="T1513">
        <v>1</v>
      </c>
      <c r="U1513" s="3">
        <f t="shared" si="133"/>
        <v>0.9771986970684039</v>
      </c>
      <c r="V1513" s="3">
        <f t="shared" si="127"/>
        <v>0.97872340425531912</v>
      </c>
    </row>
    <row r="1514" spans="1:22" x14ac:dyDescent="0.25">
      <c r="A1514" s="2">
        <v>2017</v>
      </c>
      <c r="B1514" t="s">
        <v>89</v>
      </c>
      <c r="C1514" t="s">
        <v>22</v>
      </c>
      <c r="D1514" s="2" t="s">
        <v>140</v>
      </c>
      <c r="E1514" s="2" t="s">
        <v>141</v>
      </c>
      <c r="F1514" t="s">
        <v>413</v>
      </c>
      <c r="G1514">
        <v>0</v>
      </c>
      <c r="H1514">
        <v>0</v>
      </c>
      <c r="I1514">
        <v>0</v>
      </c>
      <c r="J1514">
        <v>0</v>
      </c>
      <c r="K1514">
        <v>0</v>
      </c>
      <c r="L1514" s="6">
        <f t="shared" si="132"/>
        <v>0</v>
      </c>
      <c r="M1514">
        <v>1</v>
      </c>
      <c r="N1514">
        <v>1</v>
      </c>
      <c r="O1514" s="9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 s="3">
        <f t="shared" si="133"/>
        <v>1</v>
      </c>
      <c r="V1514" s="3">
        <f t="shared" si="127"/>
        <v>1</v>
      </c>
    </row>
    <row r="1515" spans="1:22" x14ac:dyDescent="0.25">
      <c r="A1515" s="2">
        <v>2017</v>
      </c>
      <c r="B1515" t="s">
        <v>89</v>
      </c>
      <c r="C1515" t="s">
        <v>22</v>
      </c>
      <c r="D1515" s="2" t="s">
        <v>142</v>
      </c>
      <c r="E1515" s="2" t="s">
        <v>143</v>
      </c>
      <c r="F1515" t="s">
        <v>438</v>
      </c>
      <c r="G1515">
        <v>16</v>
      </c>
      <c r="H1515">
        <v>16</v>
      </c>
      <c r="I1515">
        <v>0</v>
      </c>
      <c r="J1515">
        <v>0</v>
      </c>
      <c r="K1515">
        <v>0</v>
      </c>
      <c r="L1515" s="6">
        <f t="shared" si="132"/>
        <v>1</v>
      </c>
      <c r="M1515">
        <v>321</v>
      </c>
      <c r="N1515">
        <v>53</v>
      </c>
      <c r="O1515" s="9">
        <v>0</v>
      </c>
      <c r="P1515">
        <v>0</v>
      </c>
      <c r="Q1515">
        <v>144</v>
      </c>
      <c r="R1515">
        <v>0</v>
      </c>
      <c r="S1515">
        <v>122</v>
      </c>
      <c r="T1515">
        <v>2</v>
      </c>
      <c r="U1515" s="3">
        <f t="shared" si="133"/>
        <v>1</v>
      </c>
      <c r="V1515" s="3">
        <f t="shared" si="127"/>
        <v>1</v>
      </c>
    </row>
    <row r="1516" spans="1:22" x14ac:dyDescent="0.25">
      <c r="A1516" s="2">
        <v>2017</v>
      </c>
      <c r="B1516" t="s">
        <v>89</v>
      </c>
      <c r="C1516" t="s">
        <v>22</v>
      </c>
      <c r="D1516" s="2" t="s">
        <v>144</v>
      </c>
      <c r="E1516" s="2" t="s">
        <v>145</v>
      </c>
      <c r="F1516" t="s">
        <v>435</v>
      </c>
      <c r="G1516">
        <v>18</v>
      </c>
      <c r="H1516">
        <v>18</v>
      </c>
      <c r="I1516">
        <v>0</v>
      </c>
      <c r="J1516">
        <v>0</v>
      </c>
      <c r="K1516">
        <v>0</v>
      </c>
      <c r="L1516" s="6">
        <f t="shared" si="132"/>
        <v>1</v>
      </c>
      <c r="M1516">
        <v>417</v>
      </c>
      <c r="N1516">
        <v>71</v>
      </c>
      <c r="O1516" s="9">
        <v>0</v>
      </c>
      <c r="P1516">
        <v>1</v>
      </c>
      <c r="Q1516">
        <v>209</v>
      </c>
      <c r="R1516">
        <v>0</v>
      </c>
      <c r="S1516">
        <v>136</v>
      </c>
      <c r="T1516">
        <v>0</v>
      </c>
      <c r="U1516" s="3">
        <f t="shared" si="133"/>
        <v>0.99760191846522783</v>
      </c>
      <c r="V1516" s="3">
        <f t="shared" si="127"/>
        <v>0.99770114942528731</v>
      </c>
    </row>
    <row r="1517" spans="1:22" x14ac:dyDescent="0.25">
      <c r="A1517" s="2">
        <v>2017</v>
      </c>
      <c r="B1517" t="s">
        <v>89</v>
      </c>
      <c r="C1517" t="s">
        <v>22</v>
      </c>
      <c r="D1517" s="2" t="s">
        <v>146</v>
      </c>
      <c r="E1517" s="2" t="s">
        <v>83</v>
      </c>
      <c r="F1517" t="s">
        <v>369</v>
      </c>
      <c r="G1517">
        <v>32</v>
      </c>
      <c r="H1517">
        <v>32</v>
      </c>
      <c r="I1517">
        <v>0</v>
      </c>
      <c r="J1517">
        <v>0</v>
      </c>
      <c r="K1517">
        <v>0</v>
      </c>
      <c r="L1517" s="6">
        <f t="shared" si="132"/>
        <v>1</v>
      </c>
      <c r="M1517">
        <v>385</v>
      </c>
      <c r="N1517">
        <v>84</v>
      </c>
      <c r="O1517" s="9">
        <v>0</v>
      </c>
      <c r="P1517">
        <v>2</v>
      </c>
      <c r="Q1517">
        <v>141</v>
      </c>
      <c r="R1517">
        <v>8</v>
      </c>
      <c r="S1517">
        <v>149</v>
      </c>
      <c r="T1517">
        <v>1</v>
      </c>
      <c r="U1517" s="3">
        <f t="shared" si="133"/>
        <v>0.97402597402597402</v>
      </c>
      <c r="V1517" s="3">
        <f t="shared" si="127"/>
        <v>0.97601918465227822</v>
      </c>
    </row>
    <row r="1518" spans="1:22" x14ac:dyDescent="0.25">
      <c r="A1518" s="2">
        <v>2017</v>
      </c>
      <c r="B1518" t="s">
        <v>89</v>
      </c>
      <c r="C1518" t="s">
        <v>22</v>
      </c>
      <c r="D1518" s="2" t="s">
        <v>147</v>
      </c>
      <c r="E1518" s="2" t="s">
        <v>84</v>
      </c>
      <c r="F1518" t="s">
        <v>371</v>
      </c>
      <c r="G1518">
        <v>6</v>
      </c>
      <c r="H1518">
        <v>6</v>
      </c>
      <c r="I1518">
        <v>0</v>
      </c>
      <c r="J1518">
        <v>0</v>
      </c>
      <c r="K1518">
        <v>0</v>
      </c>
      <c r="L1518" s="6">
        <f t="shared" si="132"/>
        <v>1</v>
      </c>
      <c r="M1518">
        <v>419</v>
      </c>
      <c r="N1518">
        <v>79</v>
      </c>
      <c r="O1518" s="9">
        <v>0</v>
      </c>
      <c r="P1518">
        <v>1</v>
      </c>
      <c r="Q1518">
        <v>197</v>
      </c>
      <c r="R1518">
        <v>1</v>
      </c>
      <c r="S1518">
        <v>140</v>
      </c>
      <c r="T1518">
        <v>1</v>
      </c>
      <c r="U1518" s="3">
        <f t="shared" si="133"/>
        <v>0.99522673031026254</v>
      </c>
      <c r="V1518" s="3">
        <f t="shared" si="127"/>
        <v>0.99529411764705877</v>
      </c>
    </row>
    <row r="1519" spans="1:22" x14ac:dyDescent="0.25">
      <c r="A1519" s="2">
        <v>2017</v>
      </c>
      <c r="B1519" t="s">
        <v>89</v>
      </c>
      <c r="C1519" t="s">
        <v>22</v>
      </c>
      <c r="D1519" s="2" t="s">
        <v>148</v>
      </c>
      <c r="E1519" s="2" t="s">
        <v>88</v>
      </c>
      <c r="F1519" t="s">
        <v>372</v>
      </c>
      <c r="G1519">
        <v>20</v>
      </c>
      <c r="H1519">
        <v>20</v>
      </c>
      <c r="I1519">
        <v>0</v>
      </c>
      <c r="J1519">
        <v>0</v>
      </c>
      <c r="K1519">
        <v>0</v>
      </c>
      <c r="L1519" s="6">
        <f t="shared" ref="L1519:L1525" si="134">IF(G1519=0,0,SUM(H1519:J1519)/G1519)</f>
        <v>1</v>
      </c>
      <c r="M1519">
        <v>211</v>
      </c>
      <c r="N1519">
        <v>40</v>
      </c>
      <c r="O1519" s="9">
        <v>0</v>
      </c>
      <c r="P1519">
        <v>0</v>
      </c>
      <c r="Q1519">
        <v>97</v>
      </c>
      <c r="R1519">
        <v>2</v>
      </c>
      <c r="S1519">
        <v>71</v>
      </c>
      <c r="T1519">
        <v>1</v>
      </c>
      <c r="U1519" s="3">
        <f t="shared" ref="U1519:U1525" si="135">IF(M1519=0,0,((N1519+O1519+Q1519+S1519+T1519)/M1519))</f>
        <v>0.99052132701421802</v>
      </c>
      <c r="V1519" s="3">
        <f t="shared" si="127"/>
        <v>0.9913419913419913</v>
      </c>
    </row>
    <row r="1520" spans="1:22" x14ac:dyDescent="0.25">
      <c r="A1520" s="2">
        <v>2017</v>
      </c>
      <c r="B1520" t="s">
        <v>89</v>
      </c>
      <c r="C1520" t="s">
        <v>23</v>
      </c>
      <c r="D1520" s="2">
        <v>489</v>
      </c>
      <c r="E1520" s="2" t="s">
        <v>149</v>
      </c>
      <c r="F1520" t="s">
        <v>40</v>
      </c>
      <c r="G1520">
        <v>13</v>
      </c>
      <c r="H1520">
        <v>13</v>
      </c>
      <c r="I1520">
        <v>0</v>
      </c>
      <c r="J1520">
        <v>0</v>
      </c>
      <c r="K1520">
        <v>0</v>
      </c>
      <c r="L1520" s="6">
        <f t="shared" si="134"/>
        <v>1</v>
      </c>
      <c r="M1520">
        <v>237</v>
      </c>
      <c r="N1520">
        <v>28</v>
      </c>
      <c r="O1520" s="9">
        <v>0</v>
      </c>
      <c r="P1520">
        <v>0</v>
      </c>
      <c r="Q1520">
        <v>94</v>
      </c>
      <c r="R1520">
        <v>0</v>
      </c>
      <c r="S1520">
        <v>115</v>
      </c>
      <c r="T1520">
        <v>0</v>
      </c>
      <c r="U1520" s="3">
        <f t="shared" si="135"/>
        <v>1</v>
      </c>
      <c r="V1520" s="3">
        <f t="shared" si="127"/>
        <v>1</v>
      </c>
    </row>
    <row r="1521" spans="1:22" x14ac:dyDescent="0.25">
      <c r="A1521" s="2">
        <v>2017</v>
      </c>
      <c r="B1521" t="s">
        <v>89</v>
      </c>
      <c r="C1521" t="s">
        <v>23</v>
      </c>
      <c r="D1521" s="2" t="s">
        <v>150</v>
      </c>
      <c r="E1521" s="2" t="s">
        <v>151</v>
      </c>
      <c r="F1521" t="s">
        <v>374</v>
      </c>
      <c r="G1521">
        <v>21</v>
      </c>
      <c r="H1521">
        <v>21</v>
      </c>
      <c r="I1521">
        <v>0</v>
      </c>
      <c r="J1521">
        <v>0</v>
      </c>
      <c r="K1521">
        <v>0</v>
      </c>
      <c r="L1521" s="6">
        <f t="shared" si="134"/>
        <v>1</v>
      </c>
      <c r="M1521">
        <v>368</v>
      </c>
      <c r="N1521">
        <v>87</v>
      </c>
      <c r="O1521" s="9">
        <v>0</v>
      </c>
      <c r="P1521">
        <v>1</v>
      </c>
      <c r="Q1521">
        <v>145</v>
      </c>
      <c r="R1521">
        <v>1</v>
      </c>
      <c r="S1521">
        <v>133</v>
      </c>
      <c r="T1521">
        <v>1</v>
      </c>
      <c r="U1521" s="3">
        <f t="shared" si="135"/>
        <v>0.99456521739130432</v>
      </c>
      <c r="V1521" s="3">
        <f t="shared" si="127"/>
        <v>0.99485861182519275</v>
      </c>
    </row>
    <row r="1522" spans="1:22" x14ac:dyDescent="0.25">
      <c r="A1522" s="2">
        <v>2017</v>
      </c>
      <c r="B1522" t="s">
        <v>89</v>
      </c>
      <c r="C1522" t="s">
        <v>23</v>
      </c>
      <c r="D1522" s="2" t="s">
        <v>152</v>
      </c>
      <c r="E1522" s="2" t="s">
        <v>153</v>
      </c>
      <c r="F1522" t="s">
        <v>375</v>
      </c>
      <c r="G1522">
        <v>20</v>
      </c>
      <c r="H1522">
        <v>20</v>
      </c>
      <c r="I1522">
        <v>0</v>
      </c>
      <c r="J1522">
        <v>0</v>
      </c>
      <c r="K1522">
        <v>0</v>
      </c>
      <c r="L1522" s="6">
        <f t="shared" si="134"/>
        <v>1</v>
      </c>
      <c r="M1522">
        <v>243</v>
      </c>
      <c r="N1522">
        <v>59</v>
      </c>
      <c r="O1522" s="9">
        <v>0</v>
      </c>
      <c r="P1522">
        <v>0</v>
      </c>
      <c r="Q1522">
        <v>108</v>
      </c>
      <c r="R1522">
        <v>0</v>
      </c>
      <c r="S1522">
        <v>76</v>
      </c>
      <c r="T1522">
        <v>0</v>
      </c>
      <c r="U1522" s="3">
        <f t="shared" si="135"/>
        <v>1</v>
      </c>
      <c r="V1522" s="3">
        <f t="shared" si="127"/>
        <v>1</v>
      </c>
    </row>
    <row r="1523" spans="1:22" x14ac:dyDescent="0.25">
      <c r="A1523" s="2">
        <v>2017</v>
      </c>
      <c r="B1523" t="s">
        <v>89</v>
      </c>
      <c r="C1523" t="s">
        <v>23</v>
      </c>
      <c r="D1523" s="2" t="s">
        <v>154</v>
      </c>
      <c r="E1523" s="2" t="s">
        <v>155</v>
      </c>
      <c r="F1523" t="s">
        <v>376</v>
      </c>
      <c r="G1523">
        <v>17</v>
      </c>
      <c r="H1523">
        <v>17</v>
      </c>
      <c r="I1523">
        <v>0</v>
      </c>
      <c r="J1523">
        <v>0</v>
      </c>
      <c r="K1523">
        <v>0</v>
      </c>
      <c r="L1523" s="6">
        <f t="shared" si="134"/>
        <v>1</v>
      </c>
      <c r="M1523">
        <v>232</v>
      </c>
      <c r="N1523">
        <v>43</v>
      </c>
      <c r="O1523" s="9">
        <v>0</v>
      </c>
      <c r="P1523">
        <v>0</v>
      </c>
      <c r="Q1523">
        <v>71</v>
      </c>
      <c r="R1523">
        <v>1</v>
      </c>
      <c r="S1523">
        <v>117</v>
      </c>
      <c r="T1523">
        <v>0</v>
      </c>
      <c r="U1523" s="3">
        <f t="shared" si="135"/>
        <v>0.99568965517241381</v>
      </c>
      <c r="V1523" s="3">
        <f t="shared" si="127"/>
        <v>0.99598393574297184</v>
      </c>
    </row>
    <row r="1524" spans="1:22" x14ac:dyDescent="0.25">
      <c r="A1524" s="2">
        <v>2017</v>
      </c>
      <c r="B1524" t="s">
        <v>89</v>
      </c>
      <c r="C1524" t="s">
        <v>23</v>
      </c>
      <c r="D1524" s="2" t="s">
        <v>156</v>
      </c>
      <c r="E1524" s="2" t="s">
        <v>157</v>
      </c>
      <c r="F1524" t="s">
        <v>378</v>
      </c>
      <c r="G1524">
        <v>0</v>
      </c>
      <c r="H1524">
        <v>0</v>
      </c>
      <c r="I1524">
        <v>0</v>
      </c>
      <c r="J1524">
        <v>0</v>
      </c>
      <c r="K1524">
        <v>0</v>
      </c>
      <c r="L1524" s="6">
        <f t="shared" si="134"/>
        <v>0</v>
      </c>
      <c r="M1524">
        <v>1</v>
      </c>
      <c r="N1524">
        <v>0</v>
      </c>
      <c r="O1524" s="9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 s="3">
        <f t="shared" si="135"/>
        <v>1</v>
      </c>
      <c r="V1524" s="3">
        <f t="shared" si="127"/>
        <v>1</v>
      </c>
    </row>
    <row r="1525" spans="1:22" x14ac:dyDescent="0.25">
      <c r="A1525" s="2">
        <v>2017</v>
      </c>
      <c r="B1525" t="s">
        <v>89</v>
      </c>
      <c r="C1525" t="s">
        <v>23</v>
      </c>
      <c r="D1525" s="2" t="s">
        <v>158</v>
      </c>
      <c r="E1525" s="2" t="s">
        <v>81</v>
      </c>
      <c r="F1525" t="s">
        <v>420</v>
      </c>
      <c r="G1525">
        <v>0</v>
      </c>
      <c r="H1525">
        <v>0</v>
      </c>
      <c r="I1525">
        <v>0</v>
      </c>
      <c r="J1525">
        <v>0</v>
      </c>
      <c r="K1525">
        <v>0</v>
      </c>
      <c r="L1525" s="6">
        <f t="shared" si="134"/>
        <v>0</v>
      </c>
      <c r="M1525">
        <v>1</v>
      </c>
      <c r="N1525">
        <v>0</v>
      </c>
      <c r="O1525" s="9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 s="3">
        <f t="shared" si="135"/>
        <v>1</v>
      </c>
      <c r="V1525" s="3">
        <f t="shared" si="127"/>
        <v>1</v>
      </c>
    </row>
    <row r="1526" spans="1:22" x14ac:dyDescent="0.25">
      <c r="A1526" s="2">
        <v>2017</v>
      </c>
      <c r="B1526" t="s">
        <v>89</v>
      </c>
      <c r="C1526" t="s">
        <v>23</v>
      </c>
      <c r="D1526" s="2" t="s">
        <v>159</v>
      </c>
      <c r="E1526" s="2" t="s">
        <v>160</v>
      </c>
      <c r="F1526" t="s">
        <v>379</v>
      </c>
      <c r="G1526">
        <v>11</v>
      </c>
      <c r="H1526">
        <v>11</v>
      </c>
      <c r="I1526">
        <v>0</v>
      </c>
      <c r="J1526">
        <v>0</v>
      </c>
      <c r="K1526">
        <v>0</v>
      </c>
      <c r="L1526" s="6">
        <f t="shared" si="132"/>
        <v>1</v>
      </c>
      <c r="M1526">
        <v>232</v>
      </c>
      <c r="N1526">
        <v>53</v>
      </c>
      <c r="O1526" s="9">
        <v>0</v>
      </c>
      <c r="P1526">
        <v>1</v>
      </c>
      <c r="Q1526">
        <v>90</v>
      </c>
      <c r="R1526">
        <v>0</v>
      </c>
      <c r="S1526">
        <v>88</v>
      </c>
      <c r="T1526">
        <v>0</v>
      </c>
      <c r="U1526" s="3">
        <f t="shared" si="133"/>
        <v>0.99568965517241381</v>
      </c>
      <c r="V1526" s="3">
        <f t="shared" si="127"/>
        <v>0.99588477366255146</v>
      </c>
    </row>
    <row r="1527" spans="1:22" x14ac:dyDescent="0.25">
      <c r="A1527" s="2">
        <v>2017</v>
      </c>
      <c r="B1527" t="s">
        <v>89</v>
      </c>
      <c r="C1527" t="s">
        <v>23</v>
      </c>
      <c r="D1527" s="2" t="s">
        <v>161</v>
      </c>
      <c r="E1527" s="2" t="s">
        <v>162</v>
      </c>
      <c r="F1527" t="s">
        <v>381</v>
      </c>
      <c r="G1527">
        <v>10</v>
      </c>
      <c r="H1527">
        <v>10</v>
      </c>
      <c r="I1527">
        <v>0</v>
      </c>
      <c r="J1527">
        <v>0</v>
      </c>
      <c r="K1527">
        <v>0</v>
      </c>
      <c r="L1527" s="6">
        <f t="shared" si="128"/>
        <v>1</v>
      </c>
      <c r="M1527">
        <v>172</v>
      </c>
      <c r="N1527">
        <v>37</v>
      </c>
      <c r="O1527" s="9">
        <v>0</v>
      </c>
      <c r="P1527">
        <v>0</v>
      </c>
      <c r="Q1527">
        <v>84</v>
      </c>
      <c r="R1527">
        <v>0</v>
      </c>
      <c r="S1527">
        <v>51</v>
      </c>
      <c r="T1527">
        <v>0</v>
      </c>
      <c r="U1527" s="3">
        <f t="shared" si="129"/>
        <v>1</v>
      </c>
      <c r="V1527" s="3">
        <f t="shared" si="127"/>
        <v>1</v>
      </c>
    </row>
    <row r="1528" spans="1:22" x14ac:dyDescent="0.25">
      <c r="A1528" s="2">
        <v>2017</v>
      </c>
      <c r="B1528" t="s">
        <v>89</v>
      </c>
      <c r="C1528" t="s">
        <v>23</v>
      </c>
      <c r="D1528" s="2" t="s">
        <v>163</v>
      </c>
      <c r="E1528" s="2" t="s">
        <v>164</v>
      </c>
      <c r="F1528" t="s">
        <v>383</v>
      </c>
      <c r="G1528">
        <v>13</v>
      </c>
      <c r="H1528">
        <v>13</v>
      </c>
      <c r="I1528">
        <v>0</v>
      </c>
      <c r="J1528">
        <v>0</v>
      </c>
      <c r="K1528">
        <v>0</v>
      </c>
      <c r="L1528" s="6">
        <f t="shared" si="128"/>
        <v>1</v>
      </c>
      <c r="M1528">
        <v>275</v>
      </c>
      <c r="N1528">
        <v>41</v>
      </c>
      <c r="O1528" s="9">
        <v>0</v>
      </c>
      <c r="P1528">
        <v>2</v>
      </c>
      <c r="Q1528">
        <v>103</v>
      </c>
      <c r="R1528">
        <v>6</v>
      </c>
      <c r="S1528">
        <v>121</v>
      </c>
      <c r="T1528">
        <v>2</v>
      </c>
      <c r="U1528" s="3">
        <f t="shared" si="129"/>
        <v>0.97090909090909094</v>
      </c>
      <c r="V1528" s="3">
        <f t="shared" si="127"/>
        <v>0.97222222222222221</v>
      </c>
    </row>
    <row r="1529" spans="1:22" x14ac:dyDescent="0.25">
      <c r="A1529" s="2">
        <v>2017</v>
      </c>
      <c r="B1529" t="s">
        <v>89</v>
      </c>
      <c r="C1529" t="s">
        <v>23</v>
      </c>
      <c r="D1529" s="2" t="s">
        <v>165</v>
      </c>
      <c r="E1529" s="2" t="s">
        <v>166</v>
      </c>
      <c r="F1529" t="s">
        <v>368</v>
      </c>
      <c r="G1529">
        <v>0</v>
      </c>
      <c r="H1529">
        <v>0</v>
      </c>
      <c r="I1529">
        <v>0</v>
      </c>
      <c r="J1529">
        <v>0</v>
      </c>
      <c r="K1529">
        <v>0</v>
      </c>
      <c r="L1529" s="6">
        <f t="shared" si="128"/>
        <v>0</v>
      </c>
      <c r="M1529">
        <v>3</v>
      </c>
      <c r="N1529">
        <v>0</v>
      </c>
      <c r="O1529" s="9">
        <v>0</v>
      </c>
      <c r="P1529">
        <v>0</v>
      </c>
      <c r="Q1529">
        <v>3</v>
      </c>
      <c r="R1529">
        <v>0</v>
      </c>
      <c r="S1529">
        <v>0</v>
      </c>
      <c r="T1529">
        <v>0</v>
      </c>
      <c r="U1529" s="3">
        <f t="shared" si="129"/>
        <v>1</v>
      </c>
      <c r="V1529" s="3">
        <f t="shared" si="127"/>
        <v>1</v>
      </c>
    </row>
    <row r="1530" spans="1:22" x14ac:dyDescent="0.25">
      <c r="A1530" s="2">
        <v>2017</v>
      </c>
      <c r="B1530" t="s">
        <v>89</v>
      </c>
      <c r="C1530" t="s">
        <v>23</v>
      </c>
      <c r="D1530" s="2" t="s">
        <v>167</v>
      </c>
      <c r="E1530" s="2" t="s">
        <v>168</v>
      </c>
      <c r="F1530" t="s">
        <v>385</v>
      </c>
      <c r="G1530">
        <v>0</v>
      </c>
      <c r="H1530">
        <v>0</v>
      </c>
      <c r="I1530">
        <v>0</v>
      </c>
      <c r="J1530">
        <v>0</v>
      </c>
      <c r="K1530">
        <v>0</v>
      </c>
      <c r="L1530" s="6">
        <f t="shared" si="128"/>
        <v>0</v>
      </c>
      <c r="M1530">
        <v>5</v>
      </c>
      <c r="N1530">
        <v>0</v>
      </c>
      <c r="O1530" s="9">
        <v>0</v>
      </c>
      <c r="P1530">
        <v>0</v>
      </c>
      <c r="Q1530">
        <v>4</v>
      </c>
      <c r="R1530">
        <v>0</v>
      </c>
      <c r="S1530">
        <v>1</v>
      </c>
      <c r="T1530">
        <v>0</v>
      </c>
      <c r="U1530" s="3">
        <f t="shared" si="129"/>
        <v>1</v>
      </c>
      <c r="V1530" s="3">
        <f t="shared" si="127"/>
        <v>1</v>
      </c>
    </row>
    <row r="1531" spans="1:22" x14ac:dyDescent="0.25">
      <c r="A1531" s="2">
        <v>2017</v>
      </c>
      <c r="B1531" t="s">
        <v>89</v>
      </c>
      <c r="C1531" t="s">
        <v>23</v>
      </c>
      <c r="D1531" s="2" t="s">
        <v>169</v>
      </c>
      <c r="E1531" s="2" t="s">
        <v>81</v>
      </c>
      <c r="F1531" t="s">
        <v>421</v>
      </c>
      <c r="G1531">
        <v>0</v>
      </c>
      <c r="H1531">
        <v>0</v>
      </c>
      <c r="I1531">
        <v>0</v>
      </c>
      <c r="J1531">
        <v>0</v>
      </c>
      <c r="K1531">
        <v>0</v>
      </c>
      <c r="L1531" s="6">
        <f t="shared" si="128"/>
        <v>0</v>
      </c>
      <c r="M1531">
        <v>1</v>
      </c>
      <c r="N1531">
        <v>1</v>
      </c>
      <c r="O1531" s="9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s="3">
        <f t="shared" si="129"/>
        <v>1</v>
      </c>
      <c r="V1531" s="3">
        <f t="shared" si="127"/>
        <v>1</v>
      </c>
    </row>
    <row r="1532" spans="1:22" x14ac:dyDescent="0.25">
      <c r="A1532" s="2">
        <v>2017</v>
      </c>
      <c r="B1532" t="s">
        <v>89</v>
      </c>
      <c r="C1532" t="s">
        <v>23</v>
      </c>
      <c r="D1532" s="2" t="s">
        <v>170</v>
      </c>
      <c r="E1532" s="2" t="s">
        <v>171</v>
      </c>
      <c r="F1532" t="s">
        <v>387</v>
      </c>
      <c r="G1532">
        <v>24</v>
      </c>
      <c r="H1532">
        <v>24</v>
      </c>
      <c r="I1532">
        <v>0</v>
      </c>
      <c r="J1532">
        <v>0</v>
      </c>
      <c r="K1532">
        <v>0</v>
      </c>
      <c r="L1532" s="6">
        <f t="shared" si="128"/>
        <v>1</v>
      </c>
      <c r="M1532">
        <v>404</v>
      </c>
      <c r="N1532">
        <v>78</v>
      </c>
      <c r="O1532" s="9">
        <v>0</v>
      </c>
      <c r="P1532">
        <v>0</v>
      </c>
      <c r="Q1532">
        <v>167</v>
      </c>
      <c r="R1532">
        <v>0</v>
      </c>
      <c r="S1532">
        <v>159</v>
      </c>
      <c r="T1532">
        <v>0</v>
      </c>
      <c r="U1532" s="3">
        <f t="shared" si="129"/>
        <v>1</v>
      </c>
      <c r="V1532" s="3">
        <f t="shared" si="127"/>
        <v>1</v>
      </c>
    </row>
    <row r="1533" spans="1:22" x14ac:dyDescent="0.25">
      <c r="A1533" s="2">
        <v>2017</v>
      </c>
      <c r="B1533" t="s">
        <v>89</v>
      </c>
      <c r="C1533" t="s">
        <v>23</v>
      </c>
      <c r="D1533" s="2" t="s">
        <v>172</v>
      </c>
      <c r="E1533" s="2" t="s">
        <v>173</v>
      </c>
      <c r="F1533" t="s">
        <v>388</v>
      </c>
      <c r="G1533">
        <v>6</v>
      </c>
      <c r="H1533">
        <v>6</v>
      </c>
      <c r="I1533">
        <v>0</v>
      </c>
      <c r="J1533">
        <v>0</v>
      </c>
      <c r="K1533">
        <v>0</v>
      </c>
      <c r="L1533" s="6">
        <f t="shared" si="128"/>
        <v>1</v>
      </c>
      <c r="M1533">
        <v>166</v>
      </c>
      <c r="N1533">
        <v>27</v>
      </c>
      <c r="O1533" s="9">
        <v>0</v>
      </c>
      <c r="P1533">
        <v>0</v>
      </c>
      <c r="Q1533">
        <v>61</v>
      </c>
      <c r="R1533">
        <v>0</v>
      </c>
      <c r="S1533">
        <v>78</v>
      </c>
      <c r="T1533">
        <v>0</v>
      </c>
      <c r="U1533" s="3">
        <f t="shared" si="129"/>
        <v>1</v>
      </c>
      <c r="V1533" s="3">
        <f t="shared" ref="V1533:V1596" si="136">IF(AND(G1533=0,M1533=0),0,(H1533+I1533+J1533+N1533+Q1533+S1533+T1533)/(G1533+M1533))</f>
        <v>1</v>
      </c>
    </row>
    <row r="1534" spans="1:22" x14ac:dyDescent="0.25">
      <c r="A1534" s="2">
        <v>2017</v>
      </c>
      <c r="B1534" t="s">
        <v>89</v>
      </c>
      <c r="C1534" t="s">
        <v>23</v>
      </c>
      <c r="D1534" s="2" t="s">
        <v>174</v>
      </c>
      <c r="E1534" s="2" t="s">
        <v>175</v>
      </c>
      <c r="F1534" t="s">
        <v>389</v>
      </c>
      <c r="G1534">
        <v>26</v>
      </c>
      <c r="H1534">
        <v>26</v>
      </c>
      <c r="I1534">
        <v>0</v>
      </c>
      <c r="J1534">
        <v>0</v>
      </c>
      <c r="K1534">
        <v>0</v>
      </c>
      <c r="L1534" s="6">
        <f t="shared" si="128"/>
        <v>1</v>
      </c>
      <c r="M1534">
        <v>331</v>
      </c>
      <c r="N1534">
        <v>54</v>
      </c>
      <c r="O1534" s="9">
        <v>0</v>
      </c>
      <c r="P1534">
        <v>0</v>
      </c>
      <c r="Q1534">
        <v>114</v>
      </c>
      <c r="R1534">
        <v>0</v>
      </c>
      <c r="S1534">
        <v>163</v>
      </c>
      <c r="T1534">
        <v>0</v>
      </c>
      <c r="U1534" s="3">
        <f t="shared" si="129"/>
        <v>1</v>
      </c>
      <c r="V1534" s="3">
        <f t="shared" si="136"/>
        <v>1</v>
      </c>
    </row>
    <row r="1535" spans="1:22" x14ac:dyDescent="0.25">
      <c r="A1535" s="2">
        <v>2017</v>
      </c>
      <c r="B1535" t="s">
        <v>89</v>
      </c>
      <c r="C1535" t="s">
        <v>23</v>
      </c>
      <c r="D1535" s="2" t="s">
        <v>176</v>
      </c>
      <c r="E1535" s="2" t="s">
        <v>177</v>
      </c>
      <c r="F1535" t="s">
        <v>346</v>
      </c>
      <c r="G1535">
        <v>0</v>
      </c>
      <c r="H1535">
        <v>0</v>
      </c>
      <c r="I1535">
        <v>0</v>
      </c>
      <c r="J1535">
        <v>0</v>
      </c>
      <c r="K1535">
        <v>0</v>
      </c>
      <c r="L1535" s="6">
        <f t="shared" ref="L1535:L1565" si="137">IF(G1535=0,0,SUM(H1535:J1535)/G1535)</f>
        <v>0</v>
      </c>
      <c r="M1535">
        <v>3</v>
      </c>
      <c r="N1535">
        <v>1</v>
      </c>
      <c r="O1535" s="9">
        <v>0</v>
      </c>
      <c r="P1535">
        <v>0</v>
      </c>
      <c r="Q1535">
        <v>2</v>
      </c>
      <c r="R1535">
        <v>0</v>
      </c>
      <c r="S1535">
        <v>0</v>
      </c>
      <c r="T1535">
        <v>0</v>
      </c>
      <c r="U1535" s="3">
        <f t="shared" ref="U1535:U1565" si="138">IF(M1535=0,0,((N1535+O1535+Q1535+S1535+T1535)/M1535))</f>
        <v>1</v>
      </c>
      <c r="V1535" s="3">
        <f t="shared" si="136"/>
        <v>1</v>
      </c>
    </row>
    <row r="1536" spans="1:22" x14ac:dyDescent="0.25">
      <c r="A1536" s="2">
        <v>2017</v>
      </c>
      <c r="B1536" t="s">
        <v>89</v>
      </c>
      <c r="C1536" t="s">
        <v>24</v>
      </c>
      <c r="D1536" s="2">
        <v>136</v>
      </c>
      <c r="E1536" s="2" t="s">
        <v>116</v>
      </c>
      <c r="F1536" t="s">
        <v>41</v>
      </c>
      <c r="G1536">
        <v>0</v>
      </c>
      <c r="H1536">
        <v>0</v>
      </c>
      <c r="I1536">
        <v>0</v>
      </c>
      <c r="J1536">
        <v>0</v>
      </c>
      <c r="K1536">
        <v>0</v>
      </c>
      <c r="L1536" s="6">
        <f t="shared" si="137"/>
        <v>0</v>
      </c>
      <c r="M1536">
        <v>2</v>
      </c>
      <c r="N1536">
        <v>0</v>
      </c>
      <c r="O1536" s="9">
        <v>0</v>
      </c>
      <c r="P1536">
        <v>0</v>
      </c>
      <c r="Q1536">
        <v>1</v>
      </c>
      <c r="R1536">
        <v>0</v>
      </c>
      <c r="S1536">
        <v>1</v>
      </c>
      <c r="T1536">
        <v>0</v>
      </c>
      <c r="U1536" s="3">
        <f t="shared" si="138"/>
        <v>1</v>
      </c>
      <c r="V1536" s="3">
        <f t="shared" si="136"/>
        <v>1</v>
      </c>
    </row>
    <row r="1537" spans="1:22" x14ac:dyDescent="0.25">
      <c r="A1537" s="2">
        <v>2017</v>
      </c>
      <c r="B1537" t="s">
        <v>89</v>
      </c>
      <c r="C1537" t="s">
        <v>24</v>
      </c>
      <c r="D1537" s="2" t="s">
        <v>178</v>
      </c>
      <c r="E1537" s="2" t="s">
        <v>179</v>
      </c>
      <c r="F1537" t="s">
        <v>390</v>
      </c>
      <c r="G1537">
        <v>8</v>
      </c>
      <c r="H1537">
        <v>8</v>
      </c>
      <c r="I1537">
        <v>0</v>
      </c>
      <c r="J1537">
        <v>0</v>
      </c>
      <c r="K1537">
        <v>0</v>
      </c>
      <c r="L1537" s="6">
        <f t="shared" si="137"/>
        <v>1</v>
      </c>
      <c r="M1537">
        <v>326</v>
      </c>
      <c r="N1537">
        <v>60</v>
      </c>
      <c r="O1537" s="9">
        <v>0</v>
      </c>
      <c r="P1537">
        <v>0</v>
      </c>
      <c r="Q1537">
        <v>163</v>
      </c>
      <c r="R1537">
        <v>1</v>
      </c>
      <c r="S1537">
        <v>102</v>
      </c>
      <c r="T1537">
        <v>0</v>
      </c>
      <c r="U1537" s="3">
        <f t="shared" si="138"/>
        <v>0.99693251533742333</v>
      </c>
      <c r="V1537" s="3">
        <f t="shared" si="136"/>
        <v>0.99700598802395213</v>
      </c>
    </row>
    <row r="1538" spans="1:22" x14ac:dyDescent="0.25">
      <c r="A1538" s="2">
        <v>2017</v>
      </c>
      <c r="B1538" t="s">
        <v>89</v>
      </c>
      <c r="C1538" t="s">
        <v>24</v>
      </c>
      <c r="D1538" s="2" t="s">
        <v>180</v>
      </c>
      <c r="E1538" s="2" t="s">
        <v>181</v>
      </c>
      <c r="F1538" t="s">
        <v>391</v>
      </c>
      <c r="G1538">
        <v>20</v>
      </c>
      <c r="H1538">
        <v>20</v>
      </c>
      <c r="I1538">
        <v>0</v>
      </c>
      <c r="J1538">
        <v>0</v>
      </c>
      <c r="K1538">
        <v>0</v>
      </c>
      <c r="L1538" s="6">
        <f t="shared" si="137"/>
        <v>1</v>
      </c>
      <c r="M1538">
        <v>301</v>
      </c>
      <c r="N1538">
        <v>58</v>
      </c>
      <c r="O1538" s="9">
        <v>0</v>
      </c>
      <c r="P1538">
        <v>0</v>
      </c>
      <c r="Q1538">
        <v>115</v>
      </c>
      <c r="R1538">
        <v>1</v>
      </c>
      <c r="S1538">
        <v>126</v>
      </c>
      <c r="T1538">
        <v>1</v>
      </c>
      <c r="U1538" s="3">
        <f t="shared" si="138"/>
        <v>0.99667774086378735</v>
      </c>
      <c r="V1538" s="3">
        <f t="shared" si="136"/>
        <v>0.99688473520249221</v>
      </c>
    </row>
    <row r="1539" spans="1:22" x14ac:dyDescent="0.25">
      <c r="A1539" s="2">
        <v>2017</v>
      </c>
      <c r="B1539" t="s">
        <v>89</v>
      </c>
      <c r="C1539" t="s">
        <v>24</v>
      </c>
      <c r="D1539" s="2" t="s">
        <v>182</v>
      </c>
      <c r="E1539" s="2" t="s">
        <v>183</v>
      </c>
      <c r="F1539" t="s">
        <v>393</v>
      </c>
      <c r="G1539">
        <v>14</v>
      </c>
      <c r="H1539">
        <v>14</v>
      </c>
      <c r="I1539">
        <v>0</v>
      </c>
      <c r="J1539">
        <v>0</v>
      </c>
      <c r="K1539">
        <v>0</v>
      </c>
      <c r="L1539" s="6">
        <f t="shared" si="137"/>
        <v>1</v>
      </c>
      <c r="M1539">
        <v>183</v>
      </c>
      <c r="N1539">
        <v>27</v>
      </c>
      <c r="O1539" s="9">
        <v>0</v>
      </c>
      <c r="P1539">
        <v>0</v>
      </c>
      <c r="Q1539">
        <v>95</v>
      </c>
      <c r="R1539">
        <v>1</v>
      </c>
      <c r="S1539">
        <v>58</v>
      </c>
      <c r="T1539">
        <v>2</v>
      </c>
      <c r="U1539" s="3">
        <f t="shared" si="138"/>
        <v>0.99453551912568305</v>
      </c>
      <c r="V1539" s="3">
        <f t="shared" si="136"/>
        <v>0.99492385786802029</v>
      </c>
    </row>
    <row r="1540" spans="1:22" x14ac:dyDescent="0.25">
      <c r="A1540" s="2">
        <v>2017</v>
      </c>
      <c r="B1540" t="s">
        <v>89</v>
      </c>
      <c r="C1540" t="s">
        <v>24</v>
      </c>
      <c r="D1540" s="2" t="s">
        <v>119</v>
      </c>
      <c r="E1540" s="2" t="s">
        <v>65</v>
      </c>
      <c r="F1540" t="s">
        <v>355</v>
      </c>
      <c r="G1540">
        <v>0</v>
      </c>
      <c r="H1540">
        <v>0</v>
      </c>
      <c r="I1540">
        <v>0</v>
      </c>
      <c r="J1540">
        <v>0</v>
      </c>
      <c r="K1540">
        <v>0</v>
      </c>
      <c r="L1540" s="6">
        <f t="shared" si="137"/>
        <v>0</v>
      </c>
      <c r="M1540">
        <v>1</v>
      </c>
      <c r="N1540">
        <v>0</v>
      </c>
      <c r="O1540" s="9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 s="3">
        <f t="shared" si="138"/>
        <v>1</v>
      </c>
      <c r="V1540" s="3">
        <f t="shared" si="136"/>
        <v>1</v>
      </c>
    </row>
    <row r="1541" spans="1:22" x14ac:dyDescent="0.25">
      <c r="A1541" s="2">
        <v>2017</v>
      </c>
      <c r="B1541" t="s">
        <v>89</v>
      </c>
      <c r="C1541" t="s">
        <v>24</v>
      </c>
      <c r="D1541" s="2" t="s">
        <v>184</v>
      </c>
      <c r="E1541" s="2" t="s">
        <v>153</v>
      </c>
      <c r="F1541" t="s">
        <v>375</v>
      </c>
      <c r="G1541">
        <v>0</v>
      </c>
      <c r="H1541">
        <v>0</v>
      </c>
      <c r="I1541">
        <v>0</v>
      </c>
      <c r="J1541">
        <v>0</v>
      </c>
      <c r="K1541">
        <v>0</v>
      </c>
      <c r="L1541" s="6">
        <f t="shared" si="137"/>
        <v>0</v>
      </c>
      <c r="M1541">
        <v>1</v>
      </c>
      <c r="N1541">
        <v>0</v>
      </c>
      <c r="O1541" s="9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 s="3">
        <f t="shared" si="138"/>
        <v>1</v>
      </c>
      <c r="V1541" s="3">
        <f t="shared" si="136"/>
        <v>1</v>
      </c>
    </row>
    <row r="1542" spans="1:22" x14ac:dyDescent="0.25">
      <c r="A1542" s="2">
        <v>2017</v>
      </c>
      <c r="B1542" t="s">
        <v>89</v>
      </c>
      <c r="C1542" t="s">
        <v>24</v>
      </c>
      <c r="D1542" s="2" t="s">
        <v>185</v>
      </c>
      <c r="E1542" s="2" t="s">
        <v>186</v>
      </c>
      <c r="F1542" t="s">
        <v>394</v>
      </c>
      <c r="G1542">
        <v>5</v>
      </c>
      <c r="H1542">
        <v>5</v>
      </c>
      <c r="I1542">
        <v>0</v>
      </c>
      <c r="J1542">
        <v>0</v>
      </c>
      <c r="K1542">
        <v>0</v>
      </c>
      <c r="L1542" s="6">
        <f t="shared" si="137"/>
        <v>1</v>
      </c>
      <c r="M1542">
        <v>178</v>
      </c>
      <c r="N1542">
        <v>26</v>
      </c>
      <c r="O1542" s="9">
        <v>0</v>
      </c>
      <c r="P1542">
        <v>0</v>
      </c>
      <c r="Q1542">
        <v>73</v>
      </c>
      <c r="R1542">
        <v>0</v>
      </c>
      <c r="S1542">
        <v>77</v>
      </c>
      <c r="T1542">
        <v>2</v>
      </c>
      <c r="U1542" s="3">
        <f t="shared" si="138"/>
        <v>1</v>
      </c>
      <c r="V1542" s="3">
        <f t="shared" si="136"/>
        <v>1</v>
      </c>
    </row>
    <row r="1543" spans="1:22" x14ac:dyDescent="0.25">
      <c r="A1543" s="2">
        <v>2017</v>
      </c>
      <c r="B1543" t="s">
        <v>89</v>
      </c>
      <c r="C1543" t="s">
        <v>24</v>
      </c>
      <c r="D1543" s="2" t="s">
        <v>187</v>
      </c>
      <c r="E1543" s="2" t="s">
        <v>188</v>
      </c>
      <c r="F1543" t="s">
        <v>395</v>
      </c>
      <c r="G1543">
        <v>8</v>
      </c>
      <c r="H1543">
        <v>8</v>
      </c>
      <c r="I1543">
        <v>0</v>
      </c>
      <c r="J1543">
        <v>0</v>
      </c>
      <c r="K1543">
        <v>0</v>
      </c>
      <c r="L1543" s="6">
        <f t="shared" si="137"/>
        <v>1</v>
      </c>
      <c r="M1543">
        <v>213</v>
      </c>
      <c r="N1543">
        <v>38</v>
      </c>
      <c r="O1543" s="9">
        <v>0</v>
      </c>
      <c r="P1543">
        <v>2</v>
      </c>
      <c r="Q1543">
        <v>93</v>
      </c>
      <c r="R1543">
        <v>0</v>
      </c>
      <c r="S1543">
        <v>80</v>
      </c>
      <c r="T1543">
        <v>0</v>
      </c>
      <c r="U1543" s="3">
        <f t="shared" si="138"/>
        <v>0.99061032863849763</v>
      </c>
      <c r="V1543" s="3">
        <f t="shared" si="136"/>
        <v>0.99095022624434392</v>
      </c>
    </row>
    <row r="1544" spans="1:22" x14ac:dyDescent="0.25">
      <c r="A1544" s="2">
        <v>2017</v>
      </c>
      <c r="B1544" t="s">
        <v>89</v>
      </c>
      <c r="C1544" t="s">
        <v>24</v>
      </c>
      <c r="D1544" s="2" t="s">
        <v>189</v>
      </c>
      <c r="E1544" s="2" t="s">
        <v>190</v>
      </c>
      <c r="F1544" t="s">
        <v>397</v>
      </c>
      <c r="G1544">
        <v>8</v>
      </c>
      <c r="H1544">
        <v>8</v>
      </c>
      <c r="I1544">
        <v>0</v>
      </c>
      <c r="J1544">
        <v>0</v>
      </c>
      <c r="K1544">
        <v>0</v>
      </c>
      <c r="L1544" s="6">
        <f t="shared" si="137"/>
        <v>1</v>
      </c>
      <c r="M1544">
        <v>221</v>
      </c>
      <c r="N1544">
        <v>47</v>
      </c>
      <c r="O1544" s="9">
        <v>0</v>
      </c>
      <c r="P1544">
        <v>0</v>
      </c>
      <c r="Q1544">
        <v>82</v>
      </c>
      <c r="R1544">
        <v>0</v>
      </c>
      <c r="S1544">
        <v>91</v>
      </c>
      <c r="T1544">
        <v>1</v>
      </c>
      <c r="U1544" s="3">
        <f t="shared" si="138"/>
        <v>1</v>
      </c>
      <c r="V1544" s="3">
        <f t="shared" si="136"/>
        <v>1</v>
      </c>
    </row>
    <row r="1545" spans="1:22" x14ac:dyDescent="0.25">
      <c r="A1545" s="2">
        <v>2017</v>
      </c>
      <c r="B1545" t="s">
        <v>89</v>
      </c>
      <c r="C1545" t="s">
        <v>24</v>
      </c>
      <c r="D1545" s="2" t="s">
        <v>191</v>
      </c>
      <c r="E1545" s="2" t="s">
        <v>192</v>
      </c>
      <c r="F1545" t="s">
        <v>398</v>
      </c>
      <c r="G1545">
        <v>16</v>
      </c>
      <c r="H1545">
        <v>15</v>
      </c>
      <c r="I1545">
        <v>0</v>
      </c>
      <c r="J1545">
        <v>0</v>
      </c>
      <c r="K1545">
        <v>1</v>
      </c>
      <c r="L1545" s="6">
        <f t="shared" si="137"/>
        <v>0.9375</v>
      </c>
      <c r="M1545">
        <v>240</v>
      </c>
      <c r="N1545">
        <v>35</v>
      </c>
      <c r="O1545" s="9">
        <v>0</v>
      </c>
      <c r="P1545">
        <v>0</v>
      </c>
      <c r="Q1545">
        <v>120</v>
      </c>
      <c r="R1545">
        <v>1</v>
      </c>
      <c r="S1545">
        <v>84</v>
      </c>
      <c r="T1545">
        <v>0</v>
      </c>
      <c r="U1545" s="3">
        <f t="shared" si="138"/>
        <v>0.99583333333333335</v>
      </c>
      <c r="V1545" s="3">
        <f t="shared" si="136"/>
        <v>0.9921875</v>
      </c>
    </row>
    <row r="1546" spans="1:22" x14ac:dyDescent="0.25">
      <c r="A1546" s="2">
        <v>2017</v>
      </c>
      <c r="B1546" t="s">
        <v>89</v>
      </c>
      <c r="C1546" t="s">
        <v>24</v>
      </c>
      <c r="D1546" s="2" t="s">
        <v>193</v>
      </c>
      <c r="E1546" s="2" t="s">
        <v>194</v>
      </c>
      <c r="F1546" t="s">
        <v>400</v>
      </c>
      <c r="G1546">
        <v>6</v>
      </c>
      <c r="H1546">
        <v>6</v>
      </c>
      <c r="I1546">
        <v>0</v>
      </c>
      <c r="J1546">
        <v>0</v>
      </c>
      <c r="K1546">
        <v>0</v>
      </c>
      <c r="L1546" s="6">
        <f t="shared" si="137"/>
        <v>1</v>
      </c>
      <c r="M1546">
        <v>97</v>
      </c>
      <c r="N1546">
        <v>14</v>
      </c>
      <c r="O1546" s="9">
        <v>0</v>
      </c>
      <c r="P1546">
        <v>0</v>
      </c>
      <c r="Q1546">
        <v>44</v>
      </c>
      <c r="R1546">
        <v>0</v>
      </c>
      <c r="S1546">
        <v>39</v>
      </c>
      <c r="T1546">
        <v>0</v>
      </c>
      <c r="U1546" s="3">
        <f t="shared" si="138"/>
        <v>1</v>
      </c>
      <c r="V1546" s="3">
        <f t="shared" si="136"/>
        <v>1</v>
      </c>
    </row>
    <row r="1547" spans="1:22" x14ac:dyDescent="0.25">
      <c r="A1547" s="2">
        <v>2017</v>
      </c>
      <c r="B1547" t="s">
        <v>89</v>
      </c>
      <c r="C1547" t="s">
        <v>24</v>
      </c>
      <c r="D1547" s="2" t="s">
        <v>195</v>
      </c>
      <c r="E1547" s="2" t="s">
        <v>196</v>
      </c>
      <c r="F1547" t="s">
        <v>401</v>
      </c>
      <c r="G1547">
        <v>14</v>
      </c>
      <c r="H1547">
        <v>14</v>
      </c>
      <c r="I1547">
        <v>0</v>
      </c>
      <c r="J1547">
        <v>0</v>
      </c>
      <c r="K1547">
        <v>0</v>
      </c>
      <c r="L1547" s="6">
        <f t="shared" si="137"/>
        <v>1</v>
      </c>
      <c r="M1547">
        <v>214</v>
      </c>
      <c r="N1547">
        <v>40</v>
      </c>
      <c r="O1547" s="9">
        <v>0</v>
      </c>
      <c r="P1547">
        <v>1</v>
      </c>
      <c r="Q1547">
        <v>87</v>
      </c>
      <c r="R1547">
        <v>0</v>
      </c>
      <c r="S1547">
        <v>85</v>
      </c>
      <c r="T1547">
        <v>1</v>
      </c>
      <c r="U1547" s="3">
        <f t="shared" si="138"/>
        <v>0.99532710280373837</v>
      </c>
      <c r="V1547" s="3">
        <f t="shared" si="136"/>
        <v>0.99561403508771928</v>
      </c>
    </row>
    <row r="1548" spans="1:22" x14ac:dyDescent="0.25">
      <c r="A1548" s="2">
        <v>2017</v>
      </c>
      <c r="B1548" t="s">
        <v>89</v>
      </c>
      <c r="C1548" t="s">
        <v>24</v>
      </c>
      <c r="D1548" s="2" t="s">
        <v>197</v>
      </c>
      <c r="E1548" s="2" t="s">
        <v>198</v>
      </c>
      <c r="F1548" t="s">
        <v>503</v>
      </c>
      <c r="G1548">
        <v>15</v>
      </c>
      <c r="H1548">
        <v>15</v>
      </c>
      <c r="I1548">
        <v>0</v>
      </c>
      <c r="J1548">
        <v>0</v>
      </c>
      <c r="K1548">
        <v>0</v>
      </c>
      <c r="L1548" s="6">
        <f t="shared" si="137"/>
        <v>1</v>
      </c>
      <c r="M1548">
        <v>288</v>
      </c>
      <c r="N1548">
        <v>52</v>
      </c>
      <c r="O1548" s="9">
        <v>0</v>
      </c>
      <c r="P1548">
        <v>1</v>
      </c>
      <c r="Q1548">
        <v>140</v>
      </c>
      <c r="R1548">
        <v>1</v>
      </c>
      <c r="S1548">
        <v>94</v>
      </c>
      <c r="T1548">
        <v>0</v>
      </c>
      <c r="U1548" s="3">
        <f t="shared" si="138"/>
        <v>0.99305555555555558</v>
      </c>
      <c r="V1548" s="3">
        <f t="shared" si="136"/>
        <v>0.99339933993399343</v>
      </c>
    </row>
    <row r="1549" spans="1:22" x14ac:dyDescent="0.25">
      <c r="A1549" s="2">
        <v>2017</v>
      </c>
      <c r="B1549" t="s">
        <v>89</v>
      </c>
      <c r="C1549" t="s">
        <v>24</v>
      </c>
      <c r="D1549" s="2" t="s">
        <v>136</v>
      </c>
      <c r="E1549" s="2" t="s">
        <v>137</v>
      </c>
      <c r="F1549" t="s">
        <v>34</v>
      </c>
      <c r="G1549">
        <v>0</v>
      </c>
      <c r="H1549">
        <v>0</v>
      </c>
      <c r="I1549">
        <v>0</v>
      </c>
      <c r="J1549">
        <v>0</v>
      </c>
      <c r="K1549">
        <v>0</v>
      </c>
      <c r="L1549" s="6">
        <f t="shared" si="137"/>
        <v>0</v>
      </c>
      <c r="M1549">
        <v>1</v>
      </c>
      <c r="N1549">
        <v>0</v>
      </c>
      <c r="O1549" s="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 s="3">
        <f t="shared" si="138"/>
        <v>1</v>
      </c>
      <c r="V1549" s="3">
        <f t="shared" si="136"/>
        <v>1</v>
      </c>
    </row>
    <row r="1550" spans="1:22" x14ac:dyDescent="0.25">
      <c r="A1550" s="2">
        <v>2017</v>
      </c>
      <c r="B1550" t="s">
        <v>89</v>
      </c>
      <c r="C1550" t="s">
        <v>24</v>
      </c>
      <c r="D1550" s="2" t="s">
        <v>199</v>
      </c>
      <c r="E1550" s="2" t="s">
        <v>200</v>
      </c>
      <c r="F1550" t="s">
        <v>402</v>
      </c>
      <c r="G1550">
        <v>6</v>
      </c>
      <c r="H1550">
        <v>6</v>
      </c>
      <c r="I1550">
        <v>0</v>
      </c>
      <c r="J1550">
        <v>0</v>
      </c>
      <c r="K1550">
        <v>0</v>
      </c>
      <c r="L1550" s="6">
        <f t="shared" si="137"/>
        <v>1</v>
      </c>
      <c r="M1550">
        <v>149</v>
      </c>
      <c r="N1550">
        <v>23</v>
      </c>
      <c r="O1550" s="9">
        <v>0</v>
      </c>
      <c r="P1550">
        <v>0</v>
      </c>
      <c r="Q1550">
        <v>72</v>
      </c>
      <c r="R1550">
        <v>0</v>
      </c>
      <c r="S1550">
        <v>54</v>
      </c>
      <c r="T1550">
        <v>0</v>
      </c>
      <c r="U1550" s="3">
        <f t="shared" si="138"/>
        <v>1</v>
      </c>
      <c r="V1550" s="3">
        <f t="shared" si="136"/>
        <v>1</v>
      </c>
    </row>
    <row r="1551" spans="1:22" x14ac:dyDescent="0.25">
      <c r="A1551" s="2">
        <v>2017</v>
      </c>
      <c r="B1551" t="s">
        <v>89</v>
      </c>
      <c r="C1551" t="s">
        <v>24</v>
      </c>
      <c r="D1551" s="2" t="s">
        <v>201</v>
      </c>
      <c r="E1551" s="2" t="s">
        <v>202</v>
      </c>
      <c r="F1551" t="s">
        <v>403</v>
      </c>
      <c r="G1551">
        <v>0</v>
      </c>
      <c r="H1551">
        <v>0</v>
      </c>
      <c r="I1551">
        <v>0</v>
      </c>
      <c r="J1551">
        <v>0</v>
      </c>
      <c r="K1551">
        <v>0</v>
      </c>
      <c r="L1551" s="6">
        <f t="shared" si="137"/>
        <v>0</v>
      </c>
      <c r="M1551">
        <v>1</v>
      </c>
      <c r="N1551">
        <v>0</v>
      </c>
      <c r="O1551" s="9">
        <v>0</v>
      </c>
      <c r="P1551">
        <v>0</v>
      </c>
      <c r="Q1551">
        <v>0</v>
      </c>
      <c r="R1551">
        <v>0</v>
      </c>
      <c r="S1551">
        <v>1</v>
      </c>
      <c r="T1551">
        <v>0</v>
      </c>
      <c r="U1551" s="3">
        <f t="shared" si="138"/>
        <v>1</v>
      </c>
      <c r="V1551" s="3">
        <f t="shared" si="136"/>
        <v>1</v>
      </c>
    </row>
    <row r="1552" spans="1:22" x14ac:dyDescent="0.25">
      <c r="A1552" s="2">
        <v>2017</v>
      </c>
      <c r="B1552" t="s">
        <v>89</v>
      </c>
      <c r="C1552" t="s">
        <v>24</v>
      </c>
      <c r="D1552" s="2" t="s">
        <v>203</v>
      </c>
      <c r="E1552" s="2" t="s">
        <v>204</v>
      </c>
      <c r="F1552" t="s">
        <v>28</v>
      </c>
      <c r="G1552">
        <v>9</v>
      </c>
      <c r="H1552">
        <v>9</v>
      </c>
      <c r="I1552">
        <v>0</v>
      </c>
      <c r="J1552">
        <v>0</v>
      </c>
      <c r="K1552">
        <v>0</v>
      </c>
      <c r="L1552" s="6">
        <f t="shared" si="137"/>
        <v>1</v>
      </c>
      <c r="M1552">
        <v>205</v>
      </c>
      <c r="N1552">
        <v>35</v>
      </c>
      <c r="O1552" s="9">
        <v>0</v>
      </c>
      <c r="P1552">
        <v>0</v>
      </c>
      <c r="Q1552">
        <v>76</v>
      </c>
      <c r="R1552">
        <v>1</v>
      </c>
      <c r="S1552">
        <v>93</v>
      </c>
      <c r="T1552">
        <v>0</v>
      </c>
      <c r="U1552" s="3">
        <f t="shared" si="138"/>
        <v>0.99512195121951219</v>
      </c>
      <c r="V1552" s="3">
        <f t="shared" si="136"/>
        <v>0.99532710280373837</v>
      </c>
    </row>
    <row r="1553" spans="1:22" x14ac:dyDescent="0.25">
      <c r="A1553" s="2">
        <v>2017</v>
      </c>
      <c r="B1553" t="s">
        <v>89</v>
      </c>
      <c r="C1553" t="s">
        <v>24</v>
      </c>
      <c r="D1553" s="2" t="s">
        <v>205</v>
      </c>
      <c r="E1553" s="2" t="s">
        <v>206</v>
      </c>
      <c r="F1553" t="s">
        <v>404</v>
      </c>
      <c r="G1553">
        <v>2</v>
      </c>
      <c r="H1553">
        <v>2</v>
      </c>
      <c r="I1553">
        <v>0</v>
      </c>
      <c r="J1553">
        <v>0</v>
      </c>
      <c r="K1553">
        <v>0</v>
      </c>
      <c r="L1553" s="6">
        <f t="shared" si="137"/>
        <v>1</v>
      </c>
      <c r="M1553">
        <v>64</v>
      </c>
      <c r="N1553">
        <v>11</v>
      </c>
      <c r="O1553" s="9">
        <v>0</v>
      </c>
      <c r="P1553">
        <v>0</v>
      </c>
      <c r="Q1553">
        <v>33</v>
      </c>
      <c r="R1553">
        <v>0</v>
      </c>
      <c r="S1553">
        <v>20</v>
      </c>
      <c r="T1553">
        <v>0</v>
      </c>
      <c r="U1553" s="3">
        <f t="shared" si="138"/>
        <v>1</v>
      </c>
      <c r="V1553" s="3">
        <f t="shared" si="136"/>
        <v>1</v>
      </c>
    </row>
    <row r="1554" spans="1:22" x14ac:dyDescent="0.25">
      <c r="A1554" s="2">
        <v>2017</v>
      </c>
      <c r="B1554" t="s">
        <v>89</v>
      </c>
      <c r="C1554" t="s">
        <v>24</v>
      </c>
      <c r="D1554" s="2" t="s">
        <v>207</v>
      </c>
      <c r="E1554" s="2" t="s">
        <v>208</v>
      </c>
      <c r="F1554" t="s">
        <v>29</v>
      </c>
      <c r="G1554">
        <v>25</v>
      </c>
      <c r="H1554">
        <v>25</v>
      </c>
      <c r="I1554">
        <v>0</v>
      </c>
      <c r="J1554">
        <v>0</v>
      </c>
      <c r="K1554">
        <v>0</v>
      </c>
      <c r="L1554" s="6">
        <f t="shared" si="137"/>
        <v>1</v>
      </c>
      <c r="M1554">
        <v>304</v>
      </c>
      <c r="N1554">
        <v>57</v>
      </c>
      <c r="O1554" s="9">
        <v>0</v>
      </c>
      <c r="P1554">
        <v>0</v>
      </c>
      <c r="Q1554">
        <v>125</v>
      </c>
      <c r="R1554">
        <v>0</v>
      </c>
      <c r="S1554">
        <v>122</v>
      </c>
      <c r="T1554">
        <v>0</v>
      </c>
      <c r="U1554" s="3">
        <f t="shared" si="138"/>
        <v>1</v>
      </c>
      <c r="V1554" s="3">
        <f t="shared" si="136"/>
        <v>1</v>
      </c>
    </row>
    <row r="1555" spans="1:22" x14ac:dyDescent="0.25">
      <c r="A1555" s="2">
        <v>2017</v>
      </c>
      <c r="B1555" t="s">
        <v>89</v>
      </c>
      <c r="C1555" t="s">
        <v>24</v>
      </c>
      <c r="D1555" s="2" t="s">
        <v>209</v>
      </c>
      <c r="E1555" s="2" t="s">
        <v>210</v>
      </c>
      <c r="F1555" t="s">
        <v>504</v>
      </c>
      <c r="G1555">
        <v>2</v>
      </c>
      <c r="H1555">
        <v>2</v>
      </c>
      <c r="I1555">
        <v>0</v>
      </c>
      <c r="J1555">
        <v>0</v>
      </c>
      <c r="K1555">
        <v>0</v>
      </c>
      <c r="L1555" s="6">
        <f t="shared" si="137"/>
        <v>1</v>
      </c>
      <c r="M1555">
        <v>48</v>
      </c>
      <c r="N1555">
        <v>12</v>
      </c>
      <c r="O1555" s="9">
        <v>0</v>
      </c>
      <c r="P1555">
        <v>0</v>
      </c>
      <c r="Q1555">
        <v>23</v>
      </c>
      <c r="R1555">
        <v>0</v>
      </c>
      <c r="S1555">
        <v>13</v>
      </c>
      <c r="T1555">
        <v>0</v>
      </c>
      <c r="U1555" s="3">
        <f t="shared" si="138"/>
        <v>1</v>
      </c>
      <c r="V1555" s="3">
        <f t="shared" si="136"/>
        <v>1</v>
      </c>
    </row>
    <row r="1556" spans="1:22" x14ac:dyDescent="0.25">
      <c r="A1556" s="2">
        <v>2017</v>
      </c>
      <c r="B1556" t="s">
        <v>89</v>
      </c>
      <c r="C1556" t="s">
        <v>24</v>
      </c>
      <c r="D1556" s="2" t="s">
        <v>211</v>
      </c>
      <c r="E1556" s="2" t="s">
        <v>212</v>
      </c>
      <c r="F1556" t="s">
        <v>406</v>
      </c>
      <c r="G1556">
        <v>21</v>
      </c>
      <c r="H1556">
        <v>20</v>
      </c>
      <c r="I1556">
        <v>0</v>
      </c>
      <c r="J1556">
        <v>0</v>
      </c>
      <c r="K1556">
        <v>1</v>
      </c>
      <c r="L1556" s="6">
        <f t="shared" si="137"/>
        <v>0.95238095238095233</v>
      </c>
      <c r="M1556">
        <v>354</v>
      </c>
      <c r="N1556">
        <v>56</v>
      </c>
      <c r="O1556" s="9">
        <v>0</v>
      </c>
      <c r="P1556">
        <v>0</v>
      </c>
      <c r="Q1556">
        <v>172</v>
      </c>
      <c r="R1556">
        <v>1</v>
      </c>
      <c r="S1556">
        <v>124</v>
      </c>
      <c r="T1556">
        <v>1</v>
      </c>
      <c r="U1556" s="3">
        <f t="shared" si="138"/>
        <v>0.99717514124293782</v>
      </c>
      <c r="V1556" s="3">
        <f t="shared" si="136"/>
        <v>0.9946666666666667</v>
      </c>
    </row>
    <row r="1557" spans="1:22" x14ac:dyDescent="0.25">
      <c r="A1557" s="2">
        <v>2017</v>
      </c>
      <c r="B1557" t="s">
        <v>89</v>
      </c>
      <c r="C1557" t="s">
        <v>24</v>
      </c>
      <c r="D1557" s="2" t="s">
        <v>213</v>
      </c>
      <c r="E1557" s="2" t="s">
        <v>214</v>
      </c>
      <c r="F1557" t="s">
        <v>30</v>
      </c>
      <c r="G1557">
        <v>11</v>
      </c>
      <c r="H1557">
        <v>11</v>
      </c>
      <c r="I1557">
        <v>0</v>
      </c>
      <c r="J1557">
        <v>0</v>
      </c>
      <c r="K1557">
        <v>0</v>
      </c>
      <c r="L1557" s="6">
        <f t="shared" si="137"/>
        <v>1</v>
      </c>
      <c r="M1557">
        <v>231</v>
      </c>
      <c r="N1557">
        <v>47</v>
      </c>
      <c r="O1557" s="9">
        <v>0</v>
      </c>
      <c r="P1557">
        <v>0</v>
      </c>
      <c r="Q1557">
        <v>105</v>
      </c>
      <c r="R1557">
        <v>0</v>
      </c>
      <c r="S1557">
        <v>79</v>
      </c>
      <c r="T1557">
        <v>0</v>
      </c>
      <c r="U1557" s="3">
        <f t="shared" si="138"/>
        <v>1</v>
      </c>
      <c r="V1557" s="3">
        <f t="shared" si="136"/>
        <v>1</v>
      </c>
    </row>
    <row r="1558" spans="1:22" x14ac:dyDescent="0.25">
      <c r="A1558" s="2">
        <v>2017</v>
      </c>
      <c r="B1558" t="s">
        <v>89</v>
      </c>
      <c r="C1558" t="s">
        <v>24</v>
      </c>
      <c r="D1558" s="2" t="s">
        <v>215</v>
      </c>
      <c r="E1558" s="2" t="s">
        <v>216</v>
      </c>
      <c r="F1558" t="s">
        <v>424</v>
      </c>
      <c r="G1558">
        <v>11</v>
      </c>
      <c r="H1558">
        <v>11</v>
      </c>
      <c r="I1558">
        <v>0</v>
      </c>
      <c r="J1558">
        <v>0</v>
      </c>
      <c r="K1558">
        <v>0</v>
      </c>
      <c r="L1558" s="6">
        <f t="shared" si="137"/>
        <v>1</v>
      </c>
      <c r="M1558">
        <v>290</v>
      </c>
      <c r="N1558">
        <v>51</v>
      </c>
      <c r="O1558" s="9">
        <v>0</v>
      </c>
      <c r="P1558">
        <v>0</v>
      </c>
      <c r="Q1558">
        <v>128</v>
      </c>
      <c r="R1558">
        <v>0</v>
      </c>
      <c r="S1558">
        <v>110</v>
      </c>
      <c r="T1558">
        <v>1</v>
      </c>
      <c r="U1558" s="3">
        <f t="shared" si="138"/>
        <v>1</v>
      </c>
      <c r="V1558" s="3">
        <f t="shared" si="136"/>
        <v>1</v>
      </c>
    </row>
    <row r="1559" spans="1:22" x14ac:dyDescent="0.25">
      <c r="A1559" s="2">
        <v>2017</v>
      </c>
      <c r="B1559" t="s">
        <v>89</v>
      </c>
      <c r="C1559" t="s">
        <v>24</v>
      </c>
      <c r="D1559" s="2" t="s">
        <v>217</v>
      </c>
      <c r="E1559" s="2" t="s">
        <v>218</v>
      </c>
      <c r="F1559" t="s">
        <v>407</v>
      </c>
      <c r="G1559">
        <v>9</v>
      </c>
      <c r="H1559">
        <v>9</v>
      </c>
      <c r="I1559">
        <v>0</v>
      </c>
      <c r="J1559">
        <v>0</v>
      </c>
      <c r="K1559">
        <v>0</v>
      </c>
      <c r="L1559" s="6">
        <f t="shared" si="137"/>
        <v>1</v>
      </c>
      <c r="M1559">
        <v>265</v>
      </c>
      <c r="N1559">
        <v>36</v>
      </c>
      <c r="O1559" s="9">
        <v>0</v>
      </c>
      <c r="P1559">
        <v>0</v>
      </c>
      <c r="Q1559">
        <v>126</v>
      </c>
      <c r="R1559">
        <v>1</v>
      </c>
      <c r="S1559">
        <v>101</v>
      </c>
      <c r="T1559">
        <v>1</v>
      </c>
      <c r="U1559" s="3">
        <f t="shared" si="138"/>
        <v>0.99622641509433962</v>
      </c>
      <c r="V1559" s="3">
        <f t="shared" si="136"/>
        <v>0.9963503649635036</v>
      </c>
    </row>
    <row r="1560" spans="1:22" x14ac:dyDescent="0.25">
      <c r="A1560" s="2">
        <v>2017</v>
      </c>
      <c r="B1560" t="s">
        <v>89</v>
      </c>
      <c r="C1560" t="s">
        <v>24</v>
      </c>
      <c r="D1560" s="2" t="s">
        <v>219</v>
      </c>
      <c r="E1560" s="2" t="s">
        <v>220</v>
      </c>
      <c r="F1560" t="s">
        <v>408</v>
      </c>
      <c r="G1560">
        <v>18</v>
      </c>
      <c r="H1560">
        <v>18</v>
      </c>
      <c r="I1560">
        <v>0</v>
      </c>
      <c r="J1560">
        <v>0</v>
      </c>
      <c r="K1560">
        <v>0</v>
      </c>
      <c r="L1560" s="6">
        <f t="shared" si="137"/>
        <v>1</v>
      </c>
      <c r="M1560">
        <v>250</v>
      </c>
      <c r="N1560">
        <v>44</v>
      </c>
      <c r="O1560" s="9">
        <v>0</v>
      </c>
      <c r="P1560">
        <v>0</v>
      </c>
      <c r="Q1560">
        <v>115</v>
      </c>
      <c r="R1560">
        <v>1</v>
      </c>
      <c r="S1560">
        <v>90</v>
      </c>
      <c r="T1560">
        <v>0</v>
      </c>
      <c r="U1560" s="3">
        <f t="shared" si="138"/>
        <v>0.996</v>
      </c>
      <c r="V1560" s="3">
        <f t="shared" si="136"/>
        <v>0.99626865671641796</v>
      </c>
    </row>
    <row r="1561" spans="1:22" x14ac:dyDescent="0.25">
      <c r="A1561" s="8">
        <v>2017</v>
      </c>
      <c r="B1561" s="5" t="s">
        <v>89</v>
      </c>
      <c r="C1561" s="5" t="s">
        <v>20</v>
      </c>
      <c r="D1561" s="8">
        <v>528</v>
      </c>
      <c r="E1561" s="8" t="s">
        <v>221</v>
      </c>
      <c r="F1561" s="5" t="s">
        <v>42</v>
      </c>
      <c r="G1561">
        <v>2</v>
      </c>
      <c r="H1561">
        <v>2</v>
      </c>
      <c r="I1561">
        <v>0</v>
      </c>
      <c r="J1561">
        <v>0</v>
      </c>
      <c r="K1561">
        <v>0</v>
      </c>
      <c r="L1561" s="6">
        <f t="shared" si="137"/>
        <v>1</v>
      </c>
      <c r="M1561">
        <v>4</v>
      </c>
      <c r="N1561">
        <v>0</v>
      </c>
      <c r="O1561" s="9">
        <v>0</v>
      </c>
      <c r="P1561">
        <v>0</v>
      </c>
      <c r="Q1561">
        <v>1</v>
      </c>
      <c r="R1561">
        <v>0</v>
      </c>
      <c r="S1561">
        <v>3</v>
      </c>
      <c r="T1561">
        <v>0</v>
      </c>
      <c r="U1561" s="3">
        <f t="shared" si="138"/>
        <v>1</v>
      </c>
      <c r="V1561" s="3">
        <f t="shared" si="136"/>
        <v>1</v>
      </c>
    </row>
    <row r="1562" spans="1:22" x14ac:dyDescent="0.25">
      <c r="A1562" s="8">
        <v>2017</v>
      </c>
      <c r="B1562" s="5" t="s">
        <v>89</v>
      </c>
      <c r="C1562" s="5" t="s">
        <v>20</v>
      </c>
      <c r="D1562" s="8" t="s">
        <v>222</v>
      </c>
      <c r="E1562" s="8" t="s">
        <v>223</v>
      </c>
      <c r="F1562" s="5" t="s">
        <v>43</v>
      </c>
      <c r="G1562">
        <v>13</v>
      </c>
      <c r="H1562">
        <v>13</v>
      </c>
      <c r="I1562">
        <v>0</v>
      </c>
      <c r="J1562">
        <v>0</v>
      </c>
      <c r="K1562">
        <v>0</v>
      </c>
      <c r="L1562" s="6">
        <f t="shared" si="137"/>
        <v>1</v>
      </c>
      <c r="M1562">
        <v>164</v>
      </c>
      <c r="N1562">
        <v>16</v>
      </c>
      <c r="O1562" s="9">
        <v>0</v>
      </c>
      <c r="P1562">
        <v>0</v>
      </c>
      <c r="Q1562">
        <v>78</v>
      </c>
      <c r="R1562">
        <v>0</v>
      </c>
      <c r="S1562">
        <v>70</v>
      </c>
      <c r="T1562">
        <v>0</v>
      </c>
      <c r="U1562" s="3">
        <f t="shared" si="138"/>
        <v>1</v>
      </c>
      <c r="V1562" s="3">
        <f t="shared" si="136"/>
        <v>1</v>
      </c>
    </row>
    <row r="1563" spans="1:22" x14ac:dyDescent="0.25">
      <c r="A1563" s="8">
        <v>2017</v>
      </c>
      <c r="B1563" s="5" t="s">
        <v>89</v>
      </c>
      <c r="C1563" s="5" t="s">
        <v>20</v>
      </c>
      <c r="D1563" s="8" t="s">
        <v>224</v>
      </c>
      <c r="E1563" s="8" t="s">
        <v>225</v>
      </c>
      <c r="F1563" s="5" t="s">
        <v>440</v>
      </c>
      <c r="G1563">
        <v>0</v>
      </c>
      <c r="H1563">
        <v>0</v>
      </c>
      <c r="I1563">
        <v>0</v>
      </c>
      <c r="J1563">
        <v>0</v>
      </c>
      <c r="K1563">
        <v>0</v>
      </c>
      <c r="L1563" s="6">
        <f t="shared" si="137"/>
        <v>0</v>
      </c>
      <c r="M1563">
        <v>41</v>
      </c>
      <c r="N1563">
        <v>3</v>
      </c>
      <c r="O1563" s="9">
        <v>0</v>
      </c>
      <c r="P1563">
        <v>0</v>
      </c>
      <c r="Q1563">
        <v>27</v>
      </c>
      <c r="R1563">
        <v>0</v>
      </c>
      <c r="S1563">
        <v>9</v>
      </c>
      <c r="T1563">
        <v>2</v>
      </c>
      <c r="U1563" s="3">
        <f t="shared" si="138"/>
        <v>1</v>
      </c>
      <c r="V1563" s="3">
        <f t="shared" si="136"/>
        <v>1</v>
      </c>
    </row>
    <row r="1564" spans="1:22" x14ac:dyDescent="0.25">
      <c r="A1564" s="8">
        <v>2017</v>
      </c>
      <c r="B1564" s="5" t="s">
        <v>89</v>
      </c>
      <c r="C1564" s="5" t="s">
        <v>20</v>
      </c>
      <c r="D1564" s="8" t="s">
        <v>226</v>
      </c>
      <c r="E1564" s="8" t="s">
        <v>227</v>
      </c>
      <c r="F1564" s="5" t="s">
        <v>334</v>
      </c>
      <c r="G1564">
        <v>9</v>
      </c>
      <c r="H1564">
        <v>9</v>
      </c>
      <c r="I1564">
        <v>0</v>
      </c>
      <c r="J1564">
        <v>0</v>
      </c>
      <c r="K1564">
        <v>0</v>
      </c>
      <c r="L1564" s="6">
        <f t="shared" si="137"/>
        <v>1</v>
      </c>
      <c r="M1564">
        <v>131</v>
      </c>
      <c r="N1564">
        <v>20</v>
      </c>
      <c r="O1564" s="9">
        <v>0</v>
      </c>
      <c r="P1564">
        <v>0</v>
      </c>
      <c r="Q1564">
        <v>62</v>
      </c>
      <c r="R1564">
        <v>0</v>
      </c>
      <c r="S1564">
        <v>49</v>
      </c>
      <c r="T1564">
        <v>0</v>
      </c>
      <c r="U1564" s="3">
        <f t="shared" si="138"/>
        <v>1</v>
      </c>
      <c r="V1564" s="3">
        <f t="shared" si="136"/>
        <v>1</v>
      </c>
    </row>
    <row r="1565" spans="1:22" x14ac:dyDescent="0.25">
      <c r="A1565" s="8">
        <v>2017</v>
      </c>
      <c r="B1565" s="5" t="s">
        <v>89</v>
      </c>
      <c r="C1565" s="5" t="s">
        <v>20</v>
      </c>
      <c r="D1565" s="8" t="s">
        <v>228</v>
      </c>
      <c r="E1565" s="8" t="s">
        <v>229</v>
      </c>
      <c r="F1565" s="5" t="s">
        <v>335</v>
      </c>
      <c r="G1565">
        <v>17</v>
      </c>
      <c r="H1565">
        <v>16</v>
      </c>
      <c r="I1565">
        <v>0</v>
      </c>
      <c r="J1565">
        <v>0</v>
      </c>
      <c r="K1565">
        <v>1</v>
      </c>
      <c r="L1565" s="6">
        <f t="shared" si="137"/>
        <v>0.94117647058823528</v>
      </c>
      <c r="M1565">
        <v>167</v>
      </c>
      <c r="N1565">
        <v>18</v>
      </c>
      <c r="O1565" s="9">
        <v>0</v>
      </c>
      <c r="P1565">
        <v>0</v>
      </c>
      <c r="Q1565">
        <v>81</v>
      </c>
      <c r="R1565">
        <v>0</v>
      </c>
      <c r="S1565">
        <v>66</v>
      </c>
      <c r="T1565">
        <v>2</v>
      </c>
      <c r="U1565" s="3">
        <f t="shared" si="138"/>
        <v>1</v>
      </c>
      <c r="V1565" s="3">
        <f t="shared" si="136"/>
        <v>0.99456521739130432</v>
      </c>
    </row>
    <row r="1566" spans="1:22" x14ac:dyDescent="0.25">
      <c r="A1566" s="8">
        <v>2017</v>
      </c>
      <c r="B1566" s="5" t="s">
        <v>89</v>
      </c>
      <c r="C1566" s="5" t="s">
        <v>20</v>
      </c>
      <c r="D1566" s="8" t="s">
        <v>230</v>
      </c>
      <c r="E1566" s="8" t="s">
        <v>81</v>
      </c>
      <c r="F1566" s="5" t="s">
        <v>452</v>
      </c>
      <c r="G1566">
        <v>0</v>
      </c>
      <c r="H1566">
        <v>0</v>
      </c>
      <c r="I1566">
        <v>0</v>
      </c>
      <c r="J1566">
        <v>0</v>
      </c>
      <c r="K1566">
        <v>0</v>
      </c>
      <c r="L1566" s="6">
        <f t="shared" ref="L1566:L1581" si="139">IF(G1566=0,0,SUM(H1566:J1566)/G1566)</f>
        <v>0</v>
      </c>
      <c r="M1566">
        <v>1</v>
      </c>
      <c r="N1566">
        <v>0</v>
      </c>
      <c r="O1566" s="9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 s="3">
        <f t="shared" ref="U1566:U1581" si="140">IF(M1566=0,0,((N1566+O1566+Q1566+S1566+T1566)/M1566))</f>
        <v>1</v>
      </c>
      <c r="V1566" s="3">
        <f t="shared" si="136"/>
        <v>1</v>
      </c>
    </row>
    <row r="1567" spans="1:22" x14ac:dyDescent="0.25">
      <c r="A1567" s="8">
        <v>2017</v>
      </c>
      <c r="B1567" s="5" t="s">
        <v>89</v>
      </c>
      <c r="C1567" s="5" t="s">
        <v>20</v>
      </c>
      <c r="D1567" s="8" t="s">
        <v>231</v>
      </c>
      <c r="E1567" s="8" t="s">
        <v>232</v>
      </c>
      <c r="F1567" s="5" t="s">
        <v>337</v>
      </c>
      <c r="G1567">
        <v>67</v>
      </c>
      <c r="H1567">
        <v>66</v>
      </c>
      <c r="I1567">
        <v>0</v>
      </c>
      <c r="J1567">
        <v>0</v>
      </c>
      <c r="K1567">
        <v>1</v>
      </c>
      <c r="L1567" s="6">
        <f t="shared" si="139"/>
        <v>0.9850746268656716</v>
      </c>
      <c r="M1567">
        <v>542</v>
      </c>
      <c r="N1567">
        <v>59</v>
      </c>
      <c r="O1567" s="9">
        <v>0</v>
      </c>
      <c r="P1567">
        <v>0</v>
      </c>
      <c r="Q1567">
        <v>255</v>
      </c>
      <c r="R1567">
        <v>1</v>
      </c>
      <c r="S1567">
        <v>223</v>
      </c>
      <c r="T1567">
        <v>4</v>
      </c>
      <c r="U1567" s="3">
        <f t="shared" si="140"/>
        <v>0.99815498154981552</v>
      </c>
      <c r="V1567" s="3">
        <f t="shared" si="136"/>
        <v>0.99671592775041051</v>
      </c>
    </row>
    <row r="1568" spans="1:22" x14ac:dyDescent="0.25">
      <c r="A1568" s="8">
        <v>2017</v>
      </c>
      <c r="B1568" s="5" t="s">
        <v>89</v>
      </c>
      <c r="C1568" s="5" t="s">
        <v>20</v>
      </c>
      <c r="D1568" s="8" t="s">
        <v>233</v>
      </c>
      <c r="E1568" s="8" t="s">
        <v>135</v>
      </c>
      <c r="F1568" s="5" t="s">
        <v>33</v>
      </c>
      <c r="G1568">
        <v>8</v>
      </c>
      <c r="H1568">
        <v>8</v>
      </c>
      <c r="I1568">
        <v>0</v>
      </c>
      <c r="J1568">
        <v>0</v>
      </c>
      <c r="K1568">
        <v>0</v>
      </c>
      <c r="L1568" s="6">
        <f t="shared" si="139"/>
        <v>1</v>
      </c>
      <c r="M1568">
        <v>99</v>
      </c>
      <c r="N1568">
        <v>14</v>
      </c>
      <c r="O1568" s="9">
        <v>0</v>
      </c>
      <c r="P1568">
        <v>0</v>
      </c>
      <c r="Q1568">
        <v>46</v>
      </c>
      <c r="R1568">
        <v>0</v>
      </c>
      <c r="S1568">
        <v>37</v>
      </c>
      <c r="T1568">
        <v>2</v>
      </c>
      <c r="U1568" s="3">
        <f t="shared" si="140"/>
        <v>1</v>
      </c>
      <c r="V1568" s="3">
        <f t="shared" si="136"/>
        <v>1</v>
      </c>
    </row>
    <row r="1569" spans="1:22" x14ac:dyDescent="0.25">
      <c r="A1569" s="8">
        <v>2017</v>
      </c>
      <c r="B1569" s="5" t="s">
        <v>89</v>
      </c>
      <c r="C1569" s="5" t="s">
        <v>20</v>
      </c>
      <c r="D1569" s="8" t="s">
        <v>234</v>
      </c>
      <c r="E1569" s="8" t="s">
        <v>137</v>
      </c>
      <c r="F1569" s="5" t="s">
        <v>34</v>
      </c>
      <c r="G1569">
        <v>0</v>
      </c>
      <c r="H1569">
        <v>0</v>
      </c>
      <c r="I1569">
        <v>0</v>
      </c>
      <c r="J1569">
        <v>0</v>
      </c>
      <c r="K1569">
        <v>0</v>
      </c>
      <c r="L1569" s="6">
        <f t="shared" si="139"/>
        <v>0</v>
      </c>
      <c r="M1569">
        <v>129</v>
      </c>
      <c r="N1569">
        <v>15</v>
      </c>
      <c r="O1569" s="9">
        <v>0</v>
      </c>
      <c r="P1569">
        <v>0</v>
      </c>
      <c r="Q1569">
        <v>66</v>
      </c>
      <c r="R1569">
        <v>0</v>
      </c>
      <c r="S1569">
        <v>48</v>
      </c>
      <c r="T1569">
        <v>0</v>
      </c>
      <c r="U1569" s="3">
        <f t="shared" si="140"/>
        <v>1</v>
      </c>
      <c r="V1569" s="3">
        <f t="shared" si="136"/>
        <v>1</v>
      </c>
    </row>
    <row r="1570" spans="1:22" x14ac:dyDescent="0.25">
      <c r="A1570" s="8">
        <v>2017</v>
      </c>
      <c r="B1570" s="5" t="s">
        <v>89</v>
      </c>
      <c r="C1570" s="5" t="s">
        <v>20</v>
      </c>
      <c r="D1570" s="8" t="s">
        <v>165</v>
      </c>
      <c r="E1570" s="8" t="s">
        <v>166</v>
      </c>
      <c r="F1570" s="5" t="s">
        <v>368</v>
      </c>
      <c r="G1570">
        <v>3</v>
      </c>
      <c r="H1570">
        <v>3</v>
      </c>
      <c r="I1570">
        <v>0</v>
      </c>
      <c r="J1570">
        <v>0</v>
      </c>
      <c r="K1570">
        <v>0</v>
      </c>
      <c r="L1570" s="6">
        <f t="shared" si="139"/>
        <v>1</v>
      </c>
      <c r="M1570">
        <v>67</v>
      </c>
      <c r="N1570">
        <v>9</v>
      </c>
      <c r="O1570" s="9">
        <v>0</v>
      </c>
      <c r="P1570">
        <v>1</v>
      </c>
      <c r="Q1570">
        <v>42</v>
      </c>
      <c r="R1570">
        <v>1</v>
      </c>
      <c r="S1570">
        <v>13</v>
      </c>
      <c r="T1570">
        <v>1</v>
      </c>
      <c r="U1570" s="3">
        <f t="shared" si="140"/>
        <v>0.97014925373134331</v>
      </c>
      <c r="V1570" s="3">
        <f t="shared" si="136"/>
        <v>0.97142857142857142</v>
      </c>
    </row>
    <row r="1571" spans="1:22" x14ac:dyDescent="0.25">
      <c r="A1571" s="8">
        <v>2017</v>
      </c>
      <c r="B1571" s="5" t="s">
        <v>89</v>
      </c>
      <c r="C1571" s="5" t="s">
        <v>20</v>
      </c>
      <c r="D1571" s="8" t="s">
        <v>235</v>
      </c>
      <c r="E1571" s="8" t="s">
        <v>236</v>
      </c>
      <c r="F1571" s="5" t="s">
        <v>36</v>
      </c>
      <c r="G1571">
        <v>1</v>
      </c>
      <c r="H1571">
        <v>1</v>
      </c>
      <c r="I1571">
        <v>0</v>
      </c>
      <c r="J1571">
        <v>0</v>
      </c>
      <c r="K1571">
        <v>0</v>
      </c>
      <c r="L1571" s="6">
        <f t="shared" si="139"/>
        <v>1</v>
      </c>
      <c r="M1571">
        <v>77</v>
      </c>
      <c r="N1571">
        <v>8</v>
      </c>
      <c r="O1571" s="9">
        <v>0</v>
      </c>
      <c r="P1571">
        <v>0</v>
      </c>
      <c r="Q1571">
        <v>46</v>
      </c>
      <c r="R1571">
        <v>0</v>
      </c>
      <c r="S1571">
        <v>23</v>
      </c>
      <c r="T1571">
        <v>0</v>
      </c>
      <c r="U1571" s="3">
        <f t="shared" si="140"/>
        <v>1</v>
      </c>
      <c r="V1571" s="3">
        <f t="shared" si="136"/>
        <v>1</v>
      </c>
    </row>
    <row r="1572" spans="1:22" x14ac:dyDescent="0.25">
      <c r="A1572" s="8">
        <v>2017</v>
      </c>
      <c r="B1572" s="5" t="s">
        <v>89</v>
      </c>
      <c r="C1572" s="5" t="s">
        <v>20</v>
      </c>
      <c r="D1572" s="8" t="s">
        <v>237</v>
      </c>
      <c r="E1572" s="8" t="s">
        <v>238</v>
      </c>
      <c r="F1572" s="5" t="s">
        <v>340</v>
      </c>
      <c r="G1572">
        <v>2</v>
      </c>
      <c r="H1572">
        <v>2</v>
      </c>
      <c r="I1572">
        <v>0</v>
      </c>
      <c r="J1572">
        <v>0</v>
      </c>
      <c r="K1572">
        <v>0</v>
      </c>
      <c r="L1572" s="6">
        <f t="shared" si="139"/>
        <v>1</v>
      </c>
      <c r="M1572">
        <v>137</v>
      </c>
      <c r="N1572">
        <v>22</v>
      </c>
      <c r="O1572" s="9">
        <v>0</v>
      </c>
      <c r="P1572">
        <v>0</v>
      </c>
      <c r="Q1572">
        <v>75</v>
      </c>
      <c r="R1572">
        <v>0</v>
      </c>
      <c r="S1572">
        <v>39</v>
      </c>
      <c r="T1572">
        <v>1</v>
      </c>
      <c r="U1572" s="3">
        <f t="shared" si="140"/>
        <v>1</v>
      </c>
      <c r="V1572" s="3">
        <f t="shared" si="136"/>
        <v>1</v>
      </c>
    </row>
    <row r="1573" spans="1:22" x14ac:dyDescent="0.25">
      <c r="A1573" s="8">
        <v>2017</v>
      </c>
      <c r="B1573" s="5" t="s">
        <v>89</v>
      </c>
      <c r="C1573" s="5" t="s">
        <v>20</v>
      </c>
      <c r="D1573" s="8" t="s">
        <v>239</v>
      </c>
      <c r="E1573" s="8" t="s">
        <v>240</v>
      </c>
      <c r="F1573" s="5" t="s">
        <v>37</v>
      </c>
      <c r="G1573">
        <v>0</v>
      </c>
      <c r="H1573">
        <v>0</v>
      </c>
      <c r="I1573">
        <v>0</v>
      </c>
      <c r="J1573">
        <v>0</v>
      </c>
      <c r="K1573">
        <v>0</v>
      </c>
      <c r="L1573" s="6">
        <f t="shared" si="139"/>
        <v>0</v>
      </c>
      <c r="M1573">
        <v>21</v>
      </c>
      <c r="N1573">
        <v>4</v>
      </c>
      <c r="O1573" s="9">
        <v>0</v>
      </c>
      <c r="P1573">
        <v>0</v>
      </c>
      <c r="Q1573">
        <v>8</v>
      </c>
      <c r="R1573">
        <v>0</v>
      </c>
      <c r="S1573">
        <v>8</v>
      </c>
      <c r="T1573">
        <v>1</v>
      </c>
      <c r="U1573" s="3">
        <f t="shared" si="140"/>
        <v>1</v>
      </c>
      <c r="V1573" s="3">
        <f t="shared" si="136"/>
        <v>1</v>
      </c>
    </row>
    <row r="1574" spans="1:22" x14ac:dyDescent="0.25">
      <c r="A1574" s="8">
        <v>2017</v>
      </c>
      <c r="B1574" s="5" t="s">
        <v>89</v>
      </c>
      <c r="C1574" s="5" t="s">
        <v>20</v>
      </c>
      <c r="D1574" s="8" t="s">
        <v>241</v>
      </c>
      <c r="E1574" s="8" t="s">
        <v>242</v>
      </c>
      <c r="F1574" s="5" t="s">
        <v>341</v>
      </c>
      <c r="G1574">
        <v>2</v>
      </c>
      <c r="H1574">
        <v>2</v>
      </c>
      <c r="I1574">
        <v>0</v>
      </c>
      <c r="J1574">
        <v>0</v>
      </c>
      <c r="K1574">
        <v>0</v>
      </c>
      <c r="L1574" s="6">
        <f t="shared" si="139"/>
        <v>1</v>
      </c>
      <c r="M1574">
        <v>91</v>
      </c>
      <c r="N1574">
        <v>13</v>
      </c>
      <c r="O1574" s="9">
        <v>0</v>
      </c>
      <c r="P1574">
        <v>1</v>
      </c>
      <c r="Q1574">
        <v>41</v>
      </c>
      <c r="R1574">
        <v>0</v>
      </c>
      <c r="S1574">
        <v>34</v>
      </c>
      <c r="T1574">
        <v>2</v>
      </c>
      <c r="U1574" s="3">
        <f t="shared" si="140"/>
        <v>0.98901098901098905</v>
      </c>
      <c r="V1574" s="3">
        <f t="shared" si="136"/>
        <v>0.989247311827957</v>
      </c>
    </row>
    <row r="1575" spans="1:22" x14ac:dyDescent="0.25">
      <c r="A1575" s="8">
        <v>2017</v>
      </c>
      <c r="B1575" s="5" t="s">
        <v>89</v>
      </c>
      <c r="C1575" s="5" t="s">
        <v>20</v>
      </c>
      <c r="D1575" s="8" t="s">
        <v>243</v>
      </c>
      <c r="E1575" s="8" t="s">
        <v>244</v>
      </c>
      <c r="F1575" s="5" t="s">
        <v>432</v>
      </c>
      <c r="G1575">
        <v>2</v>
      </c>
      <c r="H1575">
        <v>2</v>
      </c>
      <c r="I1575">
        <v>0</v>
      </c>
      <c r="J1575">
        <v>0</v>
      </c>
      <c r="K1575">
        <v>0</v>
      </c>
      <c r="L1575" s="6">
        <f t="shared" si="139"/>
        <v>1</v>
      </c>
      <c r="M1575">
        <v>124</v>
      </c>
      <c r="N1575">
        <v>22</v>
      </c>
      <c r="O1575" s="9">
        <v>0</v>
      </c>
      <c r="P1575">
        <v>0</v>
      </c>
      <c r="Q1575">
        <v>73</v>
      </c>
      <c r="R1575">
        <v>0</v>
      </c>
      <c r="S1575">
        <v>26</v>
      </c>
      <c r="T1575">
        <v>3</v>
      </c>
      <c r="U1575" s="3">
        <f t="shared" si="140"/>
        <v>1</v>
      </c>
      <c r="V1575" s="3">
        <f t="shared" si="136"/>
        <v>1</v>
      </c>
    </row>
    <row r="1576" spans="1:22" x14ac:dyDescent="0.25">
      <c r="A1576" s="8">
        <v>2017</v>
      </c>
      <c r="B1576" s="5" t="s">
        <v>89</v>
      </c>
      <c r="C1576" s="5" t="s">
        <v>20</v>
      </c>
      <c r="D1576" s="8" t="s">
        <v>245</v>
      </c>
      <c r="E1576" s="8" t="s">
        <v>86</v>
      </c>
      <c r="F1576" s="5" t="s">
        <v>342</v>
      </c>
      <c r="G1576">
        <v>9</v>
      </c>
      <c r="H1576">
        <v>9</v>
      </c>
      <c r="I1576">
        <v>0</v>
      </c>
      <c r="J1576">
        <v>0</v>
      </c>
      <c r="K1576">
        <v>0</v>
      </c>
      <c r="L1576" s="6">
        <f t="shared" si="139"/>
        <v>1</v>
      </c>
      <c r="M1576">
        <v>160</v>
      </c>
      <c r="N1576">
        <v>19</v>
      </c>
      <c r="O1576" s="9">
        <v>0</v>
      </c>
      <c r="P1576">
        <v>0</v>
      </c>
      <c r="Q1576">
        <v>70</v>
      </c>
      <c r="R1576">
        <v>0</v>
      </c>
      <c r="S1576">
        <v>69</v>
      </c>
      <c r="T1576">
        <v>2</v>
      </c>
      <c r="U1576" s="3">
        <f t="shared" si="140"/>
        <v>1</v>
      </c>
      <c r="V1576" s="3">
        <f t="shared" si="136"/>
        <v>1</v>
      </c>
    </row>
    <row r="1577" spans="1:22" x14ac:dyDescent="0.25">
      <c r="A1577" s="8">
        <v>2017</v>
      </c>
      <c r="B1577" s="5" t="s">
        <v>89</v>
      </c>
      <c r="C1577" s="5" t="s">
        <v>20</v>
      </c>
      <c r="D1577" s="8" t="s">
        <v>246</v>
      </c>
      <c r="E1577" s="8" t="s">
        <v>247</v>
      </c>
      <c r="F1577" s="5" t="s">
        <v>343</v>
      </c>
      <c r="G1577">
        <v>46</v>
      </c>
      <c r="H1577">
        <v>45</v>
      </c>
      <c r="I1577">
        <v>0</v>
      </c>
      <c r="J1577">
        <v>0</v>
      </c>
      <c r="K1577">
        <v>1</v>
      </c>
      <c r="L1577" s="6">
        <f t="shared" si="139"/>
        <v>0.97826086956521741</v>
      </c>
      <c r="M1577">
        <v>325</v>
      </c>
      <c r="N1577">
        <v>47</v>
      </c>
      <c r="O1577" s="9">
        <v>0</v>
      </c>
      <c r="P1577">
        <v>1</v>
      </c>
      <c r="Q1577">
        <v>133</v>
      </c>
      <c r="R1577">
        <v>1</v>
      </c>
      <c r="S1577">
        <v>142</v>
      </c>
      <c r="T1577">
        <v>1</v>
      </c>
      <c r="U1577" s="3">
        <f t="shared" si="140"/>
        <v>0.99384615384615382</v>
      </c>
      <c r="V1577" s="3">
        <f t="shared" si="136"/>
        <v>0.99191374663072773</v>
      </c>
    </row>
    <row r="1578" spans="1:22" x14ac:dyDescent="0.25">
      <c r="A1578" s="8">
        <v>2017</v>
      </c>
      <c r="B1578" s="5" t="s">
        <v>89</v>
      </c>
      <c r="C1578" s="5" t="s">
        <v>20</v>
      </c>
      <c r="D1578" s="8" t="s">
        <v>248</v>
      </c>
      <c r="E1578" s="8" t="s">
        <v>249</v>
      </c>
      <c r="F1578" s="5" t="s">
        <v>352</v>
      </c>
      <c r="G1578">
        <v>3</v>
      </c>
      <c r="H1578">
        <v>3</v>
      </c>
      <c r="I1578">
        <v>0</v>
      </c>
      <c r="J1578">
        <v>0</v>
      </c>
      <c r="K1578">
        <v>0</v>
      </c>
      <c r="L1578" s="6">
        <f t="shared" si="139"/>
        <v>1</v>
      </c>
      <c r="M1578">
        <v>297</v>
      </c>
      <c r="N1578">
        <v>36</v>
      </c>
      <c r="O1578" s="9">
        <v>0</v>
      </c>
      <c r="P1578">
        <v>1</v>
      </c>
      <c r="Q1578">
        <v>182</v>
      </c>
      <c r="R1578">
        <v>0</v>
      </c>
      <c r="S1578">
        <v>73</v>
      </c>
      <c r="T1578">
        <v>5</v>
      </c>
      <c r="U1578" s="3">
        <f t="shared" si="140"/>
        <v>0.99663299663299665</v>
      </c>
      <c r="V1578" s="3">
        <f t="shared" si="136"/>
        <v>0.9966666666666667</v>
      </c>
    </row>
    <row r="1579" spans="1:22" x14ac:dyDescent="0.25">
      <c r="A1579" s="8">
        <v>2017</v>
      </c>
      <c r="B1579" s="5" t="s">
        <v>89</v>
      </c>
      <c r="C1579" s="5" t="s">
        <v>20</v>
      </c>
      <c r="D1579" s="8" t="s">
        <v>250</v>
      </c>
      <c r="E1579" s="8" t="s">
        <v>251</v>
      </c>
      <c r="F1579" s="5" t="s">
        <v>344</v>
      </c>
      <c r="G1579">
        <v>2</v>
      </c>
      <c r="H1579">
        <v>2</v>
      </c>
      <c r="I1579">
        <v>0</v>
      </c>
      <c r="J1579">
        <v>0</v>
      </c>
      <c r="K1579">
        <v>0</v>
      </c>
      <c r="L1579" s="6">
        <f t="shared" si="139"/>
        <v>1</v>
      </c>
      <c r="M1579">
        <v>46</v>
      </c>
      <c r="N1579">
        <v>4</v>
      </c>
      <c r="O1579" s="9">
        <v>0</v>
      </c>
      <c r="P1579">
        <v>0</v>
      </c>
      <c r="Q1579">
        <v>22</v>
      </c>
      <c r="R1579">
        <v>0</v>
      </c>
      <c r="S1579">
        <v>20</v>
      </c>
      <c r="T1579">
        <v>0</v>
      </c>
      <c r="U1579" s="3">
        <f t="shared" si="140"/>
        <v>1</v>
      </c>
      <c r="V1579" s="3">
        <f t="shared" si="136"/>
        <v>1</v>
      </c>
    </row>
    <row r="1580" spans="1:22" x14ac:dyDescent="0.25">
      <c r="A1580" s="8">
        <v>2017</v>
      </c>
      <c r="B1580" s="5" t="s">
        <v>89</v>
      </c>
      <c r="C1580" s="5" t="s">
        <v>20</v>
      </c>
      <c r="D1580" s="8" t="s">
        <v>252</v>
      </c>
      <c r="E1580" s="8" t="s">
        <v>253</v>
      </c>
      <c r="F1580" s="5" t="s">
        <v>345</v>
      </c>
      <c r="G1580">
        <v>3</v>
      </c>
      <c r="H1580">
        <v>3</v>
      </c>
      <c r="I1580">
        <v>0</v>
      </c>
      <c r="J1580">
        <v>0</v>
      </c>
      <c r="K1580">
        <v>0</v>
      </c>
      <c r="L1580" s="6">
        <f t="shared" si="139"/>
        <v>1</v>
      </c>
      <c r="M1580">
        <v>217</v>
      </c>
      <c r="N1580">
        <v>25</v>
      </c>
      <c r="O1580" s="9">
        <v>0</v>
      </c>
      <c r="P1580">
        <v>0</v>
      </c>
      <c r="Q1580">
        <v>127</v>
      </c>
      <c r="R1580">
        <v>0</v>
      </c>
      <c r="S1580">
        <v>62</v>
      </c>
      <c r="T1580">
        <v>3</v>
      </c>
      <c r="U1580" s="3">
        <f t="shared" si="140"/>
        <v>1</v>
      </c>
      <c r="V1580" s="3">
        <f t="shared" si="136"/>
        <v>1</v>
      </c>
    </row>
    <row r="1581" spans="1:22" x14ac:dyDescent="0.25">
      <c r="A1581" s="8">
        <v>2017</v>
      </c>
      <c r="B1581" s="5" t="s">
        <v>89</v>
      </c>
      <c r="C1581" s="5" t="s">
        <v>20</v>
      </c>
      <c r="D1581" s="8" t="s">
        <v>176</v>
      </c>
      <c r="E1581" s="8" t="s">
        <v>177</v>
      </c>
      <c r="F1581" s="5" t="s">
        <v>346</v>
      </c>
      <c r="G1581">
        <v>5</v>
      </c>
      <c r="H1581">
        <v>5</v>
      </c>
      <c r="I1581">
        <v>0</v>
      </c>
      <c r="J1581">
        <v>0</v>
      </c>
      <c r="K1581">
        <v>0</v>
      </c>
      <c r="L1581" s="6">
        <f t="shared" si="139"/>
        <v>1</v>
      </c>
      <c r="M1581">
        <v>190</v>
      </c>
      <c r="N1581">
        <v>21</v>
      </c>
      <c r="O1581" s="9">
        <v>0</v>
      </c>
      <c r="P1581">
        <v>4</v>
      </c>
      <c r="Q1581">
        <v>110</v>
      </c>
      <c r="R1581">
        <v>4</v>
      </c>
      <c r="S1581">
        <v>49</v>
      </c>
      <c r="T1581">
        <v>2</v>
      </c>
      <c r="U1581" s="3">
        <f t="shared" si="140"/>
        <v>0.95789473684210524</v>
      </c>
      <c r="V1581" s="3">
        <f t="shared" si="136"/>
        <v>0.95897435897435901</v>
      </c>
    </row>
    <row r="1582" spans="1:22" x14ac:dyDescent="0.25">
      <c r="A1582" s="8">
        <v>2017</v>
      </c>
      <c r="B1582" s="5" t="s">
        <v>89</v>
      </c>
      <c r="C1582" s="5" t="s">
        <v>20</v>
      </c>
      <c r="D1582" s="8" t="s">
        <v>254</v>
      </c>
      <c r="E1582" s="8" t="s">
        <v>255</v>
      </c>
      <c r="F1582" s="5" t="s">
        <v>347</v>
      </c>
      <c r="G1582">
        <v>2</v>
      </c>
      <c r="H1582">
        <v>2</v>
      </c>
      <c r="I1582">
        <v>0</v>
      </c>
      <c r="J1582">
        <v>0</v>
      </c>
      <c r="K1582">
        <v>0</v>
      </c>
      <c r="L1582" s="6">
        <f t="shared" ref="L1582:L1603" si="141">IF(G1582=0,0,SUM(H1582:J1582)/G1582)</f>
        <v>1</v>
      </c>
      <c r="M1582">
        <v>43</v>
      </c>
      <c r="N1582">
        <v>11</v>
      </c>
      <c r="O1582" s="9">
        <v>0</v>
      </c>
      <c r="P1582">
        <v>0</v>
      </c>
      <c r="Q1582">
        <v>18</v>
      </c>
      <c r="R1582">
        <v>0</v>
      </c>
      <c r="S1582">
        <v>14</v>
      </c>
      <c r="T1582">
        <v>0</v>
      </c>
      <c r="U1582" s="3">
        <f t="shared" ref="U1582:U1690" si="142">IF(M1582=0,0,((N1582+O1582+Q1582+S1582+T1582)/M1582))</f>
        <v>1</v>
      </c>
      <c r="V1582" s="3">
        <f t="shared" si="136"/>
        <v>1</v>
      </c>
    </row>
    <row r="1583" spans="1:22" x14ac:dyDescent="0.25">
      <c r="A1583" s="2">
        <v>2017</v>
      </c>
      <c r="B1583" t="s">
        <v>89</v>
      </c>
      <c r="C1583" t="s">
        <v>21</v>
      </c>
      <c r="D1583" s="2">
        <v>528</v>
      </c>
      <c r="E1583" s="2" t="s">
        <v>221</v>
      </c>
      <c r="F1583" t="s">
        <v>42</v>
      </c>
      <c r="G1583">
        <v>1</v>
      </c>
      <c r="H1583">
        <v>1</v>
      </c>
      <c r="I1583">
        <v>0</v>
      </c>
      <c r="J1583">
        <v>0</v>
      </c>
      <c r="K1583">
        <v>0</v>
      </c>
      <c r="L1583" s="6">
        <f t="shared" si="141"/>
        <v>1</v>
      </c>
      <c r="M1583">
        <v>168</v>
      </c>
      <c r="N1583">
        <v>13</v>
      </c>
      <c r="O1583" s="9">
        <v>0</v>
      </c>
      <c r="P1583">
        <v>0</v>
      </c>
      <c r="Q1583">
        <v>119</v>
      </c>
      <c r="R1583">
        <v>0</v>
      </c>
      <c r="S1583">
        <v>36</v>
      </c>
      <c r="T1583">
        <v>0</v>
      </c>
      <c r="U1583" s="3">
        <f t="shared" si="142"/>
        <v>1</v>
      </c>
      <c r="V1583" s="3">
        <f t="shared" si="136"/>
        <v>1</v>
      </c>
    </row>
    <row r="1584" spans="1:22" x14ac:dyDescent="0.25">
      <c r="A1584" s="2">
        <v>2017</v>
      </c>
      <c r="B1584" t="s">
        <v>89</v>
      </c>
      <c r="C1584" t="s">
        <v>21</v>
      </c>
      <c r="D1584" s="2" t="s">
        <v>222</v>
      </c>
      <c r="E1584" s="2" t="s">
        <v>223</v>
      </c>
      <c r="F1584" t="s">
        <v>43</v>
      </c>
      <c r="G1584">
        <v>11</v>
      </c>
      <c r="H1584">
        <v>11</v>
      </c>
      <c r="I1584">
        <v>0</v>
      </c>
      <c r="J1584">
        <v>0</v>
      </c>
      <c r="K1584">
        <v>0</v>
      </c>
      <c r="L1584" s="6">
        <f t="shared" si="141"/>
        <v>1</v>
      </c>
      <c r="M1584">
        <v>155</v>
      </c>
      <c r="N1584">
        <v>19</v>
      </c>
      <c r="O1584" s="9">
        <v>0</v>
      </c>
      <c r="P1584">
        <v>0</v>
      </c>
      <c r="Q1584">
        <v>83</v>
      </c>
      <c r="R1584">
        <v>0</v>
      </c>
      <c r="S1584">
        <v>52</v>
      </c>
      <c r="T1584">
        <v>1</v>
      </c>
      <c r="U1584" s="3">
        <f t="shared" si="142"/>
        <v>1</v>
      </c>
      <c r="V1584" s="3">
        <f t="shared" si="136"/>
        <v>1</v>
      </c>
    </row>
    <row r="1585" spans="1:22" x14ac:dyDescent="0.25">
      <c r="A1585" s="2">
        <v>2017</v>
      </c>
      <c r="B1585" t="s">
        <v>89</v>
      </c>
      <c r="C1585" t="s">
        <v>21</v>
      </c>
      <c r="D1585" s="2" t="s">
        <v>256</v>
      </c>
      <c r="E1585" s="2" t="s">
        <v>257</v>
      </c>
      <c r="F1585" t="s">
        <v>441</v>
      </c>
      <c r="G1585">
        <v>0</v>
      </c>
      <c r="H1585">
        <v>0</v>
      </c>
      <c r="I1585">
        <v>0</v>
      </c>
      <c r="J1585">
        <v>0</v>
      </c>
      <c r="K1585">
        <v>0</v>
      </c>
      <c r="L1585" s="6">
        <f t="shared" si="141"/>
        <v>0</v>
      </c>
      <c r="M1585">
        <v>33</v>
      </c>
      <c r="N1585">
        <v>1</v>
      </c>
      <c r="O1585" s="9">
        <v>0</v>
      </c>
      <c r="P1585">
        <v>0</v>
      </c>
      <c r="Q1585">
        <v>25</v>
      </c>
      <c r="R1585">
        <v>0</v>
      </c>
      <c r="S1585">
        <v>7</v>
      </c>
      <c r="T1585">
        <v>0</v>
      </c>
      <c r="U1585" s="3">
        <f t="shared" si="142"/>
        <v>1</v>
      </c>
      <c r="V1585" s="3">
        <f t="shared" si="136"/>
        <v>1</v>
      </c>
    </row>
    <row r="1586" spans="1:22" x14ac:dyDescent="0.25">
      <c r="A1586" s="2">
        <v>2017</v>
      </c>
      <c r="B1586" t="s">
        <v>89</v>
      </c>
      <c r="C1586" t="s">
        <v>21</v>
      </c>
      <c r="D1586" s="2" t="s">
        <v>258</v>
      </c>
      <c r="E1586" s="2" t="s">
        <v>66</v>
      </c>
      <c r="F1586" t="s">
        <v>423</v>
      </c>
      <c r="G1586">
        <v>0</v>
      </c>
      <c r="H1586">
        <v>0</v>
      </c>
      <c r="I1586">
        <v>0</v>
      </c>
      <c r="J1586">
        <v>0</v>
      </c>
      <c r="K1586">
        <v>0</v>
      </c>
      <c r="L1586" s="6">
        <f t="shared" si="141"/>
        <v>0</v>
      </c>
      <c r="M1586">
        <v>1</v>
      </c>
      <c r="N1586">
        <v>0</v>
      </c>
      <c r="O1586" s="9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 s="3">
        <f t="shared" si="142"/>
        <v>0</v>
      </c>
      <c r="V1586" s="3">
        <f t="shared" si="136"/>
        <v>0</v>
      </c>
    </row>
    <row r="1587" spans="1:22" x14ac:dyDescent="0.25">
      <c r="A1587" s="2">
        <v>2017</v>
      </c>
      <c r="B1587" t="s">
        <v>89</v>
      </c>
      <c r="C1587" t="s">
        <v>21</v>
      </c>
      <c r="D1587" s="2" t="s">
        <v>259</v>
      </c>
      <c r="E1587" s="2" t="s">
        <v>260</v>
      </c>
      <c r="F1587" t="s">
        <v>348</v>
      </c>
      <c r="G1587">
        <v>3</v>
      </c>
      <c r="H1587">
        <v>3</v>
      </c>
      <c r="I1587">
        <v>0</v>
      </c>
      <c r="J1587">
        <v>0</v>
      </c>
      <c r="K1587">
        <v>0</v>
      </c>
      <c r="L1587" s="6">
        <f t="shared" si="141"/>
        <v>1</v>
      </c>
      <c r="M1587">
        <v>287</v>
      </c>
      <c r="N1587">
        <v>32</v>
      </c>
      <c r="O1587" s="9">
        <v>0</v>
      </c>
      <c r="P1587">
        <v>0</v>
      </c>
      <c r="Q1587">
        <v>180</v>
      </c>
      <c r="R1587">
        <v>0</v>
      </c>
      <c r="S1587">
        <v>74</v>
      </c>
      <c r="T1587">
        <v>1</v>
      </c>
      <c r="U1587" s="3">
        <f t="shared" si="142"/>
        <v>1</v>
      </c>
      <c r="V1587" s="3">
        <f t="shared" si="136"/>
        <v>1</v>
      </c>
    </row>
    <row r="1588" spans="1:22" x14ac:dyDescent="0.25">
      <c r="A1588" s="2">
        <v>2017</v>
      </c>
      <c r="B1588" t="s">
        <v>89</v>
      </c>
      <c r="C1588" t="s">
        <v>21</v>
      </c>
      <c r="D1588" s="2" t="s">
        <v>231</v>
      </c>
      <c r="E1588" s="2" t="s">
        <v>232</v>
      </c>
      <c r="F1588" t="s">
        <v>337</v>
      </c>
      <c r="G1588">
        <v>0</v>
      </c>
      <c r="H1588">
        <v>0</v>
      </c>
      <c r="I1588">
        <v>0</v>
      </c>
      <c r="J1588">
        <v>0</v>
      </c>
      <c r="K1588">
        <v>0</v>
      </c>
      <c r="L1588" s="6">
        <f t="shared" si="141"/>
        <v>0</v>
      </c>
      <c r="M1588">
        <v>6</v>
      </c>
      <c r="N1588">
        <v>0</v>
      </c>
      <c r="O1588" s="9">
        <v>0</v>
      </c>
      <c r="P1588">
        <v>0</v>
      </c>
      <c r="Q1588">
        <v>4</v>
      </c>
      <c r="R1588">
        <v>0</v>
      </c>
      <c r="S1588">
        <v>2</v>
      </c>
      <c r="T1588">
        <v>0</v>
      </c>
      <c r="U1588" s="3">
        <f t="shared" si="142"/>
        <v>1</v>
      </c>
      <c r="V1588" s="3">
        <f t="shared" si="136"/>
        <v>1</v>
      </c>
    </row>
    <row r="1589" spans="1:22" x14ac:dyDescent="0.25">
      <c r="A1589" s="2">
        <v>2017</v>
      </c>
      <c r="B1589" t="s">
        <v>89</v>
      </c>
      <c r="C1589" t="s">
        <v>21</v>
      </c>
      <c r="D1589" s="2" t="s">
        <v>261</v>
      </c>
      <c r="E1589" s="2" t="s">
        <v>262</v>
      </c>
      <c r="F1589" t="s">
        <v>57</v>
      </c>
      <c r="G1589">
        <v>0</v>
      </c>
      <c r="H1589">
        <v>0</v>
      </c>
      <c r="I1589">
        <v>0</v>
      </c>
      <c r="J1589">
        <v>0</v>
      </c>
      <c r="K1589">
        <v>0</v>
      </c>
      <c r="L1589" s="6">
        <f t="shared" si="141"/>
        <v>0</v>
      </c>
      <c r="M1589">
        <v>1</v>
      </c>
      <c r="N1589">
        <v>1</v>
      </c>
      <c r="O1589" s="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s="3">
        <f t="shared" si="142"/>
        <v>1</v>
      </c>
      <c r="V1589" s="3">
        <f t="shared" si="136"/>
        <v>1</v>
      </c>
    </row>
    <row r="1590" spans="1:22" x14ac:dyDescent="0.25">
      <c r="A1590" s="2">
        <v>2017</v>
      </c>
      <c r="B1590" t="s">
        <v>89</v>
      </c>
      <c r="C1590" t="s">
        <v>21</v>
      </c>
      <c r="D1590" s="2" t="s">
        <v>234</v>
      </c>
      <c r="E1590" s="2" t="s">
        <v>137</v>
      </c>
      <c r="F1590" t="s">
        <v>34</v>
      </c>
      <c r="G1590">
        <v>5</v>
      </c>
      <c r="H1590">
        <v>5</v>
      </c>
      <c r="I1590">
        <v>0</v>
      </c>
      <c r="J1590">
        <v>0</v>
      </c>
      <c r="K1590">
        <v>0</v>
      </c>
      <c r="L1590" s="6">
        <f t="shared" si="141"/>
        <v>1</v>
      </c>
      <c r="M1590">
        <v>91</v>
      </c>
      <c r="N1590">
        <v>12</v>
      </c>
      <c r="O1590" s="9">
        <v>0</v>
      </c>
      <c r="P1590">
        <v>0</v>
      </c>
      <c r="Q1590">
        <v>42</v>
      </c>
      <c r="R1590">
        <v>0</v>
      </c>
      <c r="S1590">
        <v>37</v>
      </c>
      <c r="T1590">
        <v>0</v>
      </c>
      <c r="U1590" s="3">
        <f t="shared" si="142"/>
        <v>1</v>
      </c>
      <c r="V1590" s="3">
        <f t="shared" si="136"/>
        <v>1</v>
      </c>
    </row>
    <row r="1591" spans="1:22" x14ac:dyDescent="0.25">
      <c r="A1591" s="2">
        <v>2017</v>
      </c>
      <c r="B1591" t="s">
        <v>89</v>
      </c>
      <c r="C1591" t="s">
        <v>21</v>
      </c>
      <c r="D1591" s="2" t="s">
        <v>165</v>
      </c>
      <c r="E1591" s="2" t="s">
        <v>166</v>
      </c>
      <c r="F1591" t="s">
        <v>368</v>
      </c>
      <c r="G1591">
        <v>1</v>
      </c>
      <c r="H1591">
        <v>1</v>
      </c>
      <c r="I1591">
        <v>0</v>
      </c>
      <c r="J1591">
        <v>0</v>
      </c>
      <c r="K1591">
        <v>1</v>
      </c>
      <c r="L1591" s="6">
        <f t="shared" si="141"/>
        <v>1</v>
      </c>
      <c r="M1591">
        <v>61</v>
      </c>
      <c r="N1591">
        <v>5</v>
      </c>
      <c r="O1591" s="9">
        <v>0</v>
      </c>
      <c r="P1591">
        <v>0</v>
      </c>
      <c r="Q1591">
        <v>45</v>
      </c>
      <c r="R1591">
        <v>0</v>
      </c>
      <c r="S1591">
        <v>11</v>
      </c>
      <c r="T1591">
        <v>0</v>
      </c>
      <c r="U1591" s="3">
        <f t="shared" si="142"/>
        <v>1</v>
      </c>
      <c r="V1591" s="3">
        <f t="shared" si="136"/>
        <v>1</v>
      </c>
    </row>
    <row r="1592" spans="1:22" x14ac:dyDescent="0.25">
      <c r="A1592" s="2">
        <v>2017</v>
      </c>
      <c r="B1592" t="s">
        <v>89</v>
      </c>
      <c r="C1592" t="s">
        <v>21</v>
      </c>
      <c r="D1592" s="2" t="s">
        <v>263</v>
      </c>
      <c r="E1592" s="2" t="s">
        <v>264</v>
      </c>
      <c r="F1592" t="s">
        <v>35</v>
      </c>
      <c r="G1592">
        <v>4</v>
      </c>
      <c r="H1592">
        <v>4</v>
      </c>
      <c r="I1592">
        <v>0</v>
      </c>
      <c r="J1592">
        <v>0</v>
      </c>
      <c r="K1592">
        <v>0</v>
      </c>
      <c r="L1592" s="6">
        <f t="shared" si="141"/>
        <v>1</v>
      </c>
      <c r="M1592">
        <v>357</v>
      </c>
      <c r="N1592">
        <v>42</v>
      </c>
      <c r="O1592" s="9">
        <v>0</v>
      </c>
      <c r="P1592">
        <v>0</v>
      </c>
      <c r="Q1592">
        <v>271</v>
      </c>
      <c r="R1592">
        <v>0</v>
      </c>
      <c r="S1592">
        <v>43</v>
      </c>
      <c r="T1592">
        <v>1</v>
      </c>
      <c r="U1592" s="3">
        <f t="shared" si="142"/>
        <v>1</v>
      </c>
      <c r="V1592" s="3">
        <f t="shared" si="136"/>
        <v>1</v>
      </c>
    </row>
    <row r="1593" spans="1:22" x14ac:dyDescent="0.25">
      <c r="A1593" s="2">
        <v>2017</v>
      </c>
      <c r="B1593" t="s">
        <v>89</v>
      </c>
      <c r="C1593" t="s">
        <v>21</v>
      </c>
      <c r="D1593" s="2" t="s">
        <v>235</v>
      </c>
      <c r="E1593" s="2" t="s">
        <v>236</v>
      </c>
      <c r="F1593" t="s">
        <v>36</v>
      </c>
      <c r="G1593">
        <v>7</v>
      </c>
      <c r="H1593">
        <v>7</v>
      </c>
      <c r="I1593">
        <v>0</v>
      </c>
      <c r="J1593">
        <v>0</v>
      </c>
      <c r="K1593">
        <v>0</v>
      </c>
      <c r="L1593" s="6">
        <f t="shared" si="141"/>
        <v>1</v>
      </c>
      <c r="M1593">
        <v>159</v>
      </c>
      <c r="N1593">
        <v>22</v>
      </c>
      <c r="O1593" s="9">
        <v>0</v>
      </c>
      <c r="P1593">
        <v>0</v>
      </c>
      <c r="Q1593">
        <v>87</v>
      </c>
      <c r="R1593">
        <v>0</v>
      </c>
      <c r="S1593">
        <v>50</v>
      </c>
      <c r="T1593">
        <v>0</v>
      </c>
      <c r="U1593" s="3">
        <f t="shared" si="142"/>
        <v>1</v>
      </c>
      <c r="V1593" s="3">
        <f t="shared" si="136"/>
        <v>1</v>
      </c>
    </row>
    <row r="1594" spans="1:22" x14ac:dyDescent="0.25">
      <c r="A1594" s="2">
        <v>2017</v>
      </c>
      <c r="B1594" t="s">
        <v>89</v>
      </c>
      <c r="C1594" t="s">
        <v>21</v>
      </c>
      <c r="D1594" s="2" t="s">
        <v>239</v>
      </c>
      <c r="E1594" s="2" t="s">
        <v>240</v>
      </c>
      <c r="F1594" t="s">
        <v>37</v>
      </c>
      <c r="G1594">
        <v>6</v>
      </c>
      <c r="H1594">
        <v>6</v>
      </c>
      <c r="I1594">
        <v>0</v>
      </c>
      <c r="J1594">
        <v>0</v>
      </c>
      <c r="K1594">
        <v>0</v>
      </c>
      <c r="L1594" s="6">
        <f t="shared" si="141"/>
        <v>1</v>
      </c>
      <c r="M1594">
        <v>98</v>
      </c>
      <c r="N1594">
        <v>11</v>
      </c>
      <c r="O1594" s="9">
        <v>0</v>
      </c>
      <c r="P1594">
        <v>0</v>
      </c>
      <c r="Q1594">
        <v>42</v>
      </c>
      <c r="R1594">
        <v>0</v>
      </c>
      <c r="S1594">
        <v>45</v>
      </c>
      <c r="T1594">
        <v>0</v>
      </c>
      <c r="U1594" s="3">
        <f t="shared" si="142"/>
        <v>1</v>
      </c>
      <c r="V1594" s="3">
        <f t="shared" si="136"/>
        <v>1</v>
      </c>
    </row>
    <row r="1595" spans="1:22" x14ac:dyDescent="0.25">
      <c r="A1595" s="2">
        <v>2017</v>
      </c>
      <c r="B1595" t="s">
        <v>89</v>
      </c>
      <c r="C1595" t="s">
        <v>21</v>
      </c>
      <c r="D1595" s="2" t="s">
        <v>265</v>
      </c>
      <c r="E1595" s="2" t="s">
        <v>266</v>
      </c>
      <c r="F1595" t="s">
        <v>349</v>
      </c>
      <c r="G1595">
        <v>25</v>
      </c>
      <c r="H1595">
        <v>24</v>
      </c>
      <c r="I1595">
        <v>0</v>
      </c>
      <c r="J1595">
        <v>0</v>
      </c>
      <c r="K1595">
        <v>0</v>
      </c>
      <c r="L1595" s="6">
        <f t="shared" si="141"/>
        <v>0.96</v>
      </c>
      <c r="M1595">
        <v>383</v>
      </c>
      <c r="N1595">
        <v>28</v>
      </c>
      <c r="O1595" s="9">
        <v>0</v>
      </c>
      <c r="P1595">
        <v>1</v>
      </c>
      <c r="Q1595">
        <v>187</v>
      </c>
      <c r="R1595">
        <v>0</v>
      </c>
      <c r="S1595">
        <v>166</v>
      </c>
      <c r="T1595">
        <v>1</v>
      </c>
      <c r="U1595" s="3">
        <f t="shared" si="142"/>
        <v>0.99738903394255873</v>
      </c>
      <c r="V1595" s="3">
        <f t="shared" si="136"/>
        <v>0.99509803921568629</v>
      </c>
    </row>
    <row r="1596" spans="1:22" x14ac:dyDescent="0.25">
      <c r="A1596" s="2">
        <v>2017</v>
      </c>
      <c r="B1596" t="s">
        <v>89</v>
      </c>
      <c r="C1596" t="s">
        <v>21</v>
      </c>
      <c r="D1596" s="2" t="s">
        <v>267</v>
      </c>
      <c r="E1596" s="2" t="s">
        <v>268</v>
      </c>
      <c r="F1596" t="s">
        <v>350</v>
      </c>
      <c r="G1596">
        <v>26</v>
      </c>
      <c r="H1596">
        <v>26</v>
      </c>
      <c r="I1596">
        <v>0</v>
      </c>
      <c r="J1596">
        <v>0</v>
      </c>
      <c r="K1596">
        <v>0</v>
      </c>
      <c r="L1596" s="6">
        <f t="shared" si="141"/>
        <v>1</v>
      </c>
      <c r="M1596">
        <v>344</v>
      </c>
      <c r="N1596">
        <v>46</v>
      </c>
      <c r="O1596" s="9">
        <v>0</v>
      </c>
      <c r="P1596">
        <v>0</v>
      </c>
      <c r="Q1596">
        <v>155</v>
      </c>
      <c r="R1596">
        <v>1</v>
      </c>
      <c r="S1596">
        <v>142</v>
      </c>
      <c r="T1596">
        <v>0</v>
      </c>
      <c r="U1596" s="3">
        <f t="shared" si="142"/>
        <v>0.99709302325581395</v>
      </c>
      <c r="V1596" s="3">
        <f t="shared" si="136"/>
        <v>0.99729729729729732</v>
      </c>
    </row>
    <row r="1597" spans="1:22" x14ac:dyDescent="0.25">
      <c r="A1597" s="2">
        <v>2017</v>
      </c>
      <c r="B1597" t="s">
        <v>89</v>
      </c>
      <c r="C1597" t="s">
        <v>21</v>
      </c>
      <c r="D1597" s="2" t="s">
        <v>241</v>
      </c>
      <c r="E1597" s="2" t="s">
        <v>242</v>
      </c>
      <c r="F1597" t="s">
        <v>341</v>
      </c>
      <c r="G1597">
        <v>23</v>
      </c>
      <c r="H1597">
        <v>22</v>
      </c>
      <c r="I1597">
        <v>0</v>
      </c>
      <c r="J1597">
        <v>0</v>
      </c>
      <c r="K1597">
        <v>0</v>
      </c>
      <c r="L1597" s="6">
        <f t="shared" si="141"/>
        <v>0.95652173913043481</v>
      </c>
      <c r="M1597">
        <v>310</v>
      </c>
      <c r="N1597">
        <v>26</v>
      </c>
      <c r="O1597" s="9">
        <v>0</v>
      </c>
      <c r="P1597">
        <v>1</v>
      </c>
      <c r="Q1597">
        <v>158</v>
      </c>
      <c r="R1597">
        <v>1</v>
      </c>
      <c r="S1597">
        <v>123</v>
      </c>
      <c r="T1597">
        <v>1</v>
      </c>
      <c r="U1597" s="3">
        <f t="shared" si="142"/>
        <v>0.99354838709677418</v>
      </c>
      <c r="V1597" s="3">
        <f t="shared" ref="V1597:V1603" si="143">IF(AND(G1597=0,M1597=0),0,(H1597+I1597+J1597+N1597+Q1597+S1597+T1597)/(G1597+M1597))</f>
        <v>0.99099099099099097</v>
      </c>
    </row>
    <row r="1598" spans="1:22" x14ac:dyDescent="0.25">
      <c r="A1598" s="2">
        <v>2017</v>
      </c>
      <c r="B1598" t="s">
        <v>89</v>
      </c>
      <c r="C1598" t="s">
        <v>21</v>
      </c>
      <c r="D1598" s="2" t="s">
        <v>245</v>
      </c>
      <c r="E1598" s="2" t="s">
        <v>86</v>
      </c>
      <c r="F1598" t="s">
        <v>342</v>
      </c>
      <c r="G1598">
        <v>4</v>
      </c>
      <c r="H1598">
        <v>4</v>
      </c>
      <c r="I1598">
        <v>0</v>
      </c>
      <c r="J1598">
        <v>0</v>
      </c>
      <c r="K1598">
        <v>0</v>
      </c>
      <c r="L1598" s="6">
        <f t="shared" si="141"/>
        <v>1</v>
      </c>
      <c r="M1598">
        <v>44</v>
      </c>
      <c r="N1598">
        <v>5</v>
      </c>
      <c r="O1598" s="9">
        <v>0</v>
      </c>
      <c r="P1598">
        <v>0</v>
      </c>
      <c r="Q1598">
        <v>25</v>
      </c>
      <c r="R1598">
        <v>0</v>
      </c>
      <c r="S1598">
        <v>14</v>
      </c>
      <c r="T1598">
        <v>0</v>
      </c>
      <c r="U1598" s="3">
        <f t="shared" si="142"/>
        <v>1</v>
      </c>
      <c r="V1598" s="3">
        <f t="shared" si="143"/>
        <v>1</v>
      </c>
    </row>
    <row r="1599" spans="1:22" x14ac:dyDescent="0.25">
      <c r="A1599" s="2">
        <v>2017</v>
      </c>
      <c r="B1599" t="s">
        <v>89</v>
      </c>
      <c r="C1599" t="s">
        <v>21</v>
      </c>
      <c r="D1599" s="2" t="s">
        <v>269</v>
      </c>
      <c r="E1599" s="2" t="s">
        <v>270</v>
      </c>
      <c r="F1599" t="s">
        <v>351</v>
      </c>
      <c r="G1599">
        <v>4</v>
      </c>
      <c r="H1599">
        <v>4</v>
      </c>
      <c r="I1599">
        <v>0</v>
      </c>
      <c r="J1599">
        <v>0</v>
      </c>
      <c r="K1599">
        <v>0</v>
      </c>
      <c r="L1599" s="6">
        <f t="shared" si="141"/>
        <v>1</v>
      </c>
      <c r="M1599">
        <v>239</v>
      </c>
      <c r="N1599">
        <v>33</v>
      </c>
      <c r="O1599" s="9">
        <v>0</v>
      </c>
      <c r="P1599">
        <v>0</v>
      </c>
      <c r="Q1599">
        <v>156</v>
      </c>
      <c r="R1599">
        <v>1</v>
      </c>
      <c r="S1599">
        <v>49</v>
      </c>
      <c r="T1599">
        <v>0</v>
      </c>
      <c r="U1599" s="3">
        <f t="shared" si="142"/>
        <v>0.99581589958159</v>
      </c>
      <c r="V1599" s="3">
        <f t="shared" si="143"/>
        <v>0.99588477366255146</v>
      </c>
    </row>
    <row r="1600" spans="1:22" x14ac:dyDescent="0.25">
      <c r="A1600" s="2">
        <v>2017</v>
      </c>
      <c r="B1600" t="s">
        <v>89</v>
      </c>
      <c r="C1600" t="s">
        <v>21</v>
      </c>
      <c r="D1600" s="2" t="s">
        <v>246</v>
      </c>
      <c r="E1600" s="2" t="s">
        <v>247</v>
      </c>
      <c r="F1600" t="s">
        <v>343</v>
      </c>
      <c r="G1600">
        <v>1</v>
      </c>
      <c r="H1600">
        <v>1</v>
      </c>
      <c r="I1600">
        <v>0</v>
      </c>
      <c r="J1600">
        <v>0</v>
      </c>
      <c r="K1600">
        <v>0</v>
      </c>
      <c r="L1600" s="6">
        <f t="shared" si="141"/>
        <v>1</v>
      </c>
      <c r="M1600">
        <v>7</v>
      </c>
      <c r="N1600">
        <v>0</v>
      </c>
      <c r="O1600" s="9">
        <v>0</v>
      </c>
      <c r="P1600">
        <v>0</v>
      </c>
      <c r="Q1600">
        <v>2</v>
      </c>
      <c r="R1600">
        <v>0</v>
      </c>
      <c r="S1600">
        <v>4</v>
      </c>
      <c r="T1600">
        <v>1</v>
      </c>
      <c r="U1600" s="3">
        <f t="shared" si="142"/>
        <v>1</v>
      </c>
      <c r="V1600" s="3">
        <f t="shared" si="143"/>
        <v>1</v>
      </c>
    </row>
    <row r="1601" spans="1:22" x14ac:dyDescent="0.25">
      <c r="A1601" s="2">
        <v>2017</v>
      </c>
      <c r="B1601" t="s">
        <v>89</v>
      </c>
      <c r="C1601" t="s">
        <v>21</v>
      </c>
      <c r="D1601" s="2" t="s">
        <v>250</v>
      </c>
      <c r="E1601" s="2" t="s">
        <v>251</v>
      </c>
      <c r="F1601" t="s">
        <v>344</v>
      </c>
      <c r="G1601">
        <v>4</v>
      </c>
      <c r="H1601">
        <v>4</v>
      </c>
      <c r="I1601">
        <v>0</v>
      </c>
      <c r="J1601">
        <v>0</v>
      </c>
      <c r="K1601">
        <v>0</v>
      </c>
      <c r="L1601" s="6">
        <f t="shared" si="141"/>
        <v>1</v>
      </c>
      <c r="M1601">
        <v>133</v>
      </c>
      <c r="N1601">
        <v>15</v>
      </c>
      <c r="O1601" s="9">
        <v>0</v>
      </c>
      <c r="P1601">
        <v>0</v>
      </c>
      <c r="Q1601">
        <v>71</v>
      </c>
      <c r="R1601">
        <v>0</v>
      </c>
      <c r="S1601">
        <v>47</v>
      </c>
      <c r="T1601">
        <v>0</v>
      </c>
      <c r="U1601" s="3">
        <f t="shared" si="142"/>
        <v>1</v>
      </c>
      <c r="V1601" s="3">
        <f t="shared" si="143"/>
        <v>1</v>
      </c>
    </row>
    <row r="1602" spans="1:22" x14ac:dyDescent="0.25">
      <c r="A1602" s="2">
        <v>2017</v>
      </c>
      <c r="B1602" t="s">
        <v>89</v>
      </c>
      <c r="C1602" t="s">
        <v>21</v>
      </c>
      <c r="D1602" s="2" t="s">
        <v>252</v>
      </c>
      <c r="E1602" s="2" t="s">
        <v>253</v>
      </c>
      <c r="F1602" t="s">
        <v>345</v>
      </c>
      <c r="G1602">
        <v>4</v>
      </c>
      <c r="H1602">
        <v>4</v>
      </c>
      <c r="I1602">
        <v>0</v>
      </c>
      <c r="J1602">
        <v>0</v>
      </c>
      <c r="K1602">
        <v>0</v>
      </c>
      <c r="L1602" s="6">
        <f t="shared" si="141"/>
        <v>1</v>
      </c>
      <c r="M1602">
        <v>30</v>
      </c>
      <c r="N1602">
        <v>6</v>
      </c>
      <c r="O1602" s="9">
        <v>0</v>
      </c>
      <c r="P1602">
        <v>0</v>
      </c>
      <c r="Q1602">
        <v>10</v>
      </c>
      <c r="R1602">
        <v>0</v>
      </c>
      <c r="S1602">
        <v>14</v>
      </c>
      <c r="T1602">
        <v>0</v>
      </c>
      <c r="U1602" s="3">
        <f t="shared" si="142"/>
        <v>1</v>
      </c>
      <c r="V1602" s="3">
        <f t="shared" si="143"/>
        <v>1</v>
      </c>
    </row>
    <row r="1603" spans="1:22" x14ac:dyDescent="0.25">
      <c r="A1603" s="2">
        <v>2017</v>
      </c>
      <c r="B1603" t="s">
        <v>89</v>
      </c>
      <c r="C1603" t="s">
        <v>21</v>
      </c>
      <c r="D1603" s="2" t="s">
        <v>254</v>
      </c>
      <c r="E1603" s="2" t="s">
        <v>255</v>
      </c>
      <c r="F1603" t="s">
        <v>347</v>
      </c>
      <c r="G1603">
        <v>6</v>
      </c>
      <c r="H1603">
        <v>6</v>
      </c>
      <c r="I1603">
        <v>0</v>
      </c>
      <c r="J1603">
        <v>0</v>
      </c>
      <c r="K1603">
        <v>1</v>
      </c>
      <c r="L1603" s="6">
        <f t="shared" si="141"/>
        <v>1</v>
      </c>
      <c r="M1603">
        <v>54</v>
      </c>
      <c r="N1603">
        <v>5</v>
      </c>
      <c r="O1603" s="9">
        <v>0</v>
      </c>
      <c r="P1603">
        <v>0</v>
      </c>
      <c r="Q1603">
        <v>29</v>
      </c>
      <c r="R1603">
        <v>0</v>
      </c>
      <c r="S1603">
        <v>20</v>
      </c>
      <c r="T1603">
        <v>0</v>
      </c>
      <c r="U1603" s="3">
        <f t="shared" si="142"/>
        <v>1</v>
      </c>
      <c r="V1603" s="3">
        <f t="shared" si="143"/>
        <v>1</v>
      </c>
    </row>
    <row r="1604" spans="1:22" x14ac:dyDescent="0.25">
      <c r="A1604" s="2">
        <v>2017</v>
      </c>
      <c r="B1604" t="s">
        <v>271</v>
      </c>
      <c r="C1604" t="s">
        <v>1</v>
      </c>
      <c r="D1604" s="2">
        <v>53</v>
      </c>
      <c r="E1604" s="2" t="s">
        <v>90</v>
      </c>
      <c r="F1604" t="s">
        <v>470</v>
      </c>
      <c r="G1604">
        <v>6</v>
      </c>
      <c r="H1604">
        <v>6</v>
      </c>
      <c r="I1604">
        <v>0</v>
      </c>
      <c r="J1604">
        <v>0</v>
      </c>
      <c r="K1604">
        <v>0</v>
      </c>
      <c r="L1604" s="6">
        <f t="shared" ref="L1604:L1634" si="144">IF(G1604=0,0,SUM(H1604:J1604)/G1604)</f>
        <v>1</v>
      </c>
      <c r="M1604">
        <v>136</v>
      </c>
      <c r="N1604">
        <v>19</v>
      </c>
      <c r="O1604" s="9">
        <v>0</v>
      </c>
      <c r="P1604">
        <v>0</v>
      </c>
      <c r="Q1604">
        <v>68</v>
      </c>
      <c r="R1604">
        <v>0</v>
      </c>
      <c r="S1604">
        <v>49</v>
      </c>
      <c r="T1604">
        <v>0</v>
      </c>
      <c r="U1604" s="3">
        <f t="shared" si="142"/>
        <v>1</v>
      </c>
      <c r="V1604" s="3">
        <f t="shared" ref="V1604:V1634" si="145">IF(AND(G1604=0,M1604=0),0,(H1604+I1604+J1604+N1604+Q1604+S1604+T1604)/(G1604+M1604))</f>
        <v>1</v>
      </c>
    </row>
    <row r="1605" spans="1:22" x14ac:dyDescent="0.25">
      <c r="A1605" s="2">
        <v>2017</v>
      </c>
      <c r="B1605" t="s">
        <v>271</v>
      </c>
      <c r="C1605" t="s">
        <v>1</v>
      </c>
      <c r="D1605" s="2">
        <v>243</v>
      </c>
      <c r="E1605" s="2" t="s">
        <v>91</v>
      </c>
      <c r="F1605" t="s">
        <v>471</v>
      </c>
      <c r="G1605">
        <v>2</v>
      </c>
      <c r="H1605">
        <v>2</v>
      </c>
      <c r="I1605">
        <v>0</v>
      </c>
      <c r="J1605">
        <v>0</v>
      </c>
      <c r="K1605">
        <v>0</v>
      </c>
      <c r="L1605" s="6">
        <f t="shared" si="144"/>
        <v>1</v>
      </c>
      <c r="M1605">
        <v>89</v>
      </c>
      <c r="N1605">
        <v>18</v>
      </c>
      <c r="O1605" s="9">
        <v>0</v>
      </c>
      <c r="P1605">
        <v>0</v>
      </c>
      <c r="Q1605">
        <v>36</v>
      </c>
      <c r="R1605">
        <v>0</v>
      </c>
      <c r="S1605">
        <v>34</v>
      </c>
      <c r="T1605">
        <v>1</v>
      </c>
      <c r="U1605" s="3">
        <f t="shared" si="142"/>
        <v>1</v>
      </c>
      <c r="V1605" s="3">
        <f t="shared" si="145"/>
        <v>1</v>
      </c>
    </row>
    <row r="1606" spans="1:22" x14ac:dyDescent="0.25">
      <c r="A1606" s="2">
        <v>2017</v>
      </c>
      <c r="B1606" t="s">
        <v>271</v>
      </c>
      <c r="C1606" t="s">
        <v>1</v>
      </c>
      <c r="D1606" s="2">
        <v>16594</v>
      </c>
      <c r="E1606" s="2" t="s">
        <v>92</v>
      </c>
      <c r="F1606" t="s">
        <v>472</v>
      </c>
      <c r="G1606">
        <v>4</v>
      </c>
      <c r="H1606">
        <v>4</v>
      </c>
      <c r="I1606">
        <v>0</v>
      </c>
      <c r="J1606">
        <v>0</v>
      </c>
      <c r="K1606">
        <v>0</v>
      </c>
      <c r="L1606" s="6">
        <f t="shared" si="144"/>
        <v>1</v>
      </c>
      <c r="M1606">
        <v>72</v>
      </c>
      <c r="N1606">
        <v>17</v>
      </c>
      <c r="O1606" s="9">
        <v>0</v>
      </c>
      <c r="P1606">
        <v>0</v>
      </c>
      <c r="Q1606">
        <v>28</v>
      </c>
      <c r="R1606">
        <v>0</v>
      </c>
      <c r="S1606">
        <v>26</v>
      </c>
      <c r="T1606">
        <v>1</v>
      </c>
      <c r="U1606" s="3">
        <f t="shared" si="142"/>
        <v>1</v>
      </c>
      <c r="V1606" s="3">
        <f t="shared" si="145"/>
        <v>1</v>
      </c>
    </row>
    <row r="1607" spans="1:22" x14ac:dyDescent="0.25">
      <c r="A1607" s="2">
        <v>2017</v>
      </c>
      <c r="B1607" t="s">
        <v>271</v>
      </c>
      <c r="C1607" t="s">
        <v>1</v>
      </c>
      <c r="D1607" s="2">
        <v>335</v>
      </c>
      <c r="E1607" s="2" t="s">
        <v>93</v>
      </c>
      <c r="F1607" t="s">
        <v>473</v>
      </c>
      <c r="G1607">
        <v>21</v>
      </c>
      <c r="H1607">
        <v>21</v>
      </c>
      <c r="I1607">
        <v>0</v>
      </c>
      <c r="J1607">
        <v>0</v>
      </c>
      <c r="K1607">
        <v>0</v>
      </c>
      <c r="L1607" s="6">
        <f t="shared" si="144"/>
        <v>1</v>
      </c>
      <c r="M1607">
        <v>195</v>
      </c>
      <c r="N1607">
        <v>34</v>
      </c>
      <c r="O1607" s="9">
        <v>0</v>
      </c>
      <c r="P1607">
        <v>0</v>
      </c>
      <c r="Q1607">
        <v>60</v>
      </c>
      <c r="R1607">
        <v>0</v>
      </c>
      <c r="S1607">
        <v>101</v>
      </c>
      <c r="T1607">
        <v>0</v>
      </c>
      <c r="U1607" s="3">
        <f t="shared" si="142"/>
        <v>1</v>
      </c>
      <c r="V1607" s="3">
        <f t="shared" si="145"/>
        <v>1</v>
      </c>
    </row>
    <row r="1608" spans="1:22" x14ac:dyDescent="0.25">
      <c r="A1608" s="2">
        <v>2017</v>
      </c>
      <c r="B1608" t="s">
        <v>271</v>
      </c>
      <c r="C1608" t="s">
        <v>1</v>
      </c>
      <c r="D1608" s="2">
        <v>473</v>
      </c>
      <c r="E1608" s="2" t="s">
        <v>94</v>
      </c>
      <c r="F1608" t="s">
        <v>474</v>
      </c>
      <c r="G1608">
        <v>9</v>
      </c>
      <c r="H1608">
        <v>9</v>
      </c>
      <c r="I1608">
        <v>0</v>
      </c>
      <c r="J1608">
        <v>0</v>
      </c>
      <c r="K1608">
        <v>0</v>
      </c>
      <c r="L1608" s="6">
        <f t="shared" si="144"/>
        <v>1</v>
      </c>
      <c r="M1608">
        <v>125</v>
      </c>
      <c r="N1608">
        <v>19</v>
      </c>
      <c r="O1608" s="9">
        <v>0</v>
      </c>
      <c r="P1608">
        <v>0</v>
      </c>
      <c r="Q1608">
        <v>42</v>
      </c>
      <c r="R1608">
        <v>0</v>
      </c>
      <c r="S1608">
        <v>64</v>
      </c>
      <c r="T1608">
        <v>0</v>
      </c>
      <c r="U1608" s="3">
        <f t="shared" si="142"/>
        <v>1</v>
      </c>
      <c r="V1608" s="3">
        <f t="shared" si="145"/>
        <v>1</v>
      </c>
    </row>
    <row r="1609" spans="1:22" x14ac:dyDescent="0.25">
      <c r="A1609" s="2">
        <v>2017</v>
      </c>
      <c r="B1609" t="s">
        <v>271</v>
      </c>
      <c r="C1609" t="s">
        <v>1</v>
      </c>
      <c r="D1609" s="2">
        <v>67</v>
      </c>
      <c r="E1609" s="2" t="s">
        <v>95</v>
      </c>
      <c r="F1609" t="s">
        <v>475</v>
      </c>
      <c r="G1609">
        <v>7</v>
      </c>
      <c r="H1609">
        <v>7</v>
      </c>
      <c r="I1609">
        <v>0</v>
      </c>
      <c r="J1609">
        <v>0</v>
      </c>
      <c r="K1609">
        <v>0</v>
      </c>
      <c r="L1609" s="6">
        <f t="shared" si="144"/>
        <v>1</v>
      </c>
      <c r="M1609">
        <v>72</v>
      </c>
      <c r="N1609">
        <v>15</v>
      </c>
      <c r="O1609" s="9">
        <v>0</v>
      </c>
      <c r="P1609">
        <v>0</v>
      </c>
      <c r="Q1609">
        <v>22</v>
      </c>
      <c r="R1609">
        <v>0</v>
      </c>
      <c r="S1609">
        <v>35</v>
      </c>
      <c r="T1609">
        <v>0</v>
      </c>
      <c r="U1609" s="3">
        <f t="shared" si="142"/>
        <v>1</v>
      </c>
      <c r="V1609" s="3">
        <f t="shared" si="145"/>
        <v>1</v>
      </c>
    </row>
    <row r="1610" spans="1:22" x14ac:dyDescent="0.25">
      <c r="A1610" s="2">
        <v>2017</v>
      </c>
      <c r="B1610" t="s">
        <v>271</v>
      </c>
      <c r="C1610" t="s">
        <v>1</v>
      </c>
      <c r="F1610" t="s">
        <v>563</v>
      </c>
      <c r="G1610">
        <v>0</v>
      </c>
      <c r="H1610">
        <v>0</v>
      </c>
      <c r="I1610">
        <v>0</v>
      </c>
      <c r="J1610">
        <v>0</v>
      </c>
      <c r="K1610">
        <v>0</v>
      </c>
      <c r="L1610" s="6">
        <f t="shared" si="144"/>
        <v>0</v>
      </c>
      <c r="M1610">
        <v>13</v>
      </c>
      <c r="N1610">
        <v>0</v>
      </c>
      <c r="O1610" s="9">
        <v>0</v>
      </c>
      <c r="P1610">
        <v>0</v>
      </c>
      <c r="Q1610">
        <v>4</v>
      </c>
      <c r="R1610">
        <v>0</v>
      </c>
      <c r="S1610">
        <v>9</v>
      </c>
      <c r="T1610">
        <v>0</v>
      </c>
      <c r="U1610" s="3">
        <f t="shared" si="142"/>
        <v>1</v>
      </c>
      <c r="V1610" s="3">
        <f t="shared" si="145"/>
        <v>1</v>
      </c>
    </row>
    <row r="1611" spans="1:22" x14ac:dyDescent="0.25">
      <c r="A1611" s="2">
        <v>2017</v>
      </c>
      <c r="B1611" t="s">
        <v>271</v>
      </c>
      <c r="C1611" t="s">
        <v>1</v>
      </c>
      <c r="D1611" s="2">
        <v>3621</v>
      </c>
      <c r="E1611" s="2" t="s">
        <v>96</v>
      </c>
      <c r="F1611" t="s">
        <v>476</v>
      </c>
      <c r="G1611">
        <v>2</v>
      </c>
      <c r="H1611">
        <v>2</v>
      </c>
      <c r="I1611">
        <v>0</v>
      </c>
      <c r="J1611">
        <v>0</v>
      </c>
      <c r="K1611">
        <v>0</v>
      </c>
      <c r="L1611" s="6">
        <f t="shared" si="144"/>
        <v>1</v>
      </c>
      <c r="M1611">
        <v>107</v>
      </c>
      <c r="N1611">
        <v>26</v>
      </c>
      <c r="O1611" s="9">
        <v>0</v>
      </c>
      <c r="P1611">
        <v>0</v>
      </c>
      <c r="Q1611">
        <v>43</v>
      </c>
      <c r="R1611">
        <v>0</v>
      </c>
      <c r="S1611">
        <v>37</v>
      </c>
      <c r="T1611">
        <v>1</v>
      </c>
      <c r="U1611" s="3">
        <f t="shared" si="142"/>
        <v>1</v>
      </c>
      <c r="V1611" s="3">
        <f t="shared" si="145"/>
        <v>1</v>
      </c>
    </row>
    <row r="1612" spans="1:22" x14ac:dyDescent="0.25">
      <c r="A1612" s="2">
        <v>2017</v>
      </c>
      <c r="B1612" t="s">
        <v>271</v>
      </c>
      <c r="C1612" t="s">
        <v>1</v>
      </c>
      <c r="D1612" s="2">
        <v>567</v>
      </c>
      <c r="E1612" s="2" t="s">
        <v>97</v>
      </c>
      <c r="F1612" t="s">
        <v>477</v>
      </c>
      <c r="G1612">
        <v>6</v>
      </c>
      <c r="H1612">
        <v>6</v>
      </c>
      <c r="I1612">
        <v>0</v>
      </c>
      <c r="J1612">
        <v>0</v>
      </c>
      <c r="K1612">
        <v>0</v>
      </c>
      <c r="L1612" s="6">
        <f t="shared" si="144"/>
        <v>1</v>
      </c>
      <c r="M1612">
        <v>132</v>
      </c>
      <c r="N1612">
        <v>17</v>
      </c>
      <c r="O1612" s="9">
        <v>0</v>
      </c>
      <c r="P1612">
        <v>0</v>
      </c>
      <c r="Q1612">
        <v>60</v>
      </c>
      <c r="R1612">
        <v>0</v>
      </c>
      <c r="S1612">
        <v>55</v>
      </c>
      <c r="T1612">
        <v>0</v>
      </c>
      <c r="U1612" s="3">
        <f t="shared" si="142"/>
        <v>1</v>
      </c>
      <c r="V1612" s="3">
        <f t="shared" si="145"/>
        <v>1</v>
      </c>
    </row>
    <row r="1613" spans="1:22" x14ac:dyDescent="0.25">
      <c r="A1613" s="2">
        <v>2017</v>
      </c>
      <c r="B1613" t="s">
        <v>271</v>
      </c>
      <c r="C1613" t="s">
        <v>1</v>
      </c>
      <c r="D1613" s="2">
        <v>20430</v>
      </c>
      <c r="E1613" s="2" t="s">
        <v>561</v>
      </c>
      <c r="F1613" t="s">
        <v>505</v>
      </c>
      <c r="G1613">
        <v>8</v>
      </c>
      <c r="H1613">
        <v>8</v>
      </c>
      <c r="I1613">
        <v>0</v>
      </c>
      <c r="J1613">
        <v>0</v>
      </c>
      <c r="K1613">
        <v>0</v>
      </c>
      <c r="L1613" s="6">
        <f t="shared" si="144"/>
        <v>1</v>
      </c>
      <c r="M1613">
        <v>35</v>
      </c>
      <c r="N1613">
        <v>6</v>
      </c>
      <c r="O1613" s="9">
        <v>0</v>
      </c>
      <c r="P1613">
        <v>0</v>
      </c>
      <c r="Q1613">
        <v>6</v>
      </c>
      <c r="R1613">
        <v>0</v>
      </c>
      <c r="S1613">
        <v>21</v>
      </c>
      <c r="T1613">
        <v>2</v>
      </c>
      <c r="U1613" s="3">
        <f t="shared" si="142"/>
        <v>1</v>
      </c>
      <c r="V1613" s="3">
        <f t="shared" si="145"/>
        <v>1</v>
      </c>
    </row>
    <row r="1614" spans="1:22" x14ac:dyDescent="0.25">
      <c r="A1614" s="2">
        <v>2017</v>
      </c>
      <c r="B1614" t="s">
        <v>271</v>
      </c>
      <c r="C1614" t="s">
        <v>1</v>
      </c>
      <c r="D1614" s="2">
        <v>627</v>
      </c>
      <c r="E1614" s="2" t="s">
        <v>98</v>
      </c>
      <c r="F1614" t="s">
        <v>478</v>
      </c>
      <c r="G1614">
        <v>16</v>
      </c>
      <c r="H1614">
        <v>16</v>
      </c>
      <c r="I1614">
        <v>0</v>
      </c>
      <c r="J1614">
        <v>0</v>
      </c>
      <c r="K1614">
        <v>0</v>
      </c>
      <c r="L1614" s="6">
        <f t="shared" si="144"/>
        <v>1</v>
      </c>
      <c r="M1614">
        <v>191</v>
      </c>
      <c r="N1614">
        <v>45</v>
      </c>
      <c r="O1614" s="9">
        <v>0</v>
      </c>
      <c r="P1614">
        <v>0</v>
      </c>
      <c r="Q1614">
        <v>70</v>
      </c>
      <c r="R1614">
        <v>0</v>
      </c>
      <c r="S1614">
        <v>74</v>
      </c>
      <c r="T1614">
        <v>2</v>
      </c>
      <c r="U1614" s="3">
        <f t="shared" si="142"/>
        <v>1</v>
      </c>
      <c r="V1614" s="3">
        <f t="shared" si="145"/>
        <v>1</v>
      </c>
    </row>
    <row r="1615" spans="1:22" x14ac:dyDescent="0.25">
      <c r="A1615" s="2">
        <v>2017</v>
      </c>
      <c r="B1615" t="s">
        <v>271</v>
      </c>
      <c r="C1615" t="s">
        <v>1</v>
      </c>
      <c r="D1615" s="2">
        <v>130</v>
      </c>
      <c r="E1615" s="2" t="s">
        <v>99</v>
      </c>
      <c r="F1615" t="s">
        <v>479</v>
      </c>
      <c r="G1615">
        <v>2</v>
      </c>
      <c r="H1615">
        <v>2</v>
      </c>
      <c r="I1615">
        <v>0</v>
      </c>
      <c r="J1615">
        <v>0</v>
      </c>
      <c r="K1615">
        <v>0</v>
      </c>
      <c r="L1615" s="6">
        <f t="shared" si="144"/>
        <v>1</v>
      </c>
      <c r="M1615">
        <v>73</v>
      </c>
      <c r="N1615">
        <v>14</v>
      </c>
      <c r="O1615" s="9">
        <v>0</v>
      </c>
      <c r="P1615">
        <v>0</v>
      </c>
      <c r="Q1615">
        <v>34</v>
      </c>
      <c r="R1615">
        <v>0</v>
      </c>
      <c r="S1615">
        <v>25</v>
      </c>
      <c r="T1615">
        <v>0</v>
      </c>
      <c r="U1615" s="3">
        <f t="shared" si="142"/>
        <v>1</v>
      </c>
      <c r="V1615" s="3">
        <f t="shared" si="145"/>
        <v>1</v>
      </c>
    </row>
    <row r="1616" spans="1:22" x14ac:dyDescent="0.25">
      <c r="A1616" s="2">
        <v>2017</v>
      </c>
      <c r="B1616" t="s">
        <v>271</v>
      </c>
      <c r="C1616" t="s">
        <v>1</v>
      </c>
      <c r="D1616" s="2">
        <v>1397</v>
      </c>
      <c r="E1616" s="2" t="s">
        <v>100</v>
      </c>
      <c r="F1616" t="s">
        <v>480</v>
      </c>
      <c r="G1616">
        <v>6</v>
      </c>
      <c r="H1616">
        <v>6</v>
      </c>
      <c r="I1616">
        <v>0</v>
      </c>
      <c r="J1616">
        <v>0</v>
      </c>
      <c r="K1616">
        <v>0</v>
      </c>
      <c r="L1616" s="6">
        <f t="shared" si="144"/>
        <v>1</v>
      </c>
      <c r="M1616">
        <v>142</v>
      </c>
      <c r="N1616">
        <v>29</v>
      </c>
      <c r="O1616" s="9">
        <v>0</v>
      </c>
      <c r="P1616">
        <v>0</v>
      </c>
      <c r="Q1616">
        <v>66</v>
      </c>
      <c r="R1616">
        <v>0</v>
      </c>
      <c r="S1616">
        <v>47</v>
      </c>
      <c r="T1616">
        <v>0</v>
      </c>
      <c r="U1616" s="3">
        <f t="shared" si="142"/>
        <v>1</v>
      </c>
      <c r="V1616" s="3">
        <f t="shared" si="145"/>
        <v>1</v>
      </c>
    </row>
    <row r="1617" spans="1:22" x14ac:dyDescent="0.25">
      <c r="A1617" s="2">
        <v>2017</v>
      </c>
      <c r="B1617" t="s">
        <v>271</v>
      </c>
      <c r="C1617" t="s">
        <v>1</v>
      </c>
      <c r="D1617" s="2">
        <v>1508</v>
      </c>
      <c r="E1617" s="2" t="s">
        <v>101</v>
      </c>
      <c r="F1617" t="s">
        <v>481</v>
      </c>
      <c r="G1617">
        <v>5</v>
      </c>
      <c r="H1617">
        <v>5</v>
      </c>
      <c r="I1617">
        <v>0</v>
      </c>
      <c r="J1617">
        <v>0</v>
      </c>
      <c r="K1617">
        <v>0</v>
      </c>
      <c r="L1617" s="6">
        <f t="shared" si="144"/>
        <v>1</v>
      </c>
      <c r="M1617">
        <v>99</v>
      </c>
      <c r="N1617">
        <v>23</v>
      </c>
      <c r="O1617" s="9">
        <v>0</v>
      </c>
      <c r="P1617">
        <v>0</v>
      </c>
      <c r="Q1617">
        <v>47</v>
      </c>
      <c r="R1617">
        <v>0</v>
      </c>
      <c r="S1617">
        <v>29</v>
      </c>
      <c r="T1617">
        <v>0</v>
      </c>
      <c r="U1617" s="3">
        <f t="shared" si="142"/>
        <v>1</v>
      </c>
      <c r="V1617" s="3">
        <f t="shared" si="145"/>
        <v>1</v>
      </c>
    </row>
    <row r="1618" spans="1:22" x14ac:dyDescent="0.25">
      <c r="A1618" s="2">
        <v>2017</v>
      </c>
      <c r="B1618" t="s">
        <v>271</v>
      </c>
      <c r="C1618" t="s">
        <v>1</v>
      </c>
      <c r="D1618" s="2">
        <v>136</v>
      </c>
      <c r="E1618" s="2" t="s">
        <v>73</v>
      </c>
      <c r="F1618" t="s">
        <v>482</v>
      </c>
      <c r="G1618">
        <v>5</v>
      </c>
      <c r="H1618">
        <v>5</v>
      </c>
      <c r="I1618">
        <v>0</v>
      </c>
      <c r="J1618">
        <v>0</v>
      </c>
      <c r="K1618">
        <v>0</v>
      </c>
      <c r="L1618" s="6">
        <f t="shared" si="144"/>
        <v>1</v>
      </c>
      <c r="M1618">
        <v>99</v>
      </c>
      <c r="N1618">
        <v>17</v>
      </c>
      <c r="O1618" s="9">
        <v>0</v>
      </c>
      <c r="P1618">
        <v>0</v>
      </c>
      <c r="Q1618">
        <v>40</v>
      </c>
      <c r="R1618">
        <v>0</v>
      </c>
      <c r="S1618">
        <v>42</v>
      </c>
      <c r="T1618">
        <v>0</v>
      </c>
      <c r="U1618" s="3">
        <f t="shared" si="142"/>
        <v>1</v>
      </c>
      <c r="V1618" s="3">
        <f t="shared" si="145"/>
        <v>1</v>
      </c>
    </row>
    <row r="1619" spans="1:22" x14ac:dyDescent="0.25">
      <c r="A1619" s="2">
        <v>2017</v>
      </c>
      <c r="B1619" t="s">
        <v>271</v>
      </c>
      <c r="C1619" t="s">
        <v>1</v>
      </c>
      <c r="D1619" s="2">
        <v>138</v>
      </c>
      <c r="E1619" s="2" t="s">
        <v>102</v>
      </c>
      <c r="F1619" t="s">
        <v>483</v>
      </c>
      <c r="G1619">
        <v>6</v>
      </c>
      <c r="H1619">
        <v>6</v>
      </c>
      <c r="I1619">
        <v>0</v>
      </c>
      <c r="J1619">
        <v>0</v>
      </c>
      <c r="K1619">
        <v>0</v>
      </c>
      <c r="L1619" s="6">
        <f t="shared" si="144"/>
        <v>1</v>
      </c>
      <c r="M1619">
        <v>113</v>
      </c>
      <c r="N1619">
        <v>26</v>
      </c>
      <c r="O1619" s="9">
        <v>0</v>
      </c>
      <c r="P1619">
        <v>0</v>
      </c>
      <c r="Q1619">
        <v>41</v>
      </c>
      <c r="R1619">
        <v>0</v>
      </c>
      <c r="S1619">
        <v>46</v>
      </c>
      <c r="T1619">
        <v>0</v>
      </c>
      <c r="U1619" s="3">
        <f t="shared" si="142"/>
        <v>1</v>
      </c>
      <c r="V1619" s="3">
        <f t="shared" si="145"/>
        <v>1</v>
      </c>
    </row>
    <row r="1620" spans="1:22" x14ac:dyDescent="0.25">
      <c r="A1620" s="2">
        <v>2017</v>
      </c>
      <c r="B1620" t="s">
        <v>271</v>
      </c>
      <c r="C1620" t="s">
        <v>1</v>
      </c>
      <c r="D1620" s="2">
        <v>19352</v>
      </c>
      <c r="E1620" s="2" t="s">
        <v>103</v>
      </c>
      <c r="F1620" t="s">
        <v>484</v>
      </c>
      <c r="G1620">
        <v>6</v>
      </c>
      <c r="H1620">
        <v>6</v>
      </c>
      <c r="I1620">
        <v>0</v>
      </c>
      <c r="J1620">
        <v>0</v>
      </c>
      <c r="K1620">
        <v>0</v>
      </c>
      <c r="L1620" s="6">
        <f t="shared" si="144"/>
        <v>1</v>
      </c>
      <c r="M1620">
        <v>121</v>
      </c>
      <c r="N1620">
        <v>15</v>
      </c>
      <c r="O1620" s="9">
        <v>0</v>
      </c>
      <c r="P1620">
        <v>0</v>
      </c>
      <c r="Q1620">
        <v>69</v>
      </c>
      <c r="R1620">
        <v>0</v>
      </c>
      <c r="S1620">
        <v>37</v>
      </c>
      <c r="T1620">
        <v>0</v>
      </c>
      <c r="U1620" s="3">
        <f t="shared" si="142"/>
        <v>1</v>
      </c>
      <c r="V1620" s="3">
        <f t="shared" si="145"/>
        <v>1</v>
      </c>
    </row>
    <row r="1621" spans="1:22" x14ac:dyDescent="0.25">
      <c r="A1621" s="2">
        <v>2017</v>
      </c>
      <c r="B1621" t="s">
        <v>271</v>
      </c>
      <c r="C1621" t="s">
        <v>1</v>
      </c>
      <c r="D1621" s="2">
        <v>1632</v>
      </c>
      <c r="E1621" s="2" t="s">
        <v>104</v>
      </c>
      <c r="F1621" t="s">
        <v>485</v>
      </c>
      <c r="G1621">
        <v>10</v>
      </c>
      <c r="H1621">
        <v>9</v>
      </c>
      <c r="I1621">
        <v>0</v>
      </c>
      <c r="J1621">
        <v>0</v>
      </c>
      <c r="K1621">
        <v>1</v>
      </c>
      <c r="L1621" s="6">
        <f t="shared" si="144"/>
        <v>0.9</v>
      </c>
      <c r="M1621">
        <v>163</v>
      </c>
      <c r="N1621">
        <v>28</v>
      </c>
      <c r="O1621" s="9">
        <v>0</v>
      </c>
      <c r="P1621">
        <v>0</v>
      </c>
      <c r="Q1621">
        <v>64</v>
      </c>
      <c r="R1621">
        <v>0</v>
      </c>
      <c r="S1621">
        <v>71</v>
      </c>
      <c r="T1621">
        <v>0</v>
      </c>
      <c r="U1621" s="3">
        <f t="shared" si="142"/>
        <v>1</v>
      </c>
      <c r="V1621" s="3">
        <f t="shared" si="145"/>
        <v>0.9942196531791907</v>
      </c>
    </row>
    <row r="1622" spans="1:22" x14ac:dyDescent="0.25">
      <c r="A1622" s="2">
        <v>2017</v>
      </c>
      <c r="B1622" t="s">
        <v>271</v>
      </c>
      <c r="C1622" t="s">
        <v>1</v>
      </c>
      <c r="D1622" s="2">
        <v>1667</v>
      </c>
      <c r="E1622" s="2" t="s">
        <v>105</v>
      </c>
      <c r="F1622" t="s">
        <v>487</v>
      </c>
      <c r="G1622">
        <v>12</v>
      </c>
      <c r="H1622">
        <v>12</v>
      </c>
      <c r="I1622">
        <v>0</v>
      </c>
      <c r="J1622">
        <v>0</v>
      </c>
      <c r="K1622">
        <v>0</v>
      </c>
      <c r="L1622" s="6">
        <f t="shared" si="144"/>
        <v>1</v>
      </c>
      <c r="M1622">
        <v>90</v>
      </c>
      <c r="N1622">
        <v>12</v>
      </c>
      <c r="O1622" s="9">
        <v>0</v>
      </c>
      <c r="P1622">
        <v>0</v>
      </c>
      <c r="Q1622">
        <v>43</v>
      </c>
      <c r="R1622">
        <v>0</v>
      </c>
      <c r="S1622">
        <v>35</v>
      </c>
      <c r="T1622">
        <v>0</v>
      </c>
      <c r="U1622" s="3">
        <f t="shared" si="142"/>
        <v>1</v>
      </c>
      <c r="V1622" s="3">
        <f t="shared" si="145"/>
        <v>1</v>
      </c>
    </row>
    <row r="1623" spans="1:22" x14ac:dyDescent="0.25">
      <c r="A1623" s="2">
        <v>2017</v>
      </c>
      <c r="B1623" t="s">
        <v>271</v>
      </c>
      <c r="C1623" t="s">
        <v>1</v>
      </c>
      <c r="D1623" s="2">
        <v>20010</v>
      </c>
      <c r="E1623" s="2" t="s">
        <v>106</v>
      </c>
      <c r="F1623" t="s">
        <v>488</v>
      </c>
      <c r="G1623">
        <v>10</v>
      </c>
      <c r="H1623">
        <v>10</v>
      </c>
      <c r="I1623">
        <v>0</v>
      </c>
      <c r="J1623">
        <v>0</v>
      </c>
      <c r="K1623">
        <v>0</v>
      </c>
      <c r="L1623" s="6">
        <f t="shared" si="144"/>
        <v>1</v>
      </c>
      <c r="M1623">
        <v>122</v>
      </c>
      <c r="N1623">
        <v>24</v>
      </c>
      <c r="O1623" s="9">
        <v>0</v>
      </c>
      <c r="P1623">
        <v>0</v>
      </c>
      <c r="Q1623">
        <v>58</v>
      </c>
      <c r="R1623">
        <v>0</v>
      </c>
      <c r="S1623">
        <v>39</v>
      </c>
      <c r="T1623">
        <v>1</v>
      </c>
      <c r="U1623" s="3">
        <f t="shared" si="142"/>
        <v>1</v>
      </c>
      <c r="V1623" s="3">
        <f t="shared" si="145"/>
        <v>1</v>
      </c>
    </row>
    <row r="1624" spans="1:22" x14ac:dyDescent="0.25">
      <c r="A1624" s="2">
        <v>2017</v>
      </c>
      <c r="B1624" t="s">
        <v>271</v>
      </c>
      <c r="C1624" t="s">
        <v>1</v>
      </c>
      <c r="D1624" s="2">
        <v>639</v>
      </c>
      <c r="E1624" s="2" t="s">
        <v>107</v>
      </c>
      <c r="F1624" t="s">
        <v>489</v>
      </c>
      <c r="G1624">
        <v>11</v>
      </c>
      <c r="H1624">
        <v>11</v>
      </c>
      <c r="I1624">
        <v>0</v>
      </c>
      <c r="J1624">
        <v>0</v>
      </c>
      <c r="K1624">
        <v>0</v>
      </c>
      <c r="L1624" s="6">
        <f t="shared" si="144"/>
        <v>1</v>
      </c>
      <c r="M1624">
        <v>125</v>
      </c>
      <c r="N1624">
        <v>19</v>
      </c>
      <c r="O1624" s="9">
        <v>0</v>
      </c>
      <c r="P1624">
        <v>0</v>
      </c>
      <c r="Q1624">
        <v>46</v>
      </c>
      <c r="R1624">
        <v>0</v>
      </c>
      <c r="S1624">
        <v>60</v>
      </c>
      <c r="T1624">
        <v>0</v>
      </c>
      <c r="U1624" s="3">
        <f t="shared" si="142"/>
        <v>1</v>
      </c>
      <c r="V1624" s="3">
        <f t="shared" si="145"/>
        <v>1</v>
      </c>
    </row>
    <row r="1625" spans="1:22" x14ac:dyDescent="0.25">
      <c r="A1625" s="2">
        <v>2017</v>
      </c>
      <c r="B1625" t="s">
        <v>271</v>
      </c>
      <c r="C1625" t="s">
        <v>1</v>
      </c>
      <c r="D1625" s="2">
        <v>1909</v>
      </c>
      <c r="E1625" s="2" t="s">
        <v>108</v>
      </c>
      <c r="F1625" t="s">
        <v>490</v>
      </c>
      <c r="G1625">
        <v>6</v>
      </c>
      <c r="H1625">
        <v>6</v>
      </c>
      <c r="I1625">
        <v>0</v>
      </c>
      <c r="J1625">
        <v>0</v>
      </c>
      <c r="K1625">
        <v>0</v>
      </c>
      <c r="L1625" s="6">
        <f t="shared" si="144"/>
        <v>1</v>
      </c>
      <c r="M1625">
        <v>125</v>
      </c>
      <c r="N1625">
        <v>17</v>
      </c>
      <c r="O1625" s="9">
        <v>0</v>
      </c>
      <c r="P1625">
        <v>0</v>
      </c>
      <c r="Q1625">
        <v>51</v>
      </c>
      <c r="R1625">
        <v>0</v>
      </c>
      <c r="S1625">
        <v>57</v>
      </c>
      <c r="T1625">
        <v>0</v>
      </c>
      <c r="U1625" s="3">
        <f t="shared" si="142"/>
        <v>1</v>
      </c>
      <c r="V1625" s="3">
        <f t="shared" si="145"/>
        <v>1</v>
      </c>
    </row>
    <row r="1626" spans="1:22" x14ac:dyDescent="0.25">
      <c r="A1626" s="2">
        <v>2017</v>
      </c>
      <c r="B1626" t="s">
        <v>271</v>
      </c>
      <c r="C1626" t="s">
        <v>1</v>
      </c>
      <c r="D1626" s="2">
        <v>3622</v>
      </c>
      <c r="E1626" s="2" t="s">
        <v>80</v>
      </c>
      <c r="F1626" t="s">
        <v>491</v>
      </c>
      <c r="G1626">
        <v>9</v>
      </c>
      <c r="H1626">
        <v>9</v>
      </c>
      <c r="I1626">
        <v>0</v>
      </c>
      <c r="J1626">
        <v>0</v>
      </c>
      <c r="K1626">
        <v>0</v>
      </c>
      <c r="L1626" s="6">
        <f t="shared" si="144"/>
        <v>1</v>
      </c>
      <c r="M1626">
        <v>184</v>
      </c>
      <c r="N1626">
        <v>34</v>
      </c>
      <c r="O1626" s="9">
        <v>0</v>
      </c>
      <c r="P1626">
        <v>0</v>
      </c>
      <c r="Q1626">
        <v>72</v>
      </c>
      <c r="R1626">
        <v>0</v>
      </c>
      <c r="S1626">
        <v>77</v>
      </c>
      <c r="T1626">
        <v>1</v>
      </c>
      <c r="U1626" s="3">
        <f t="shared" si="142"/>
        <v>1</v>
      </c>
      <c r="V1626" s="3">
        <f t="shared" si="145"/>
        <v>1</v>
      </c>
    </row>
    <row r="1627" spans="1:22" x14ac:dyDescent="0.25">
      <c r="A1627" s="2">
        <v>2017</v>
      </c>
      <c r="B1627" t="s">
        <v>271</v>
      </c>
      <c r="C1627" t="s">
        <v>1</v>
      </c>
      <c r="D1627" s="2">
        <v>15555</v>
      </c>
      <c r="E1627" s="2" t="s">
        <v>109</v>
      </c>
      <c r="F1627" t="s">
        <v>492</v>
      </c>
      <c r="G1627">
        <v>10</v>
      </c>
      <c r="H1627">
        <v>10</v>
      </c>
      <c r="I1627">
        <v>0</v>
      </c>
      <c r="J1627">
        <v>0</v>
      </c>
      <c r="K1627">
        <v>0</v>
      </c>
      <c r="L1627" s="6">
        <f t="shared" si="144"/>
        <v>1</v>
      </c>
      <c r="M1627">
        <v>124</v>
      </c>
      <c r="N1627">
        <v>23</v>
      </c>
      <c r="O1627" s="9">
        <v>0</v>
      </c>
      <c r="P1627">
        <v>0</v>
      </c>
      <c r="Q1627">
        <v>44</v>
      </c>
      <c r="R1627">
        <v>0</v>
      </c>
      <c r="S1627">
        <v>56</v>
      </c>
      <c r="T1627">
        <v>1</v>
      </c>
      <c r="U1627" s="3">
        <f t="shared" si="142"/>
        <v>1</v>
      </c>
      <c r="V1627" s="3">
        <f t="shared" si="145"/>
        <v>1</v>
      </c>
    </row>
    <row r="1628" spans="1:22" x14ac:dyDescent="0.25">
      <c r="A1628" s="2">
        <v>2017</v>
      </c>
      <c r="B1628" t="s">
        <v>271</v>
      </c>
      <c r="C1628" t="s">
        <v>1</v>
      </c>
      <c r="D1628" s="2">
        <v>820</v>
      </c>
      <c r="E1628" s="2" t="s">
        <v>110</v>
      </c>
      <c r="F1628" t="s">
        <v>493</v>
      </c>
      <c r="G1628">
        <v>4</v>
      </c>
      <c r="H1628">
        <v>4</v>
      </c>
      <c r="I1628">
        <v>0</v>
      </c>
      <c r="J1628">
        <v>0</v>
      </c>
      <c r="K1628">
        <v>0</v>
      </c>
      <c r="L1628" s="6">
        <f t="shared" si="144"/>
        <v>1</v>
      </c>
      <c r="M1628">
        <v>120</v>
      </c>
      <c r="N1628">
        <v>15</v>
      </c>
      <c r="O1628" s="9">
        <v>0</v>
      </c>
      <c r="P1628">
        <v>0</v>
      </c>
      <c r="Q1628">
        <v>63</v>
      </c>
      <c r="R1628">
        <v>0</v>
      </c>
      <c r="S1628">
        <v>41</v>
      </c>
      <c r="T1628">
        <v>1</v>
      </c>
      <c r="U1628" s="3">
        <f t="shared" si="142"/>
        <v>1</v>
      </c>
      <c r="V1628" s="3">
        <f t="shared" si="145"/>
        <v>1</v>
      </c>
    </row>
    <row r="1629" spans="1:22" x14ac:dyDescent="0.25">
      <c r="A1629" s="2">
        <v>2017</v>
      </c>
      <c r="B1629" t="s">
        <v>271</v>
      </c>
      <c r="C1629" t="s">
        <v>1</v>
      </c>
      <c r="D1629" s="2">
        <v>3595</v>
      </c>
      <c r="E1629" s="2" t="s">
        <v>111</v>
      </c>
      <c r="F1629" t="s">
        <v>495</v>
      </c>
      <c r="G1629">
        <v>4</v>
      </c>
      <c r="H1629">
        <v>4</v>
      </c>
      <c r="I1629">
        <v>0</v>
      </c>
      <c r="J1629">
        <v>0</v>
      </c>
      <c r="K1629">
        <v>0</v>
      </c>
      <c r="L1629" s="6">
        <f t="shared" si="144"/>
        <v>1</v>
      </c>
      <c r="M1629">
        <v>122</v>
      </c>
      <c r="N1629">
        <v>27</v>
      </c>
      <c r="O1629" s="9">
        <v>0</v>
      </c>
      <c r="P1629">
        <v>0</v>
      </c>
      <c r="Q1629">
        <v>45</v>
      </c>
      <c r="R1629">
        <v>0</v>
      </c>
      <c r="S1629">
        <v>49</v>
      </c>
      <c r="T1629">
        <v>1</v>
      </c>
      <c r="U1629" s="3">
        <f t="shared" si="142"/>
        <v>1</v>
      </c>
      <c r="V1629" s="3">
        <f t="shared" si="145"/>
        <v>1</v>
      </c>
    </row>
    <row r="1630" spans="1:22" x14ac:dyDescent="0.25">
      <c r="A1630" s="2">
        <v>2017</v>
      </c>
      <c r="B1630" t="s">
        <v>271</v>
      </c>
      <c r="C1630" t="s">
        <v>1</v>
      </c>
      <c r="D1630" s="2">
        <v>1016</v>
      </c>
      <c r="E1630" s="2" t="s">
        <v>112</v>
      </c>
      <c r="F1630" t="s">
        <v>496</v>
      </c>
      <c r="G1630">
        <v>9</v>
      </c>
      <c r="H1630">
        <v>9</v>
      </c>
      <c r="I1630">
        <v>0</v>
      </c>
      <c r="J1630">
        <v>0</v>
      </c>
      <c r="K1630">
        <v>0</v>
      </c>
      <c r="L1630" s="6">
        <f t="shared" si="144"/>
        <v>1</v>
      </c>
      <c r="M1630">
        <v>127</v>
      </c>
      <c r="N1630">
        <v>19</v>
      </c>
      <c r="O1630" s="9">
        <v>0</v>
      </c>
      <c r="P1630">
        <v>0</v>
      </c>
      <c r="Q1630">
        <v>55</v>
      </c>
      <c r="R1630">
        <v>0</v>
      </c>
      <c r="S1630">
        <v>51</v>
      </c>
      <c r="T1630">
        <v>2</v>
      </c>
      <c r="U1630" s="3">
        <f t="shared" si="142"/>
        <v>1</v>
      </c>
      <c r="V1630" s="3">
        <f t="shared" si="145"/>
        <v>1</v>
      </c>
    </row>
    <row r="1631" spans="1:22" x14ac:dyDescent="0.25">
      <c r="A1631" s="2">
        <v>2017</v>
      </c>
      <c r="B1631" t="s">
        <v>271</v>
      </c>
      <c r="C1631" t="s">
        <v>1</v>
      </c>
      <c r="D1631" s="2">
        <v>1108</v>
      </c>
      <c r="E1631" s="2" t="s">
        <v>113</v>
      </c>
      <c r="F1631" t="s">
        <v>498</v>
      </c>
      <c r="G1631">
        <v>6</v>
      </c>
      <c r="H1631">
        <v>6</v>
      </c>
      <c r="I1631">
        <v>0</v>
      </c>
      <c r="J1631">
        <v>0</v>
      </c>
      <c r="K1631">
        <v>0</v>
      </c>
      <c r="L1631" s="6">
        <f t="shared" si="144"/>
        <v>1</v>
      </c>
      <c r="M1631">
        <v>119</v>
      </c>
      <c r="N1631">
        <v>17</v>
      </c>
      <c r="O1631" s="9">
        <v>0</v>
      </c>
      <c r="P1631">
        <v>0</v>
      </c>
      <c r="Q1631">
        <v>42</v>
      </c>
      <c r="R1631">
        <v>0</v>
      </c>
      <c r="S1631">
        <v>60</v>
      </c>
      <c r="T1631">
        <v>0</v>
      </c>
      <c r="U1631" s="3">
        <f t="shared" si="142"/>
        <v>1</v>
      </c>
      <c r="V1631" s="3">
        <f t="shared" si="145"/>
        <v>1</v>
      </c>
    </row>
    <row r="1632" spans="1:22" x14ac:dyDescent="0.25">
      <c r="A1632" s="2">
        <v>2017</v>
      </c>
      <c r="B1632" t="s">
        <v>271</v>
      </c>
      <c r="C1632" t="s">
        <v>1</v>
      </c>
      <c r="D1632" s="2">
        <v>3623</v>
      </c>
      <c r="E1632" s="2" t="s">
        <v>114</v>
      </c>
      <c r="F1632" t="s">
        <v>499</v>
      </c>
      <c r="G1632">
        <v>10</v>
      </c>
      <c r="H1632">
        <v>10</v>
      </c>
      <c r="I1632">
        <v>0</v>
      </c>
      <c r="J1632">
        <v>0</v>
      </c>
      <c r="K1632">
        <v>0</v>
      </c>
      <c r="L1632" s="6">
        <f t="shared" si="144"/>
        <v>1</v>
      </c>
      <c r="M1632">
        <v>173</v>
      </c>
      <c r="N1632">
        <v>35</v>
      </c>
      <c r="O1632" s="9">
        <v>0</v>
      </c>
      <c r="P1632">
        <v>0</v>
      </c>
      <c r="Q1632">
        <v>74</v>
      </c>
      <c r="R1632">
        <v>0</v>
      </c>
      <c r="S1632">
        <v>63</v>
      </c>
      <c r="T1632">
        <v>1</v>
      </c>
      <c r="U1632" s="3">
        <f t="shared" si="142"/>
        <v>1</v>
      </c>
      <c r="V1632" s="3">
        <f t="shared" si="145"/>
        <v>1</v>
      </c>
    </row>
    <row r="1633" spans="1:22" x14ac:dyDescent="0.25">
      <c r="A1633" s="2">
        <v>2017</v>
      </c>
      <c r="B1633" t="s">
        <v>271</v>
      </c>
      <c r="C1633" t="s">
        <v>1</v>
      </c>
      <c r="D1633" s="2">
        <v>14791</v>
      </c>
      <c r="E1633" s="2" t="s">
        <v>562</v>
      </c>
      <c r="F1633" t="s">
        <v>500</v>
      </c>
      <c r="G1633">
        <v>0</v>
      </c>
      <c r="H1633">
        <v>0</v>
      </c>
      <c r="I1633">
        <v>0</v>
      </c>
      <c r="J1633">
        <v>0</v>
      </c>
      <c r="K1633">
        <v>0</v>
      </c>
      <c r="L1633" s="6">
        <f t="shared" si="144"/>
        <v>0</v>
      </c>
      <c r="M1633">
        <v>18</v>
      </c>
      <c r="N1633">
        <v>2</v>
      </c>
      <c r="O1633" s="9">
        <v>0</v>
      </c>
      <c r="P1633">
        <v>0</v>
      </c>
      <c r="Q1633">
        <v>7</v>
      </c>
      <c r="R1633">
        <v>0</v>
      </c>
      <c r="S1633">
        <v>9</v>
      </c>
      <c r="T1633">
        <v>0</v>
      </c>
      <c r="U1633" s="3">
        <f t="shared" si="142"/>
        <v>1</v>
      </c>
      <c r="V1633" s="3">
        <f t="shared" si="145"/>
        <v>1</v>
      </c>
    </row>
    <row r="1634" spans="1:22" x14ac:dyDescent="0.25">
      <c r="A1634" s="2">
        <v>2017</v>
      </c>
      <c r="B1634" t="s">
        <v>271</v>
      </c>
      <c r="C1634" t="s">
        <v>1</v>
      </c>
      <c r="D1634" s="2">
        <v>15880</v>
      </c>
      <c r="E1634" s="2" t="s">
        <v>115</v>
      </c>
      <c r="F1634" t="s">
        <v>501</v>
      </c>
      <c r="G1634">
        <v>4</v>
      </c>
      <c r="H1634">
        <v>4</v>
      </c>
      <c r="I1634">
        <v>0</v>
      </c>
      <c r="J1634">
        <v>0</v>
      </c>
      <c r="K1634">
        <v>0</v>
      </c>
      <c r="L1634" s="6">
        <f t="shared" si="144"/>
        <v>1</v>
      </c>
      <c r="M1634">
        <v>67</v>
      </c>
      <c r="N1634">
        <v>10</v>
      </c>
      <c r="O1634" s="9">
        <v>0</v>
      </c>
      <c r="P1634">
        <v>0</v>
      </c>
      <c r="Q1634">
        <v>24</v>
      </c>
      <c r="R1634">
        <v>0</v>
      </c>
      <c r="S1634">
        <v>33</v>
      </c>
      <c r="T1634">
        <v>0</v>
      </c>
      <c r="U1634" s="3">
        <f t="shared" si="142"/>
        <v>1</v>
      </c>
      <c r="V1634" s="3">
        <f t="shared" si="145"/>
        <v>1</v>
      </c>
    </row>
    <row r="1635" spans="1:22" x14ac:dyDescent="0.25">
      <c r="A1635" s="2">
        <v>2017</v>
      </c>
      <c r="B1635" t="s">
        <v>271</v>
      </c>
      <c r="C1635" t="s">
        <v>22</v>
      </c>
      <c r="D1635" s="2">
        <v>136</v>
      </c>
      <c r="E1635" s="2" t="s">
        <v>116</v>
      </c>
      <c r="F1635" t="s">
        <v>41</v>
      </c>
      <c r="G1635">
        <v>12</v>
      </c>
      <c r="H1635">
        <v>12</v>
      </c>
      <c r="I1635">
        <v>0</v>
      </c>
      <c r="J1635">
        <v>0</v>
      </c>
      <c r="K1635">
        <v>0</v>
      </c>
      <c r="L1635" s="6">
        <f t="shared" ref="L1635:L1686" si="146">IF(G1635=0,0,SUM(H1635:J1635)/G1635)</f>
        <v>1</v>
      </c>
      <c r="M1635">
        <v>167</v>
      </c>
      <c r="N1635">
        <v>31</v>
      </c>
      <c r="O1635" s="9">
        <v>0</v>
      </c>
      <c r="P1635">
        <v>0</v>
      </c>
      <c r="Q1635">
        <v>79</v>
      </c>
      <c r="R1635">
        <v>0</v>
      </c>
      <c r="S1635">
        <v>57</v>
      </c>
      <c r="T1635">
        <v>0</v>
      </c>
      <c r="U1635" s="3">
        <f t="shared" ref="U1635:U1686" si="147">IF(M1635=0,0,((N1635+O1635+Q1635+S1635+T1635)/M1635))</f>
        <v>1</v>
      </c>
      <c r="V1635" s="3">
        <f t="shared" ref="V1635:V1686" si="148">IF(AND(G1635=0,M1635=0),0,(H1635+I1635+J1635+N1635+Q1635+S1635+T1635)/(G1635+M1635))</f>
        <v>1</v>
      </c>
    </row>
    <row r="1636" spans="1:22" x14ac:dyDescent="0.25">
      <c r="A1636" s="2">
        <v>2017</v>
      </c>
      <c r="B1636" t="s">
        <v>271</v>
      </c>
      <c r="C1636" t="s">
        <v>22</v>
      </c>
      <c r="D1636" s="2" t="s">
        <v>117</v>
      </c>
      <c r="E1636" s="2" t="s">
        <v>62</v>
      </c>
      <c r="F1636" t="s">
        <v>27</v>
      </c>
      <c r="G1636">
        <v>10</v>
      </c>
      <c r="H1636">
        <v>10</v>
      </c>
      <c r="I1636">
        <v>0</v>
      </c>
      <c r="J1636">
        <v>0</v>
      </c>
      <c r="K1636">
        <v>0</v>
      </c>
      <c r="L1636" s="6">
        <f t="shared" si="146"/>
        <v>1</v>
      </c>
      <c r="M1636">
        <v>121</v>
      </c>
      <c r="N1636">
        <v>23</v>
      </c>
      <c r="O1636" s="9">
        <v>0</v>
      </c>
      <c r="P1636">
        <v>1</v>
      </c>
      <c r="Q1636">
        <v>47</v>
      </c>
      <c r="R1636">
        <v>4</v>
      </c>
      <c r="S1636">
        <v>45</v>
      </c>
      <c r="T1636">
        <v>1</v>
      </c>
      <c r="U1636" s="3">
        <f t="shared" si="147"/>
        <v>0.95867768595041325</v>
      </c>
      <c r="V1636" s="3">
        <f t="shared" si="148"/>
        <v>0.96183206106870234</v>
      </c>
    </row>
    <row r="1637" spans="1:22" x14ac:dyDescent="0.25">
      <c r="A1637" s="2">
        <v>2017</v>
      </c>
      <c r="B1637" t="s">
        <v>271</v>
      </c>
      <c r="C1637" t="s">
        <v>22</v>
      </c>
      <c r="D1637" s="2" t="s">
        <v>118</v>
      </c>
      <c r="E1637" s="2" t="s">
        <v>63</v>
      </c>
      <c r="F1637" t="s">
        <v>353</v>
      </c>
      <c r="G1637">
        <v>15</v>
      </c>
      <c r="H1637">
        <v>15</v>
      </c>
      <c r="I1637">
        <v>0</v>
      </c>
      <c r="J1637">
        <v>0</v>
      </c>
      <c r="K1637">
        <v>0</v>
      </c>
      <c r="L1637" s="6">
        <f t="shared" si="146"/>
        <v>1</v>
      </c>
      <c r="M1637">
        <v>189</v>
      </c>
      <c r="N1637">
        <v>41</v>
      </c>
      <c r="O1637" s="9">
        <v>0</v>
      </c>
      <c r="P1637">
        <v>0</v>
      </c>
      <c r="Q1637">
        <v>76</v>
      </c>
      <c r="R1637">
        <v>2</v>
      </c>
      <c r="S1637">
        <v>69</v>
      </c>
      <c r="T1637">
        <v>1</v>
      </c>
      <c r="U1637" s="3">
        <f t="shared" si="147"/>
        <v>0.98941798941798942</v>
      </c>
      <c r="V1637" s="3">
        <f t="shared" si="148"/>
        <v>0.99019607843137258</v>
      </c>
    </row>
    <row r="1638" spans="1:22" x14ac:dyDescent="0.25">
      <c r="A1638" s="2">
        <v>2017</v>
      </c>
      <c r="B1638" t="s">
        <v>271</v>
      </c>
      <c r="C1638" t="s">
        <v>22</v>
      </c>
      <c r="D1638" s="2" t="s">
        <v>119</v>
      </c>
      <c r="E1638" s="2" t="s">
        <v>65</v>
      </c>
      <c r="F1638" t="s">
        <v>355</v>
      </c>
      <c r="G1638">
        <v>19</v>
      </c>
      <c r="H1638">
        <v>19</v>
      </c>
      <c r="I1638">
        <v>0</v>
      </c>
      <c r="J1638">
        <v>0</v>
      </c>
      <c r="K1638">
        <v>0</v>
      </c>
      <c r="L1638" s="6">
        <f t="shared" si="146"/>
        <v>1</v>
      </c>
      <c r="M1638">
        <v>225</v>
      </c>
      <c r="N1638">
        <v>48</v>
      </c>
      <c r="O1638" s="9">
        <v>0</v>
      </c>
      <c r="P1638">
        <v>0</v>
      </c>
      <c r="Q1638">
        <v>110</v>
      </c>
      <c r="R1638">
        <v>0</v>
      </c>
      <c r="S1638">
        <v>64</v>
      </c>
      <c r="T1638">
        <v>3</v>
      </c>
      <c r="U1638" s="3">
        <f t="shared" si="147"/>
        <v>1</v>
      </c>
      <c r="V1638" s="3">
        <f t="shared" si="148"/>
        <v>1</v>
      </c>
    </row>
    <row r="1639" spans="1:22" x14ac:dyDescent="0.25">
      <c r="A1639" s="2">
        <v>2017</v>
      </c>
      <c r="B1639" t="s">
        <v>271</v>
      </c>
      <c r="C1639" t="s">
        <v>22</v>
      </c>
      <c r="D1639" s="2" t="s">
        <v>558</v>
      </c>
      <c r="E1639" s="2" t="s">
        <v>66</v>
      </c>
      <c r="F1639" t="s">
        <v>423</v>
      </c>
      <c r="G1639">
        <v>0</v>
      </c>
      <c r="H1639">
        <v>0</v>
      </c>
      <c r="I1639">
        <v>0</v>
      </c>
      <c r="J1639">
        <v>0</v>
      </c>
      <c r="K1639">
        <v>0</v>
      </c>
      <c r="L1639" s="6">
        <f t="shared" si="146"/>
        <v>0</v>
      </c>
      <c r="M1639">
        <v>1</v>
      </c>
      <c r="N1639">
        <v>0</v>
      </c>
      <c r="O1639" s="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 s="3">
        <f t="shared" si="147"/>
        <v>1</v>
      </c>
      <c r="V1639" s="3">
        <f t="shared" si="148"/>
        <v>1</v>
      </c>
    </row>
    <row r="1640" spans="1:22" x14ac:dyDescent="0.25">
      <c r="A1640" s="2">
        <v>2017</v>
      </c>
      <c r="B1640" t="s">
        <v>271</v>
      </c>
      <c r="C1640" t="s">
        <v>22</v>
      </c>
      <c r="D1640" s="2" t="s">
        <v>564</v>
      </c>
      <c r="E1640" s="2" t="s">
        <v>81</v>
      </c>
      <c r="F1640" t="s">
        <v>446</v>
      </c>
      <c r="G1640">
        <v>3</v>
      </c>
      <c r="H1640">
        <v>3</v>
      </c>
      <c r="I1640">
        <v>0</v>
      </c>
      <c r="J1640">
        <v>0</v>
      </c>
      <c r="K1640">
        <v>0</v>
      </c>
      <c r="L1640" s="6">
        <f t="shared" si="146"/>
        <v>1</v>
      </c>
      <c r="M1640">
        <v>42</v>
      </c>
      <c r="N1640">
        <v>7</v>
      </c>
      <c r="O1640" s="9">
        <v>0</v>
      </c>
      <c r="P1640">
        <v>0</v>
      </c>
      <c r="Q1640">
        <v>22</v>
      </c>
      <c r="R1640">
        <v>0</v>
      </c>
      <c r="S1640">
        <v>13</v>
      </c>
      <c r="T1640">
        <v>0</v>
      </c>
      <c r="U1640" s="3">
        <f t="shared" si="147"/>
        <v>1</v>
      </c>
      <c r="V1640" s="3">
        <f t="shared" si="148"/>
        <v>1</v>
      </c>
    </row>
    <row r="1641" spans="1:22" x14ac:dyDescent="0.25">
      <c r="A1641" s="2">
        <v>2017</v>
      </c>
      <c r="B1641" t="s">
        <v>271</v>
      </c>
      <c r="C1641" t="s">
        <v>22</v>
      </c>
      <c r="D1641" s="2" t="s">
        <v>125</v>
      </c>
      <c r="E1641" s="2" t="s">
        <v>70</v>
      </c>
      <c r="F1641" t="s">
        <v>360</v>
      </c>
      <c r="G1641">
        <v>18</v>
      </c>
      <c r="H1641">
        <v>18</v>
      </c>
      <c r="I1641">
        <v>0</v>
      </c>
      <c r="J1641">
        <v>0</v>
      </c>
      <c r="K1641">
        <v>0</v>
      </c>
      <c r="L1641" s="6">
        <f t="shared" si="146"/>
        <v>1</v>
      </c>
      <c r="M1641">
        <v>345</v>
      </c>
      <c r="N1641">
        <v>61</v>
      </c>
      <c r="O1641" s="9">
        <v>0</v>
      </c>
      <c r="P1641">
        <v>0</v>
      </c>
      <c r="Q1641">
        <v>158</v>
      </c>
      <c r="R1641">
        <v>0</v>
      </c>
      <c r="S1641">
        <v>125</v>
      </c>
      <c r="T1641">
        <v>1</v>
      </c>
      <c r="U1641" s="3">
        <f t="shared" si="147"/>
        <v>1</v>
      </c>
      <c r="V1641" s="3">
        <f t="shared" si="148"/>
        <v>1</v>
      </c>
    </row>
    <row r="1642" spans="1:22" x14ac:dyDescent="0.25">
      <c r="A1642" s="2">
        <v>2017</v>
      </c>
      <c r="B1642" t="s">
        <v>271</v>
      </c>
      <c r="C1642" t="s">
        <v>22</v>
      </c>
      <c r="D1642" s="2" t="s">
        <v>126</v>
      </c>
      <c r="E1642" s="2" t="s">
        <v>71</v>
      </c>
      <c r="F1642" t="s">
        <v>361</v>
      </c>
      <c r="G1642">
        <v>8</v>
      </c>
      <c r="H1642">
        <v>8</v>
      </c>
      <c r="I1642">
        <v>0</v>
      </c>
      <c r="J1642">
        <v>0</v>
      </c>
      <c r="K1642">
        <v>0</v>
      </c>
      <c r="L1642" s="6">
        <f t="shared" si="146"/>
        <v>1</v>
      </c>
      <c r="M1642">
        <v>161</v>
      </c>
      <c r="N1642">
        <v>23</v>
      </c>
      <c r="O1642" s="9">
        <v>0</v>
      </c>
      <c r="P1642">
        <v>0</v>
      </c>
      <c r="Q1642">
        <v>82</v>
      </c>
      <c r="R1642">
        <v>1</v>
      </c>
      <c r="S1642">
        <v>55</v>
      </c>
      <c r="T1642">
        <v>0</v>
      </c>
      <c r="U1642" s="3">
        <f t="shared" si="147"/>
        <v>0.99378881987577639</v>
      </c>
      <c r="V1642" s="3">
        <f t="shared" si="148"/>
        <v>0.99408284023668636</v>
      </c>
    </row>
    <row r="1643" spans="1:22" x14ac:dyDescent="0.25">
      <c r="A1643" s="2">
        <v>2017</v>
      </c>
      <c r="B1643" t="s">
        <v>271</v>
      </c>
      <c r="C1643" t="s">
        <v>22</v>
      </c>
      <c r="D1643" s="2" t="s">
        <v>127</v>
      </c>
      <c r="E1643" s="2" t="s">
        <v>72</v>
      </c>
      <c r="F1643" t="s">
        <v>362</v>
      </c>
      <c r="G1643">
        <v>8</v>
      </c>
      <c r="H1643">
        <v>8</v>
      </c>
      <c r="I1643">
        <v>0</v>
      </c>
      <c r="J1643">
        <v>0</v>
      </c>
      <c r="K1643">
        <v>0</v>
      </c>
      <c r="L1643" s="6">
        <f t="shared" si="146"/>
        <v>1</v>
      </c>
      <c r="M1643">
        <v>126</v>
      </c>
      <c r="N1643">
        <v>16</v>
      </c>
      <c r="O1643" s="9">
        <v>0</v>
      </c>
      <c r="P1643">
        <v>1</v>
      </c>
      <c r="Q1643">
        <v>54</v>
      </c>
      <c r="R1643">
        <v>5</v>
      </c>
      <c r="S1643">
        <v>50</v>
      </c>
      <c r="T1643">
        <v>0</v>
      </c>
      <c r="U1643" s="3">
        <f t="shared" si="147"/>
        <v>0.95238095238095233</v>
      </c>
      <c r="V1643" s="3">
        <f t="shared" si="148"/>
        <v>0.95522388059701491</v>
      </c>
    </row>
    <row r="1644" spans="1:22" x14ac:dyDescent="0.25">
      <c r="A1644" s="2">
        <v>2017</v>
      </c>
      <c r="B1644" t="s">
        <v>271</v>
      </c>
      <c r="C1644" t="s">
        <v>22</v>
      </c>
      <c r="D1644" s="2" t="s">
        <v>128</v>
      </c>
      <c r="E1644" s="2" t="s">
        <v>74</v>
      </c>
      <c r="F1644" t="s">
        <v>363</v>
      </c>
      <c r="G1644">
        <v>6</v>
      </c>
      <c r="H1644">
        <v>6</v>
      </c>
      <c r="I1644">
        <v>0</v>
      </c>
      <c r="J1644">
        <v>0</v>
      </c>
      <c r="K1644">
        <v>0</v>
      </c>
      <c r="L1644" s="6">
        <f t="shared" si="146"/>
        <v>1</v>
      </c>
      <c r="M1644">
        <v>77</v>
      </c>
      <c r="N1644">
        <v>14</v>
      </c>
      <c r="O1644" s="9">
        <v>0</v>
      </c>
      <c r="P1644">
        <v>0</v>
      </c>
      <c r="Q1644">
        <v>37</v>
      </c>
      <c r="R1644">
        <v>0</v>
      </c>
      <c r="S1644">
        <v>26</v>
      </c>
      <c r="T1644">
        <v>0</v>
      </c>
      <c r="U1644" s="3">
        <f t="shared" si="147"/>
        <v>1</v>
      </c>
      <c r="V1644" s="3">
        <f t="shared" si="148"/>
        <v>1</v>
      </c>
    </row>
    <row r="1645" spans="1:22" x14ac:dyDescent="0.25">
      <c r="A1645" s="2">
        <v>2017</v>
      </c>
      <c r="B1645" t="s">
        <v>271</v>
      </c>
      <c r="C1645" t="s">
        <v>22</v>
      </c>
      <c r="D1645" s="2" t="s">
        <v>129</v>
      </c>
      <c r="E1645" s="2" t="s">
        <v>77</v>
      </c>
      <c r="F1645" t="s">
        <v>365</v>
      </c>
      <c r="G1645">
        <v>2</v>
      </c>
      <c r="H1645">
        <v>2</v>
      </c>
      <c r="I1645">
        <v>0</v>
      </c>
      <c r="J1645">
        <v>0</v>
      </c>
      <c r="K1645">
        <v>0</v>
      </c>
      <c r="L1645" s="6">
        <f t="shared" si="146"/>
        <v>1</v>
      </c>
      <c r="M1645">
        <v>57</v>
      </c>
      <c r="N1645">
        <v>9</v>
      </c>
      <c r="O1645" s="9">
        <v>0</v>
      </c>
      <c r="P1645">
        <v>0</v>
      </c>
      <c r="Q1645">
        <v>30</v>
      </c>
      <c r="R1645">
        <v>0</v>
      </c>
      <c r="S1645">
        <v>18</v>
      </c>
      <c r="T1645">
        <v>0</v>
      </c>
      <c r="U1645" s="3">
        <f t="shared" si="147"/>
        <v>1</v>
      </c>
      <c r="V1645" s="3">
        <f t="shared" si="148"/>
        <v>1</v>
      </c>
    </row>
    <row r="1646" spans="1:22" x14ac:dyDescent="0.25">
      <c r="A1646" s="2">
        <v>2017</v>
      </c>
      <c r="B1646" t="s">
        <v>271</v>
      </c>
      <c r="C1646" t="s">
        <v>22</v>
      </c>
      <c r="D1646" s="2" t="s">
        <v>130</v>
      </c>
      <c r="E1646" s="2" t="s">
        <v>131</v>
      </c>
      <c r="F1646" t="s">
        <v>451</v>
      </c>
      <c r="G1646">
        <v>24</v>
      </c>
      <c r="H1646">
        <v>24</v>
      </c>
      <c r="I1646">
        <v>0</v>
      </c>
      <c r="J1646">
        <v>0</v>
      </c>
      <c r="K1646">
        <v>0</v>
      </c>
      <c r="L1646" s="6">
        <f t="shared" si="146"/>
        <v>1</v>
      </c>
      <c r="M1646">
        <v>254</v>
      </c>
      <c r="N1646">
        <v>41</v>
      </c>
      <c r="O1646" s="9">
        <v>0</v>
      </c>
      <c r="P1646">
        <v>0</v>
      </c>
      <c r="Q1646">
        <v>92</v>
      </c>
      <c r="R1646">
        <v>0</v>
      </c>
      <c r="S1646">
        <v>120</v>
      </c>
      <c r="T1646">
        <v>1</v>
      </c>
      <c r="U1646" s="3">
        <f t="shared" si="147"/>
        <v>1</v>
      </c>
      <c r="V1646" s="3">
        <f t="shared" si="148"/>
        <v>1</v>
      </c>
    </row>
    <row r="1647" spans="1:22" x14ac:dyDescent="0.25">
      <c r="A1647" s="2">
        <v>2017</v>
      </c>
      <c r="B1647" t="s">
        <v>271</v>
      </c>
      <c r="C1647" t="s">
        <v>22</v>
      </c>
      <c r="D1647" s="2" t="s">
        <v>136</v>
      </c>
      <c r="E1647" s="2" t="s">
        <v>137</v>
      </c>
      <c r="F1647" t="s">
        <v>34</v>
      </c>
      <c r="G1647">
        <v>0</v>
      </c>
      <c r="H1647">
        <v>0</v>
      </c>
      <c r="I1647">
        <v>0</v>
      </c>
      <c r="J1647">
        <v>0</v>
      </c>
      <c r="K1647">
        <v>0</v>
      </c>
      <c r="L1647" s="6">
        <f t="shared" si="146"/>
        <v>0</v>
      </c>
      <c r="M1647">
        <v>5</v>
      </c>
      <c r="N1647">
        <v>2</v>
      </c>
      <c r="O1647" s="9">
        <v>0</v>
      </c>
      <c r="P1647">
        <v>0</v>
      </c>
      <c r="Q1647">
        <v>3</v>
      </c>
      <c r="R1647">
        <v>0</v>
      </c>
      <c r="S1647">
        <v>0</v>
      </c>
      <c r="T1647">
        <v>0</v>
      </c>
      <c r="U1647" s="3">
        <f t="shared" si="147"/>
        <v>1</v>
      </c>
      <c r="V1647" s="3">
        <f t="shared" si="148"/>
        <v>1</v>
      </c>
    </row>
    <row r="1648" spans="1:22" x14ac:dyDescent="0.25">
      <c r="A1648" s="2">
        <v>2017</v>
      </c>
      <c r="B1648" t="s">
        <v>271</v>
      </c>
      <c r="C1648" t="s">
        <v>22</v>
      </c>
      <c r="D1648" s="2" t="s">
        <v>138</v>
      </c>
      <c r="E1648" s="2" t="s">
        <v>78</v>
      </c>
      <c r="F1648" t="s">
        <v>328</v>
      </c>
      <c r="G1648">
        <v>10</v>
      </c>
      <c r="H1648">
        <v>10</v>
      </c>
      <c r="I1648">
        <v>0</v>
      </c>
      <c r="J1648">
        <v>0</v>
      </c>
      <c r="K1648">
        <v>0</v>
      </c>
      <c r="L1648" s="6">
        <f t="shared" si="146"/>
        <v>1</v>
      </c>
      <c r="M1648">
        <v>247</v>
      </c>
      <c r="N1648">
        <v>33</v>
      </c>
      <c r="O1648" s="9">
        <v>0</v>
      </c>
      <c r="P1648">
        <v>1</v>
      </c>
      <c r="Q1648">
        <v>138</v>
      </c>
      <c r="R1648">
        <v>1</v>
      </c>
      <c r="S1648">
        <v>74</v>
      </c>
      <c r="T1648">
        <v>0</v>
      </c>
      <c r="U1648" s="3">
        <f t="shared" si="147"/>
        <v>0.9919028340080972</v>
      </c>
      <c r="V1648" s="3">
        <f t="shared" si="148"/>
        <v>0.99221789883268485</v>
      </c>
    </row>
    <row r="1649" spans="1:22" x14ac:dyDescent="0.25">
      <c r="A1649" s="2">
        <v>2017</v>
      </c>
      <c r="B1649" t="s">
        <v>271</v>
      </c>
      <c r="C1649" t="s">
        <v>22</v>
      </c>
      <c r="D1649" s="2" t="s">
        <v>139</v>
      </c>
      <c r="E1649" s="2" t="s">
        <v>79</v>
      </c>
      <c r="F1649" t="s">
        <v>367</v>
      </c>
      <c r="G1649">
        <v>27</v>
      </c>
      <c r="H1649">
        <v>27</v>
      </c>
      <c r="I1649">
        <v>0</v>
      </c>
      <c r="J1649">
        <v>0</v>
      </c>
      <c r="K1649">
        <v>0</v>
      </c>
      <c r="L1649" s="6">
        <f t="shared" si="146"/>
        <v>1</v>
      </c>
      <c r="M1649">
        <v>271</v>
      </c>
      <c r="N1649">
        <v>56</v>
      </c>
      <c r="O1649" s="9">
        <v>0</v>
      </c>
      <c r="P1649">
        <v>0</v>
      </c>
      <c r="Q1649">
        <v>114</v>
      </c>
      <c r="R1649">
        <v>1</v>
      </c>
      <c r="S1649">
        <v>99</v>
      </c>
      <c r="T1649">
        <v>1</v>
      </c>
      <c r="U1649" s="3">
        <f t="shared" si="147"/>
        <v>0.99630996309963105</v>
      </c>
      <c r="V1649" s="3">
        <f t="shared" si="148"/>
        <v>0.99664429530201337</v>
      </c>
    </row>
    <row r="1650" spans="1:22" x14ac:dyDescent="0.25">
      <c r="A1650" s="2">
        <v>2017</v>
      </c>
      <c r="B1650" t="s">
        <v>271</v>
      </c>
      <c r="C1650" t="s">
        <v>22</v>
      </c>
      <c r="D1650" s="2" t="s">
        <v>142</v>
      </c>
      <c r="E1650" s="2" t="s">
        <v>143</v>
      </c>
      <c r="F1650" t="s">
        <v>438</v>
      </c>
      <c r="G1650">
        <v>10</v>
      </c>
      <c r="H1650">
        <v>10</v>
      </c>
      <c r="I1650">
        <v>0</v>
      </c>
      <c r="J1650">
        <v>0</v>
      </c>
      <c r="K1650">
        <v>0</v>
      </c>
      <c r="L1650" s="6">
        <f t="shared" si="146"/>
        <v>1</v>
      </c>
      <c r="M1650">
        <v>254</v>
      </c>
      <c r="N1650">
        <v>45</v>
      </c>
      <c r="O1650" s="9">
        <v>0</v>
      </c>
      <c r="P1650">
        <v>0</v>
      </c>
      <c r="Q1650">
        <v>116</v>
      </c>
      <c r="R1650">
        <v>0</v>
      </c>
      <c r="S1650">
        <v>93</v>
      </c>
      <c r="T1650">
        <v>0</v>
      </c>
      <c r="U1650" s="3">
        <f t="shared" si="147"/>
        <v>1</v>
      </c>
      <c r="V1650" s="3">
        <f t="shared" si="148"/>
        <v>1</v>
      </c>
    </row>
    <row r="1651" spans="1:22" x14ac:dyDescent="0.25">
      <c r="A1651" s="2">
        <v>2017</v>
      </c>
      <c r="B1651" t="s">
        <v>271</v>
      </c>
      <c r="C1651" t="s">
        <v>22</v>
      </c>
      <c r="D1651" s="2" t="s">
        <v>144</v>
      </c>
      <c r="E1651" s="2" t="s">
        <v>145</v>
      </c>
      <c r="F1651" t="s">
        <v>435</v>
      </c>
      <c r="G1651">
        <v>9</v>
      </c>
      <c r="H1651">
        <v>9</v>
      </c>
      <c r="I1651">
        <v>0</v>
      </c>
      <c r="J1651">
        <v>0</v>
      </c>
      <c r="K1651">
        <v>0</v>
      </c>
      <c r="L1651" s="6">
        <f t="shared" si="146"/>
        <v>1</v>
      </c>
      <c r="M1651">
        <v>235</v>
      </c>
      <c r="N1651">
        <v>29</v>
      </c>
      <c r="O1651" s="9">
        <v>0</v>
      </c>
      <c r="P1651">
        <v>0</v>
      </c>
      <c r="Q1651">
        <v>133</v>
      </c>
      <c r="R1651">
        <v>1</v>
      </c>
      <c r="S1651">
        <v>71</v>
      </c>
      <c r="T1651">
        <v>1</v>
      </c>
      <c r="U1651" s="3">
        <f t="shared" si="147"/>
        <v>0.99574468085106382</v>
      </c>
      <c r="V1651" s="3">
        <f t="shared" si="148"/>
        <v>0.99590163934426235</v>
      </c>
    </row>
    <row r="1652" spans="1:22" x14ac:dyDescent="0.25">
      <c r="A1652" s="2">
        <v>2017</v>
      </c>
      <c r="B1652" t="s">
        <v>271</v>
      </c>
      <c r="C1652" t="s">
        <v>22</v>
      </c>
      <c r="D1652" s="2" t="s">
        <v>146</v>
      </c>
      <c r="E1652" s="2" t="s">
        <v>83</v>
      </c>
      <c r="F1652" t="s">
        <v>369</v>
      </c>
      <c r="G1652">
        <v>25</v>
      </c>
      <c r="H1652">
        <v>25</v>
      </c>
      <c r="I1652">
        <v>0</v>
      </c>
      <c r="J1652">
        <v>0</v>
      </c>
      <c r="K1652">
        <v>0</v>
      </c>
      <c r="L1652" s="6">
        <f t="shared" si="146"/>
        <v>1</v>
      </c>
      <c r="M1652">
        <v>278</v>
      </c>
      <c r="N1652">
        <v>47</v>
      </c>
      <c r="O1652" s="9">
        <v>0</v>
      </c>
      <c r="P1652">
        <v>1</v>
      </c>
      <c r="Q1652">
        <v>120</v>
      </c>
      <c r="R1652">
        <v>6</v>
      </c>
      <c r="S1652">
        <v>104</v>
      </c>
      <c r="T1652">
        <v>0</v>
      </c>
      <c r="U1652" s="3">
        <f t="shared" si="147"/>
        <v>0.97482014388489213</v>
      </c>
      <c r="V1652" s="3">
        <f t="shared" si="148"/>
        <v>0.97689768976897695</v>
      </c>
    </row>
    <row r="1653" spans="1:22" x14ac:dyDescent="0.25">
      <c r="A1653" s="2">
        <v>2017</v>
      </c>
      <c r="B1653" t="s">
        <v>271</v>
      </c>
      <c r="C1653" t="s">
        <v>22</v>
      </c>
      <c r="D1653" s="2" t="s">
        <v>147</v>
      </c>
      <c r="E1653" s="2" t="s">
        <v>84</v>
      </c>
      <c r="F1653" t="s">
        <v>371</v>
      </c>
      <c r="G1653">
        <v>5</v>
      </c>
      <c r="H1653">
        <v>5</v>
      </c>
      <c r="I1653">
        <v>0</v>
      </c>
      <c r="J1653">
        <v>0</v>
      </c>
      <c r="K1653">
        <v>0</v>
      </c>
      <c r="L1653" s="6">
        <f t="shared" si="146"/>
        <v>1</v>
      </c>
      <c r="M1653">
        <v>178</v>
      </c>
      <c r="N1653">
        <v>26</v>
      </c>
      <c r="O1653" s="9">
        <v>0</v>
      </c>
      <c r="P1653">
        <v>0</v>
      </c>
      <c r="Q1653">
        <v>89</v>
      </c>
      <c r="R1653">
        <v>1</v>
      </c>
      <c r="S1653">
        <v>62</v>
      </c>
      <c r="T1653">
        <v>0</v>
      </c>
      <c r="U1653" s="3">
        <f t="shared" si="147"/>
        <v>0.9943820224719101</v>
      </c>
      <c r="V1653" s="3">
        <f t="shared" si="148"/>
        <v>0.99453551912568305</v>
      </c>
    </row>
    <row r="1654" spans="1:22" x14ac:dyDescent="0.25">
      <c r="A1654" s="2">
        <v>2017</v>
      </c>
      <c r="B1654" t="s">
        <v>271</v>
      </c>
      <c r="C1654" t="s">
        <v>22</v>
      </c>
      <c r="D1654" s="2" t="s">
        <v>565</v>
      </c>
      <c r="E1654" s="2" t="s">
        <v>566</v>
      </c>
      <c r="F1654" t="s">
        <v>419</v>
      </c>
      <c r="G1654">
        <v>0</v>
      </c>
      <c r="H1654">
        <v>0</v>
      </c>
      <c r="I1654">
        <v>0</v>
      </c>
      <c r="J1654">
        <v>0</v>
      </c>
      <c r="K1654">
        <v>0</v>
      </c>
      <c r="L1654" s="6">
        <f t="shared" si="146"/>
        <v>0</v>
      </c>
      <c r="M1654">
        <v>1</v>
      </c>
      <c r="N1654">
        <v>0</v>
      </c>
      <c r="O1654" s="9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 s="3">
        <f t="shared" si="147"/>
        <v>1</v>
      </c>
      <c r="V1654" s="3">
        <f t="shared" si="148"/>
        <v>1</v>
      </c>
    </row>
    <row r="1655" spans="1:22" x14ac:dyDescent="0.25">
      <c r="A1655" s="2">
        <v>2017</v>
      </c>
      <c r="B1655" t="s">
        <v>271</v>
      </c>
      <c r="C1655" t="s">
        <v>22</v>
      </c>
      <c r="D1655" s="2" t="s">
        <v>567</v>
      </c>
      <c r="E1655" s="2" t="s">
        <v>568</v>
      </c>
      <c r="F1655" t="s">
        <v>439</v>
      </c>
      <c r="G1655">
        <v>2</v>
      </c>
      <c r="H1655">
        <v>2</v>
      </c>
      <c r="I1655">
        <v>0</v>
      </c>
      <c r="J1655">
        <v>0</v>
      </c>
      <c r="K1655">
        <v>0</v>
      </c>
      <c r="L1655" s="6">
        <f t="shared" si="146"/>
        <v>1</v>
      </c>
      <c r="M1655">
        <v>18</v>
      </c>
      <c r="N1655">
        <v>4</v>
      </c>
      <c r="O1655" s="9">
        <v>0</v>
      </c>
      <c r="P1655">
        <v>0</v>
      </c>
      <c r="Q1655">
        <v>9</v>
      </c>
      <c r="R1655">
        <v>0</v>
      </c>
      <c r="S1655">
        <v>5</v>
      </c>
      <c r="T1655">
        <v>0</v>
      </c>
      <c r="U1655" s="3">
        <f t="shared" si="147"/>
        <v>1</v>
      </c>
      <c r="V1655" s="3">
        <f t="shared" si="148"/>
        <v>1</v>
      </c>
    </row>
    <row r="1656" spans="1:22" x14ac:dyDescent="0.25">
      <c r="A1656" s="2">
        <v>2017</v>
      </c>
      <c r="B1656" t="s">
        <v>271</v>
      </c>
      <c r="C1656" t="s">
        <v>22</v>
      </c>
      <c r="D1656" s="2" t="s">
        <v>148</v>
      </c>
      <c r="E1656" s="2" t="s">
        <v>88</v>
      </c>
      <c r="F1656" t="s">
        <v>372</v>
      </c>
      <c r="G1656">
        <v>12</v>
      </c>
      <c r="H1656">
        <v>12</v>
      </c>
      <c r="I1656">
        <v>0</v>
      </c>
      <c r="J1656">
        <v>0</v>
      </c>
      <c r="K1656">
        <v>0</v>
      </c>
      <c r="L1656" s="6">
        <f t="shared" si="146"/>
        <v>1</v>
      </c>
      <c r="M1656">
        <v>158</v>
      </c>
      <c r="N1656">
        <v>35</v>
      </c>
      <c r="O1656" s="9">
        <v>0</v>
      </c>
      <c r="P1656">
        <v>0</v>
      </c>
      <c r="Q1656">
        <v>71</v>
      </c>
      <c r="R1656">
        <v>1</v>
      </c>
      <c r="S1656">
        <v>48</v>
      </c>
      <c r="T1656">
        <v>3</v>
      </c>
      <c r="U1656" s="3">
        <f t="shared" si="147"/>
        <v>0.99367088607594933</v>
      </c>
      <c r="V1656" s="3">
        <f t="shared" si="148"/>
        <v>0.99411764705882355</v>
      </c>
    </row>
    <row r="1657" spans="1:22" x14ac:dyDescent="0.25">
      <c r="A1657" s="2">
        <v>2017</v>
      </c>
      <c r="B1657" t="s">
        <v>271</v>
      </c>
      <c r="C1657" t="s">
        <v>23</v>
      </c>
      <c r="D1657" s="2" t="s">
        <v>569</v>
      </c>
      <c r="E1657" s="2" t="s">
        <v>149</v>
      </c>
      <c r="F1657" t="s">
        <v>40</v>
      </c>
      <c r="G1657">
        <v>9</v>
      </c>
      <c r="H1657">
        <v>9</v>
      </c>
      <c r="I1657">
        <v>0</v>
      </c>
      <c r="J1657">
        <v>0</v>
      </c>
      <c r="K1657">
        <v>0</v>
      </c>
      <c r="L1657" s="6">
        <f t="shared" si="146"/>
        <v>1</v>
      </c>
      <c r="M1657">
        <v>163</v>
      </c>
      <c r="N1657">
        <v>23</v>
      </c>
      <c r="O1657" s="9">
        <v>0</v>
      </c>
      <c r="P1657">
        <v>23</v>
      </c>
      <c r="Q1657">
        <v>0</v>
      </c>
      <c r="R1657">
        <v>66</v>
      </c>
      <c r="S1657">
        <v>0</v>
      </c>
      <c r="T1657">
        <v>74</v>
      </c>
      <c r="U1657" s="3">
        <v>0</v>
      </c>
      <c r="V1657" s="3">
        <f t="shared" ref="V1657:V1684" si="149">IF(AND(G1657=0,M1657=0),0,(H1657+I1657+J1657+N1657+Q1657+S1657+T1657)/(G1657+M1657))</f>
        <v>0.61627906976744184</v>
      </c>
    </row>
    <row r="1658" spans="1:22" x14ac:dyDescent="0.25">
      <c r="A1658" s="2">
        <v>2017</v>
      </c>
      <c r="B1658" t="s">
        <v>271</v>
      </c>
      <c r="C1658" t="s">
        <v>23</v>
      </c>
      <c r="D1658" s="2" t="s">
        <v>150</v>
      </c>
      <c r="E1658" s="2" t="s">
        <v>151</v>
      </c>
      <c r="F1658" t="s">
        <v>374</v>
      </c>
      <c r="G1658">
        <v>2</v>
      </c>
      <c r="H1658">
        <v>2</v>
      </c>
      <c r="I1658">
        <v>0</v>
      </c>
      <c r="J1658">
        <v>0</v>
      </c>
      <c r="K1658">
        <v>0</v>
      </c>
      <c r="L1658" s="6">
        <f t="shared" si="146"/>
        <v>1</v>
      </c>
      <c r="M1658">
        <v>121</v>
      </c>
      <c r="N1658">
        <v>10</v>
      </c>
      <c r="O1658" s="9">
        <v>0</v>
      </c>
      <c r="P1658">
        <v>10</v>
      </c>
      <c r="Q1658">
        <v>1</v>
      </c>
      <c r="R1658">
        <v>68</v>
      </c>
      <c r="S1658">
        <v>0</v>
      </c>
      <c r="T1658">
        <v>42</v>
      </c>
      <c r="U1658" s="3">
        <v>0</v>
      </c>
      <c r="V1658" s="3">
        <f t="shared" si="149"/>
        <v>0.44715447154471544</v>
      </c>
    </row>
    <row r="1659" spans="1:22" x14ac:dyDescent="0.25">
      <c r="A1659" s="2">
        <v>2017</v>
      </c>
      <c r="B1659" t="s">
        <v>271</v>
      </c>
      <c r="C1659" t="s">
        <v>23</v>
      </c>
      <c r="D1659" s="2" t="s">
        <v>152</v>
      </c>
      <c r="E1659" s="2" t="s">
        <v>153</v>
      </c>
      <c r="F1659" t="s">
        <v>375</v>
      </c>
      <c r="G1659">
        <v>3</v>
      </c>
      <c r="H1659">
        <v>3</v>
      </c>
      <c r="I1659">
        <v>0</v>
      </c>
      <c r="J1659">
        <v>0</v>
      </c>
      <c r="K1659">
        <v>0</v>
      </c>
      <c r="L1659" s="6">
        <f t="shared" si="146"/>
        <v>1</v>
      </c>
      <c r="M1659">
        <v>123</v>
      </c>
      <c r="N1659">
        <v>17</v>
      </c>
      <c r="O1659" s="9">
        <v>0</v>
      </c>
      <c r="P1659">
        <v>17</v>
      </c>
      <c r="Q1659">
        <v>0</v>
      </c>
      <c r="R1659">
        <v>51</v>
      </c>
      <c r="S1659">
        <v>0</v>
      </c>
      <c r="T1659">
        <v>55</v>
      </c>
      <c r="U1659" s="3">
        <v>0</v>
      </c>
      <c r="V1659" s="3">
        <f t="shared" si="149"/>
        <v>0.59523809523809523</v>
      </c>
    </row>
    <row r="1660" spans="1:22" x14ac:dyDescent="0.25">
      <c r="A1660" s="2">
        <v>2017</v>
      </c>
      <c r="B1660" t="s">
        <v>271</v>
      </c>
      <c r="C1660" t="s">
        <v>23</v>
      </c>
      <c r="D1660" s="2" t="s">
        <v>154</v>
      </c>
      <c r="E1660" s="2" t="s">
        <v>155</v>
      </c>
      <c r="F1660" t="s">
        <v>376</v>
      </c>
      <c r="G1660">
        <v>1</v>
      </c>
      <c r="H1660">
        <v>1</v>
      </c>
      <c r="I1660">
        <v>0</v>
      </c>
      <c r="J1660">
        <v>0</v>
      </c>
      <c r="K1660">
        <v>0</v>
      </c>
      <c r="L1660" s="6">
        <f t="shared" si="146"/>
        <v>1</v>
      </c>
      <c r="M1660">
        <v>131</v>
      </c>
      <c r="N1660">
        <v>20</v>
      </c>
      <c r="O1660" s="9">
        <v>0</v>
      </c>
      <c r="P1660">
        <v>20</v>
      </c>
      <c r="Q1660">
        <v>0</v>
      </c>
      <c r="R1660">
        <v>43</v>
      </c>
      <c r="S1660">
        <v>0</v>
      </c>
      <c r="T1660">
        <v>67</v>
      </c>
      <c r="U1660" s="3">
        <v>1</v>
      </c>
      <c r="V1660" s="3">
        <f t="shared" si="149"/>
        <v>0.66666666666666663</v>
      </c>
    </row>
    <row r="1661" spans="1:22" x14ac:dyDescent="0.25">
      <c r="A1661" s="2">
        <v>2017</v>
      </c>
      <c r="B1661" t="s">
        <v>271</v>
      </c>
      <c r="C1661" t="s">
        <v>23</v>
      </c>
      <c r="D1661" s="2" t="s">
        <v>159</v>
      </c>
      <c r="E1661" s="2" t="s">
        <v>160</v>
      </c>
      <c r="F1661" t="s">
        <v>379</v>
      </c>
      <c r="G1661">
        <v>6</v>
      </c>
      <c r="H1661">
        <v>6</v>
      </c>
      <c r="I1661">
        <v>0</v>
      </c>
      <c r="J1661">
        <v>0</v>
      </c>
      <c r="K1661">
        <v>0</v>
      </c>
      <c r="L1661" s="6">
        <f t="shared" si="146"/>
        <v>1</v>
      </c>
      <c r="M1661">
        <v>196</v>
      </c>
      <c r="N1661">
        <v>24</v>
      </c>
      <c r="O1661" s="9">
        <v>0</v>
      </c>
      <c r="P1661">
        <v>24</v>
      </c>
      <c r="Q1661">
        <v>0</v>
      </c>
      <c r="R1661">
        <v>89</v>
      </c>
      <c r="S1661">
        <v>0</v>
      </c>
      <c r="T1661">
        <v>83</v>
      </c>
      <c r="U1661" s="3">
        <v>0</v>
      </c>
      <c r="V1661" s="3">
        <f t="shared" si="149"/>
        <v>0.55940594059405946</v>
      </c>
    </row>
    <row r="1662" spans="1:22" x14ac:dyDescent="0.25">
      <c r="A1662" s="2">
        <v>2017</v>
      </c>
      <c r="B1662" t="s">
        <v>271</v>
      </c>
      <c r="C1662" t="s">
        <v>23</v>
      </c>
      <c r="D1662" s="2" t="s">
        <v>161</v>
      </c>
      <c r="E1662" s="2" t="s">
        <v>162</v>
      </c>
      <c r="F1662" t="s">
        <v>381</v>
      </c>
      <c r="G1662">
        <v>6</v>
      </c>
      <c r="H1662">
        <v>6</v>
      </c>
      <c r="I1662">
        <v>0</v>
      </c>
      <c r="J1662">
        <v>0</v>
      </c>
      <c r="K1662">
        <v>0</v>
      </c>
      <c r="L1662" s="6">
        <f t="shared" si="146"/>
        <v>1</v>
      </c>
      <c r="M1662">
        <v>95</v>
      </c>
      <c r="N1662">
        <v>12</v>
      </c>
      <c r="O1662" s="9">
        <v>0</v>
      </c>
      <c r="P1662">
        <v>12</v>
      </c>
      <c r="Q1662">
        <v>0</v>
      </c>
      <c r="R1662">
        <v>47</v>
      </c>
      <c r="S1662">
        <v>0</v>
      </c>
      <c r="T1662">
        <v>36</v>
      </c>
      <c r="U1662" s="3">
        <v>0</v>
      </c>
      <c r="V1662" s="3">
        <f t="shared" si="149"/>
        <v>0.53465346534653468</v>
      </c>
    </row>
    <row r="1663" spans="1:22" x14ac:dyDescent="0.25">
      <c r="A1663" s="2">
        <v>2017</v>
      </c>
      <c r="B1663" t="s">
        <v>271</v>
      </c>
      <c r="C1663" t="s">
        <v>23</v>
      </c>
      <c r="D1663" s="2" t="s">
        <v>234</v>
      </c>
      <c r="E1663" s="2" t="s">
        <v>137</v>
      </c>
      <c r="F1663" t="s">
        <v>34</v>
      </c>
      <c r="G1663">
        <v>0</v>
      </c>
      <c r="H1663">
        <v>0</v>
      </c>
      <c r="I1663">
        <v>0</v>
      </c>
      <c r="J1663">
        <v>0</v>
      </c>
      <c r="K1663">
        <v>0</v>
      </c>
      <c r="L1663" s="6">
        <f t="shared" si="146"/>
        <v>0</v>
      </c>
      <c r="M1663">
        <v>2</v>
      </c>
      <c r="N1663">
        <v>1</v>
      </c>
      <c r="O1663" s="9">
        <v>0</v>
      </c>
      <c r="P1663">
        <v>1</v>
      </c>
      <c r="Q1663">
        <v>0</v>
      </c>
      <c r="R1663">
        <v>0</v>
      </c>
      <c r="S1663">
        <v>0</v>
      </c>
      <c r="T1663">
        <v>1</v>
      </c>
      <c r="U1663" s="3">
        <v>0</v>
      </c>
      <c r="V1663" s="3">
        <f t="shared" si="149"/>
        <v>1</v>
      </c>
    </row>
    <row r="1664" spans="1:22" x14ac:dyDescent="0.25">
      <c r="A1664" s="2">
        <v>2017</v>
      </c>
      <c r="B1664" t="s">
        <v>271</v>
      </c>
      <c r="C1664" t="s">
        <v>23</v>
      </c>
      <c r="D1664" s="2" t="s">
        <v>163</v>
      </c>
      <c r="E1664" s="2" t="s">
        <v>164</v>
      </c>
      <c r="F1664" t="s">
        <v>383</v>
      </c>
      <c r="G1664">
        <v>4</v>
      </c>
      <c r="H1664">
        <v>4</v>
      </c>
      <c r="I1664">
        <v>0</v>
      </c>
      <c r="J1664">
        <v>0</v>
      </c>
      <c r="K1664">
        <v>0</v>
      </c>
      <c r="L1664" s="6">
        <f t="shared" si="146"/>
        <v>1</v>
      </c>
      <c r="M1664">
        <v>207</v>
      </c>
      <c r="N1664">
        <v>35</v>
      </c>
      <c r="O1664" s="9">
        <v>0</v>
      </c>
      <c r="P1664">
        <v>35</v>
      </c>
      <c r="Q1664">
        <v>1</v>
      </c>
      <c r="R1664">
        <v>76</v>
      </c>
      <c r="S1664">
        <v>3</v>
      </c>
      <c r="T1664">
        <v>92</v>
      </c>
      <c r="U1664" s="3">
        <v>0</v>
      </c>
      <c r="V1664" s="3">
        <f t="shared" si="149"/>
        <v>0.6398104265402843</v>
      </c>
    </row>
    <row r="1665" spans="1:22" x14ac:dyDescent="0.25">
      <c r="A1665" s="2">
        <v>2017</v>
      </c>
      <c r="B1665" t="s">
        <v>271</v>
      </c>
      <c r="C1665" t="s">
        <v>23</v>
      </c>
      <c r="D1665" s="2" t="s">
        <v>167</v>
      </c>
      <c r="E1665" s="2" t="s">
        <v>168</v>
      </c>
      <c r="F1665" t="s">
        <v>385</v>
      </c>
      <c r="G1665">
        <v>0</v>
      </c>
      <c r="H1665">
        <v>0</v>
      </c>
      <c r="I1665">
        <v>0</v>
      </c>
      <c r="J1665">
        <v>0</v>
      </c>
      <c r="K1665">
        <v>0</v>
      </c>
      <c r="L1665" s="6">
        <f t="shared" si="146"/>
        <v>0</v>
      </c>
      <c r="M1665">
        <v>1</v>
      </c>
      <c r="N1665">
        <v>0</v>
      </c>
      <c r="O1665" s="9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 s="3">
        <v>0</v>
      </c>
      <c r="V1665" s="3">
        <f t="shared" si="149"/>
        <v>0</v>
      </c>
    </row>
    <row r="1666" spans="1:22" x14ac:dyDescent="0.25">
      <c r="A1666" s="2">
        <v>2017</v>
      </c>
      <c r="B1666" t="s">
        <v>271</v>
      </c>
      <c r="C1666" t="s">
        <v>23</v>
      </c>
      <c r="D1666" s="2" t="s">
        <v>170</v>
      </c>
      <c r="E1666" s="2" t="s">
        <v>171</v>
      </c>
      <c r="F1666" t="s">
        <v>387</v>
      </c>
      <c r="G1666">
        <v>7</v>
      </c>
      <c r="H1666">
        <v>7</v>
      </c>
      <c r="I1666">
        <v>0</v>
      </c>
      <c r="J1666">
        <v>0</v>
      </c>
      <c r="K1666">
        <v>0</v>
      </c>
      <c r="L1666" s="6">
        <f t="shared" si="146"/>
        <v>1</v>
      </c>
      <c r="M1666">
        <v>228</v>
      </c>
      <c r="N1666">
        <v>19</v>
      </c>
      <c r="O1666" s="9">
        <v>0</v>
      </c>
      <c r="P1666">
        <v>19</v>
      </c>
      <c r="Q1666">
        <v>0</v>
      </c>
      <c r="R1666">
        <v>101</v>
      </c>
      <c r="S1666">
        <v>0</v>
      </c>
      <c r="T1666">
        <v>108</v>
      </c>
      <c r="U1666" s="3">
        <v>0</v>
      </c>
      <c r="V1666" s="3">
        <f t="shared" si="149"/>
        <v>0.57021276595744685</v>
      </c>
    </row>
    <row r="1667" spans="1:22" x14ac:dyDescent="0.25">
      <c r="A1667" s="2">
        <v>2017</v>
      </c>
      <c r="B1667" t="s">
        <v>271</v>
      </c>
      <c r="C1667" t="s">
        <v>23</v>
      </c>
      <c r="D1667" s="2" t="s">
        <v>172</v>
      </c>
      <c r="E1667" s="2" t="s">
        <v>173</v>
      </c>
      <c r="F1667" t="s">
        <v>388</v>
      </c>
      <c r="G1667">
        <v>1</v>
      </c>
      <c r="H1667">
        <v>1</v>
      </c>
      <c r="I1667">
        <v>0</v>
      </c>
      <c r="J1667">
        <v>0</v>
      </c>
      <c r="K1667">
        <v>0</v>
      </c>
      <c r="L1667" s="6">
        <f t="shared" si="146"/>
        <v>1</v>
      </c>
      <c r="M1667">
        <v>118</v>
      </c>
      <c r="N1667">
        <v>17</v>
      </c>
      <c r="O1667" s="9">
        <v>0</v>
      </c>
      <c r="P1667">
        <v>17</v>
      </c>
      <c r="Q1667">
        <v>0</v>
      </c>
      <c r="R1667">
        <v>49</v>
      </c>
      <c r="S1667">
        <v>0</v>
      </c>
      <c r="T1667">
        <v>52</v>
      </c>
      <c r="U1667" s="3">
        <v>0</v>
      </c>
      <c r="V1667" s="3">
        <f t="shared" si="149"/>
        <v>0.58823529411764708</v>
      </c>
    </row>
    <row r="1668" spans="1:22" x14ac:dyDescent="0.25">
      <c r="A1668" s="2">
        <v>2017</v>
      </c>
      <c r="B1668" t="s">
        <v>271</v>
      </c>
      <c r="C1668" t="s">
        <v>23</v>
      </c>
      <c r="D1668" s="2" t="s">
        <v>174</v>
      </c>
      <c r="E1668" s="2" t="s">
        <v>175</v>
      </c>
      <c r="F1668" t="s">
        <v>389</v>
      </c>
      <c r="G1668">
        <v>7</v>
      </c>
      <c r="H1668">
        <v>7</v>
      </c>
      <c r="I1668">
        <v>0</v>
      </c>
      <c r="J1668">
        <v>0</v>
      </c>
      <c r="K1668">
        <v>0</v>
      </c>
      <c r="L1668" s="6">
        <f t="shared" si="146"/>
        <v>1</v>
      </c>
      <c r="M1668">
        <v>224</v>
      </c>
      <c r="N1668">
        <v>30</v>
      </c>
      <c r="O1668" s="9">
        <v>0</v>
      </c>
      <c r="P1668">
        <v>30</v>
      </c>
      <c r="Q1668">
        <v>0</v>
      </c>
      <c r="R1668">
        <v>95</v>
      </c>
      <c r="S1668">
        <v>0</v>
      </c>
      <c r="T1668">
        <v>99</v>
      </c>
      <c r="U1668" s="3">
        <v>0</v>
      </c>
      <c r="V1668" s="3">
        <f t="shared" si="149"/>
        <v>0.58874458874458879</v>
      </c>
    </row>
    <row r="1669" spans="1:22" x14ac:dyDescent="0.25">
      <c r="A1669" s="2">
        <v>2017</v>
      </c>
      <c r="B1669" t="s">
        <v>271</v>
      </c>
      <c r="C1669" t="s">
        <v>24</v>
      </c>
      <c r="D1669" s="2">
        <v>136</v>
      </c>
      <c r="E1669" s="2">
        <v>121923</v>
      </c>
      <c r="F1669" t="s">
        <v>41</v>
      </c>
      <c r="G1669">
        <v>2</v>
      </c>
      <c r="H1669">
        <v>2</v>
      </c>
      <c r="I1669">
        <v>0</v>
      </c>
      <c r="J1669">
        <v>0</v>
      </c>
      <c r="K1669">
        <v>0</v>
      </c>
      <c r="L1669" s="6">
        <f t="shared" si="146"/>
        <v>1</v>
      </c>
      <c r="M1669">
        <v>26</v>
      </c>
      <c r="N1669">
        <v>2</v>
      </c>
      <c r="O1669" s="9">
        <v>0</v>
      </c>
      <c r="P1669">
        <v>0</v>
      </c>
      <c r="Q1669">
        <v>11</v>
      </c>
      <c r="R1669">
        <v>0</v>
      </c>
      <c r="S1669">
        <v>13</v>
      </c>
      <c r="T1669">
        <v>0</v>
      </c>
      <c r="U1669" s="3">
        <f t="shared" ref="U1669:U1684" si="150">IF(M1669=0,0,((N1669+O1669+Q1669+S1669+T1669)/M1669))</f>
        <v>1</v>
      </c>
      <c r="V1669" s="3">
        <f t="shared" si="149"/>
        <v>1</v>
      </c>
    </row>
    <row r="1670" spans="1:22" x14ac:dyDescent="0.25">
      <c r="A1670" s="2">
        <v>2017</v>
      </c>
      <c r="B1670" t="s">
        <v>271</v>
      </c>
      <c r="C1670" t="s">
        <v>24</v>
      </c>
      <c r="D1670" s="2" t="s">
        <v>178</v>
      </c>
      <c r="E1670" s="2" t="s">
        <v>179</v>
      </c>
      <c r="F1670" t="s">
        <v>390</v>
      </c>
      <c r="G1670">
        <v>3</v>
      </c>
      <c r="H1670">
        <v>3</v>
      </c>
      <c r="I1670">
        <v>0</v>
      </c>
      <c r="J1670">
        <v>0</v>
      </c>
      <c r="K1670">
        <v>0</v>
      </c>
      <c r="L1670" s="6">
        <f t="shared" si="146"/>
        <v>1</v>
      </c>
      <c r="M1670">
        <v>184</v>
      </c>
      <c r="N1670">
        <v>21</v>
      </c>
      <c r="O1670" s="9">
        <v>0</v>
      </c>
      <c r="P1670">
        <v>0</v>
      </c>
      <c r="Q1670">
        <v>83</v>
      </c>
      <c r="R1670">
        <v>0</v>
      </c>
      <c r="S1670">
        <v>80</v>
      </c>
      <c r="T1670">
        <v>0</v>
      </c>
      <c r="U1670" s="3">
        <f t="shared" si="150"/>
        <v>1</v>
      </c>
      <c r="V1670" s="3">
        <f t="shared" si="149"/>
        <v>1</v>
      </c>
    </row>
    <row r="1671" spans="1:22" x14ac:dyDescent="0.25">
      <c r="A1671" s="2">
        <v>2017</v>
      </c>
      <c r="B1671" t="s">
        <v>271</v>
      </c>
      <c r="C1671" t="s">
        <v>24</v>
      </c>
      <c r="D1671" s="2" t="s">
        <v>180</v>
      </c>
      <c r="E1671" s="2" t="s">
        <v>181</v>
      </c>
      <c r="F1671" t="s">
        <v>391</v>
      </c>
      <c r="G1671">
        <v>11</v>
      </c>
      <c r="H1671">
        <v>11</v>
      </c>
      <c r="I1671">
        <v>0</v>
      </c>
      <c r="J1671">
        <v>0</v>
      </c>
      <c r="K1671">
        <v>0</v>
      </c>
      <c r="L1671" s="6">
        <f t="shared" si="146"/>
        <v>1</v>
      </c>
      <c r="M1671">
        <v>191</v>
      </c>
      <c r="N1671">
        <v>29</v>
      </c>
      <c r="O1671" s="9">
        <v>0</v>
      </c>
      <c r="P1671">
        <v>0</v>
      </c>
      <c r="Q1671">
        <v>76</v>
      </c>
      <c r="R1671">
        <v>0</v>
      </c>
      <c r="S1671">
        <v>85</v>
      </c>
      <c r="T1671">
        <v>1</v>
      </c>
      <c r="U1671" s="3">
        <f t="shared" si="150"/>
        <v>1</v>
      </c>
      <c r="V1671" s="3">
        <f t="shared" si="149"/>
        <v>1</v>
      </c>
    </row>
    <row r="1672" spans="1:22" x14ac:dyDescent="0.25">
      <c r="A1672" s="2">
        <v>2017</v>
      </c>
      <c r="B1672" t="s">
        <v>271</v>
      </c>
      <c r="C1672" t="s">
        <v>24</v>
      </c>
      <c r="D1672" s="2" t="s">
        <v>554</v>
      </c>
      <c r="E1672" s="2" t="s">
        <v>300</v>
      </c>
      <c r="F1672" t="s">
        <v>392</v>
      </c>
      <c r="G1672">
        <v>1</v>
      </c>
      <c r="H1672">
        <v>1</v>
      </c>
      <c r="I1672">
        <v>0</v>
      </c>
      <c r="J1672">
        <v>0</v>
      </c>
      <c r="K1672">
        <v>0</v>
      </c>
      <c r="L1672" s="6">
        <f t="shared" si="146"/>
        <v>1</v>
      </c>
      <c r="M1672">
        <v>49</v>
      </c>
      <c r="N1672">
        <v>8</v>
      </c>
      <c r="O1672" s="9">
        <v>0</v>
      </c>
      <c r="P1672">
        <v>0</v>
      </c>
      <c r="Q1672">
        <v>24</v>
      </c>
      <c r="R1672">
        <v>0</v>
      </c>
      <c r="S1672">
        <v>17</v>
      </c>
      <c r="T1672">
        <v>0</v>
      </c>
      <c r="U1672" s="3">
        <f t="shared" si="150"/>
        <v>1</v>
      </c>
      <c r="V1672" s="3">
        <f t="shared" si="149"/>
        <v>1</v>
      </c>
    </row>
    <row r="1673" spans="1:22" x14ac:dyDescent="0.25">
      <c r="A1673" s="2">
        <v>2017</v>
      </c>
      <c r="B1673" t="s">
        <v>271</v>
      </c>
      <c r="C1673" t="s">
        <v>24</v>
      </c>
      <c r="D1673" s="2" t="s">
        <v>182</v>
      </c>
      <c r="E1673" s="2" t="s">
        <v>183</v>
      </c>
      <c r="F1673" t="s">
        <v>393</v>
      </c>
      <c r="G1673">
        <v>4</v>
      </c>
      <c r="H1673">
        <v>4</v>
      </c>
      <c r="I1673">
        <v>0</v>
      </c>
      <c r="J1673">
        <v>0</v>
      </c>
      <c r="K1673">
        <v>0</v>
      </c>
      <c r="L1673" s="6">
        <f t="shared" si="146"/>
        <v>1</v>
      </c>
      <c r="M1673">
        <v>94</v>
      </c>
      <c r="N1673">
        <v>17</v>
      </c>
      <c r="O1673" s="9">
        <v>0</v>
      </c>
      <c r="P1673">
        <v>0</v>
      </c>
      <c r="Q1673">
        <v>44</v>
      </c>
      <c r="R1673">
        <v>0</v>
      </c>
      <c r="S1673">
        <v>32</v>
      </c>
      <c r="T1673">
        <v>1</v>
      </c>
      <c r="U1673" s="3">
        <f t="shared" si="150"/>
        <v>1</v>
      </c>
      <c r="V1673" s="3">
        <f t="shared" si="149"/>
        <v>1</v>
      </c>
    </row>
    <row r="1674" spans="1:22" x14ac:dyDescent="0.25">
      <c r="A1674" s="2">
        <v>2017</v>
      </c>
      <c r="B1674" t="s">
        <v>271</v>
      </c>
      <c r="C1674" t="s">
        <v>24</v>
      </c>
      <c r="D1674" s="2" t="s">
        <v>119</v>
      </c>
      <c r="E1674" s="2" t="s">
        <v>65</v>
      </c>
      <c r="F1674" t="s">
        <v>355</v>
      </c>
      <c r="G1674">
        <v>0</v>
      </c>
      <c r="H1674">
        <v>0</v>
      </c>
      <c r="I1674">
        <v>0</v>
      </c>
      <c r="J1674">
        <v>0</v>
      </c>
      <c r="K1674">
        <v>0</v>
      </c>
      <c r="L1674" s="6">
        <f t="shared" si="146"/>
        <v>0</v>
      </c>
      <c r="M1674">
        <v>1</v>
      </c>
      <c r="N1674">
        <v>0</v>
      </c>
      <c r="O1674" s="9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 s="3">
        <f t="shared" si="150"/>
        <v>1</v>
      </c>
      <c r="V1674" s="3">
        <f t="shared" si="149"/>
        <v>1</v>
      </c>
    </row>
    <row r="1675" spans="1:22" x14ac:dyDescent="0.25">
      <c r="A1675" s="2">
        <v>2017</v>
      </c>
      <c r="B1675" t="s">
        <v>271</v>
      </c>
      <c r="C1675" t="s">
        <v>24</v>
      </c>
      <c r="D1675" s="2" t="s">
        <v>187</v>
      </c>
      <c r="E1675" s="2" t="s">
        <v>188</v>
      </c>
      <c r="F1675" t="s">
        <v>395</v>
      </c>
      <c r="G1675">
        <v>8</v>
      </c>
      <c r="H1675">
        <v>8</v>
      </c>
      <c r="I1675">
        <v>0</v>
      </c>
      <c r="J1675">
        <v>0</v>
      </c>
      <c r="K1675">
        <v>0</v>
      </c>
      <c r="L1675" s="6">
        <f t="shared" si="146"/>
        <v>1</v>
      </c>
      <c r="M1675">
        <v>169</v>
      </c>
      <c r="N1675">
        <v>30</v>
      </c>
      <c r="O1675" s="9">
        <v>0</v>
      </c>
      <c r="P1675">
        <v>1</v>
      </c>
      <c r="Q1675">
        <v>75</v>
      </c>
      <c r="R1675">
        <v>0</v>
      </c>
      <c r="S1675">
        <v>63</v>
      </c>
      <c r="T1675">
        <v>0</v>
      </c>
      <c r="U1675" s="3">
        <f t="shared" si="150"/>
        <v>0.99408284023668636</v>
      </c>
      <c r="V1675" s="3">
        <f t="shared" si="149"/>
        <v>0.99435028248587576</v>
      </c>
    </row>
    <row r="1676" spans="1:22" x14ac:dyDescent="0.25">
      <c r="A1676" s="2">
        <v>2017</v>
      </c>
      <c r="B1676" t="s">
        <v>271</v>
      </c>
      <c r="C1676" t="s">
        <v>24</v>
      </c>
      <c r="D1676" s="2" t="s">
        <v>571</v>
      </c>
      <c r="E1676" s="2" t="s">
        <v>572</v>
      </c>
      <c r="F1676" t="s">
        <v>570</v>
      </c>
      <c r="G1676">
        <v>0</v>
      </c>
      <c r="H1676">
        <v>0</v>
      </c>
      <c r="I1676">
        <v>0</v>
      </c>
      <c r="J1676">
        <v>0</v>
      </c>
      <c r="K1676">
        <v>0</v>
      </c>
      <c r="L1676" s="6">
        <f t="shared" si="146"/>
        <v>0</v>
      </c>
      <c r="M1676">
        <v>1</v>
      </c>
      <c r="N1676">
        <v>1</v>
      </c>
      <c r="O1676" s="9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 s="3">
        <f t="shared" si="150"/>
        <v>1</v>
      </c>
      <c r="V1676" s="3">
        <f t="shared" si="149"/>
        <v>1</v>
      </c>
    </row>
    <row r="1677" spans="1:22" x14ac:dyDescent="0.25">
      <c r="A1677" s="2">
        <v>2017</v>
      </c>
      <c r="B1677" t="s">
        <v>271</v>
      </c>
      <c r="C1677" t="s">
        <v>24</v>
      </c>
      <c r="D1677" s="2" t="s">
        <v>189</v>
      </c>
      <c r="E1677" s="2" t="s">
        <v>190</v>
      </c>
      <c r="F1677" t="s">
        <v>397</v>
      </c>
      <c r="G1677">
        <v>14</v>
      </c>
      <c r="H1677">
        <v>14</v>
      </c>
      <c r="I1677">
        <v>0</v>
      </c>
      <c r="J1677">
        <v>0</v>
      </c>
      <c r="K1677">
        <v>0</v>
      </c>
      <c r="L1677" s="6">
        <f t="shared" si="146"/>
        <v>1</v>
      </c>
      <c r="M1677">
        <v>166</v>
      </c>
      <c r="N1677">
        <v>23</v>
      </c>
      <c r="O1677" s="9">
        <v>0</v>
      </c>
      <c r="P1677">
        <v>0</v>
      </c>
      <c r="Q1677">
        <v>74</v>
      </c>
      <c r="R1677">
        <v>0</v>
      </c>
      <c r="S1677">
        <v>68</v>
      </c>
      <c r="T1677">
        <v>1</v>
      </c>
      <c r="U1677" s="3">
        <f t="shared" si="150"/>
        <v>1</v>
      </c>
      <c r="V1677" s="3">
        <f t="shared" si="149"/>
        <v>1</v>
      </c>
    </row>
    <row r="1678" spans="1:22" x14ac:dyDescent="0.25">
      <c r="A1678" s="2">
        <v>2017</v>
      </c>
      <c r="B1678" t="s">
        <v>271</v>
      </c>
      <c r="C1678" t="s">
        <v>24</v>
      </c>
      <c r="D1678" s="2" t="s">
        <v>191</v>
      </c>
      <c r="E1678" s="2" t="s">
        <v>192</v>
      </c>
      <c r="F1678" t="s">
        <v>398</v>
      </c>
      <c r="G1678">
        <v>17</v>
      </c>
      <c r="H1678">
        <v>17</v>
      </c>
      <c r="I1678">
        <v>0</v>
      </c>
      <c r="J1678">
        <v>0</v>
      </c>
      <c r="K1678">
        <v>0</v>
      </c>
      <c r="L1678" s="6">
        <f t="shared" si="146"/>
        <v>1</v>
      </c>
      <c r="M1678">
        <v>229</v>
      </c>
      <c r="N1678">
        <v>35</v>
      </c>
      <c r="O1678" s="9">
        <v>0</v>
      </c>
      <c r="P1678">
        <v>0</v>
      </c>
      <c r="Q1678">
        <v>113</v>
      </c>
      <c r="R1678">
        <v>0</v>
      </c>
      <c r="S1678">
        <v>81</v>
      </c>
      <c r="T1678">
        <v>0</v>
      </c>
      <c r="U1678" s="3">
        <f t="shared" si="150"/>
        <v>1</v>
      </c>
      <c r="V1678" s="3">
        <f t="shared" si="149"/>
        <v>1</v>
      </c>
    </row>
    <row r="1679" spans="1:22" x14ac:dyDescent="0.25">
      <c r="A1679" s="2">
        <v>2017</v>
      </c>
      <c r="B1679" t="s">
        <v>271</v>
      </c>
      <c r="C1679" t="s">
        <v>24</v>
      </c>
      <c r="D1679" s="2" t="s">
        <v>125</v>
      </c>
      <c r="E1679" s="2" t="s">
        <v>70</v>
      </c>
      <c r="F1679" t="s">
        <v>360</v>
      </c>
      <c r="G1679">
        <v>0</v>
      </c>
      <c r="H1679">
        <v>0</v>
      </c>
      <c r="I1679">
        <v>0</v>
      </c>
      <c r="J1679">
        <v>0</v>
      </c>
      <c r="K1679">
        <v>0</v>
      </c>
      <c r="L1679" s="6">
        <f t="shared" si="146"/>
        <v>0</v>
      </c>
      <c r="M1679">
        <v>3</v>
      </c>
      <c r="N1679">
        <v>1</v>
      </c>
      <c r="O1679" s="9">
        <v>0</v>
      </c>
      <c r="P1679">
        <v>0</v>
      </c>
      <c r="Q1679">
        <v>1</v>
      </c>
      <c r="R1679">
        <v>0</v>
      </c>
      <c r="S1679">
        <v>1</v>
      </c>
      <c r="T1679">
        <v>0</v>
      </c>
      <c r="U1679" s="3">
        <f t="shared" si="150"/>
        <v>1</v>
      </c>
      <c r="V1679" s="3">
        <f t="shared" si="149"/>
        <v>1</v>
      </c>
    </row>
    <row r="1680" spans="1:22" x14ac:dyDescent="0.25">
      <c r="A1680" s="2">
        <v>2017</v>
      </c>
      <c r="B1680" t="s">
        <v>271</v>
      </c>
      <c r="C1680" t="s">
        <v>24</v>
      </c>
      <c r="D1680" s="2" t="s">
        <v>193</v>
      </c>
      <c r="E1680" s="2" t="s">
        <v>194</v>
      </c>
      <c r="F1680" t="s">
        <v>400</v>
      </c>
      <c r="G1680">
        <v>6</v>
      </c>
      <c r="H1680">
        <v>6</v>
      </c>
      <c r="I1680">
        <v>0</v>
      </c>
      <c r="J1680">
        <v>0</v>
      </c>
      <c r="K1680">
        <v>0</v>
      </c>
      <c r="L1680" s="6">
        <f t="shared" si="146"/>
        <v>1</v>
      </c>
      <c r="M1680">
        <v>110</v>
      </c>
      <c r="N1680">
        <v>15</v>
      </c>
      <c r="O1680" s="9">
        <v>0</v>
      </c>
      <c r="P1680">
        <v>0</v>
      </c>
      <c r="Q1680">
        <v>56</v>
      </c>
      <c r="R1680">
        <v>0</v>
      </c>
      <c r="S1680">
        <v>39</v>
      </c>
      <c r="T1680">
        <v>0</v>
      </c>
      <c r="U1680" s="3">
        <f t="shared" si="150"/>
        <v>1</v>
      </c>
      <c r="V1680" s="3">
        <f t="shared" si="149"/>
        <v>1</v>
      </c>
    </row>
    <row r="1681" spans="1:22" x14ac:dyDescent="0.25">
      <c r="A1681" s="2">
        <v>2017</v>
      </c>
      <c r="B1681" t="s">
        <v>271</v>
      </c>
      <c r="C1681" t="s">
        <v>24</v>
      </c>
      <c r="D1681" s="2" t="s">
        <v>195</v>
      </c>
      <c r="E1681" s="2" t="s">
        <v>196</v>
      </c>
      <c r="F1681" t="s">
        <v>401</v>
      </c>
      <c r="G1681">
        <v>10</v>
      </c>
      <c r="H1681">
        <v>10</v>
      </c>
      <c r="I1681">
        <v>0</v>
      </c>
      <c r="J1681">
        <v>0</v>
      </c>
      <c r="K1681">
        <v>0</v>
      </c>
      <c r="L1681" s="6">
        <f t="shared" si="146"/>
        <v>1</v>
      </c>
      <c r="M1681">
        <v>132</v>
      </c>
      <c r="N1681">
        <v>21</v>
      </c>
      <c r="O1681" s="9">
        <v>0</v>
      </c>
      <c r="P1681">
        <v>0</v>
      </c>
      <c r="Q1681">
        <v>67</v>
      </c>
      <c r="R1681">
        <v>0</v>
      </c>
      <c r="S1681">
        <v>44</v>
      </c>
      <c r="T1681">
        <v>0</v>
      </c>
      <c r="U1681" s="3">
        <f t="shared" si="150"/>
        <v>1</v>
      </c>
      <c r="V1681" s="3">
        <f t="shared" si="149"/>
        <v>1</v>
      </c>
    </row>
    <row r="1682" spans="1:22" x14ac:dyDescent="0.25">
      <c r="A1682" s="2">
        <v>2017</v>
      </c>
      <c r="B1682" t="s">
        <v>271</v>
      </c>
      <c r="C1682" t="s">
        <v>24</v>
      </c>
      <c r="D1682" s="2" t="s">
        <v>197</v>
      </c>
      <c r="E1682" s="2" t="s">
        <v>198</v>
      </c>
      <c r="F1682" t="s">
        <v>503</v>
      </c>
      <c r="G1682">
        <v>2</v>
      </c>
      <c r="H1682">
        <v>2</v>
      </c>
      <c r="I1682">
        <v>0</v>
      </c>
      <c r="J1682">
        <v>0</v>
      </c>
      <c r="K1682">
        <v>0</v>
      </c>
      <c r="L1682" s="6">
        <f t="shared" si="146"/>
        <v>1</v>
      </c>
      <c r="M1682">
        <v>180</v>
      </c>
      <c r="N1682">
        <v>28</v>
      </c>
      <c r="O1682" s="9">
        <v>0</v>
      </c>
      <c r="P1682">
        <v>1</v>
      </c>
      <c r="Q1682">
        <v>85</v>
      </c>
      <c r="R1682">
        <v>0</v>
      </c>
      <c r="S1682">
        <v>66</v>
      </c>
      <c r="T1682">
        <v>0</v>
      </c>
      <c r="U1682" s="3">
        <f t="shared" si="150"/>
        <v>0.99444444444444446</v>
      </c>
      <c r="V1682" s="3">
        <f t="shared" si="149"/>
        <v>0.99450549450549453</v>
      </c>
    </row>
    <row r="1683" spans="1:22" x14ac:dyDescent="0.25">
      <c r="A1683" s="2">
        <v>2017</v>
      </c>
      <c r="B1683" t="s">
        <v>271</v>
      </c>
      <c r="C1683" t="s">
        <v>24</v>
      </c>
      <c r="D1683" s="2" t="s">
        <v>136</v>
      </c>
      <c r="E1683" s="2" t="s">
        <v>137</v>
      </c>
      <c r="F1683" t="s">
        <v>34</v>
      </c>
      <c r="G1683">
        <v>3</v>
      </c>
      <c r="H1683">
        <v>3</v>
      </c>
      <c r="I1683">
        <v>0</v>
      </c>
      <c r="J1683">
        <v>0</v>
      </c>
      <c r="K1683">
        <v>0</v>
      </c>
      <c r="L1683" s="6">
        <f t="shared" si="146"/>
        <v>1</v>
      </c>
      <c r="M1683">
        <v>92</v>
      </c>
      <c r="N1683">
        <v>11</v>
      </c>
      <c r="O1683" s="9">
        <v>0</v>
      </c>
      <c r="P1683">
        <v>0</v>
      </c>
      <c r="Q1683">
        <v>43</v>
      </c>
      <c r="R1683">
        <v>0</v>
      </c>
      <c r="S1683">
        <v>38</v>
      </c>
      <c r="T1683">
        <v>0</v>
      </c>
      <c r="U1683" s="3">
        <f t="shared" si="150"/>
        <v>1</v>
      </c>
      <c r="V1683" s="3">
        <f t="shared" si="149"/>
        <v>1</v>
      </c>
    </row>
    <row r="1684" spans="1:22" x14ac:dyDescent="0.25">
      <c r="A1684" s="2">
        <v>2017</v>
      </c>
      <c r="B1684" t="s">
        <v>271</v>
      </c>
      <c r="C1684" t="s">
        <v>24</v>
      </c>
      <c r="D1684" s="2" t="s">
        <v>573</v>
      </c>
      <c r="E1684" s="2" t="s">
        <v>238</v>
      </c>
      <c r="F1684" t="s">
        <v>340</v>
      </c>
      <c r="G1684">
        <v>3</v>
      </c>
      <c r="H1684">
        <v>3</v>
      </c>
      <c r="I1684">
        <v>0</v>
      </c>
      <c r="J1684">
        <v>0</v>
      </c>
      <c r="K1684">
        <v>0</v>
      </c>
      <c r="L1684" s="6">
        <f t="shared" si="146"/>
        <v>1</v>
      </c>
      <c r="M1684">
        <v>67</v>
      </c>
      <c r="N1684">
        <v>11</v>
      </c>
      <c r="O1684" s="9">
        <v>0</v>
      </c>
      <c r="P1684">
        <v>0</v>
      </c>
      <c r="Q1684">
        <v>33</v>
      </c>
      <c r="R1684">
        <v>0</v>
      </c>
      <c r="S1684">
        <v>23</v>
      </c>
      <c r="T1684">
        <v>0</v>
      </c>
      <c r="U1684" s="3">
        <f t="shared" si="150"/>
        <v>1</v>
      </c>
      <c r="V1684" s="3">
        <f t="shared" si="149"/>
        <v>1</v>
      </c>
    </row>
    <row r="1685" spans="1:22" x14ac:dyDescent="0.25">
      <c r="A1685" s="2">
        <v>2017</v>
      </c>
      <c r="B1685" t="s">
        <v>271</v>
      </c>
      <c r="C1685" t="s">
        <v>24</v>
      </c>
      <c r="D1685" s="2" t="s">
        <v>205</v>
      </c>
      <c r="E1685" s="2" t="s">
        <v>206</v>
      </c>
      <c r="F1685" t="s">
        <v>404</v>
      </c>
      <c r="G1685">
        <v>5</v>
      </c>
      <c r="H1685">
        <v>5</v>
      </c>
      <c r="I1685">
        <v>0</v>
      </c>
      <c r="J1685">
        <v>0</v>
      </c>
      <c r="K1685">
        <v>0</v>
      </c>
      <c r="L1685" s="6">
        <f t="shared" si="146"/>
        <v>1</v>
      </c>
      <c r="M1685">
        <v>81</v>
      </c>
      <c r="N1685">
        <v>18</v>
      </c>
      <c r="O1685" s="9">
        <v>0</v>
      </c>
      <c r="P1685">
        <v>0</v>
      </c>
      <c r="Q1685">
        <v>39</v>
      </c>
      <c r="R1685">
        <v>0</v>
      </c>
      <c r="S1685">
        <v>24</v>
      </c>
      <c r="T1685">
        <v>0</v>
      </c>
      <c r="U1685" s="3">
        <f t="shared" si="147"/>
        <v>1</v>
      </c>
      <c r="V1685" s="3">
        <f t="shared" si="148"/>
        <v>1</v>
      </c>
    </row>
    <row r="1686" spans="1:22" x14ac:dyDescent="0.25">
      <c r="A1686" s="2">
        <v>2017</v>
      </c>
      <c r="B1686" t="s">
        <v>271</v>
      </c>
      <c r="C1686" t="s">
        <v>24</v>
      </c>
      <c r="D1686" s="2" t="s">
        <v>207</v>
      </c>
      <c r="E1686" s="2" t="s">
        <v>208</v>
      </c>
      <c r="F1686" t="s">
        <v>29</v>
      </c>
      <c r="G1686">
        <v>7</v>
      </c>
      <c r="H1686">
        <v>7</v>
      </c>
      <c r="I1686">
        <v>0</v>
      </c>
      <c r="J1686">
        <v>0</v>
      </c>
      <c r="K1686">
        <v>0</v>
      </c>
      <c r="L1686" s="6">
        <f t="shared" si="146"/>
        <v>1</v>
      </c>
      <c r="M1686">
        <v>187</v>
      </c>
      <c r="N1686">
        <v>21</v>
      </c>
      <c r="O1686" s="9">
        <v>0</v>
      </c>
      <c r="P1686">
        <v>0</v>
      </c>
      <c r="Q1686">
        <v>92</v>
      </c>
      <c r="R1686">
        <v>0</v>
      </c>
      <c r="S1686">
        <v>73</v>
      </c>
      <c r="T1686">
        <v>1</v>
      </c>
      <c r="U1686" s="3">
        <f t="shared" si="147"/>
        <v>1</v>
      </c>
      <c r="V1686" s="3">
        <f t="shared" si="148"/>
        <v>1</v>
      </c>
    </row>
    <row r="1687" spans="1:22" x14ac:dyDescent="0.25">
      <c r="A1687" s="2">
        <v>2017</v>
      </c>
      <c r="B1687" t="s">
        <v>271</v>
      </c>
      <c r="C1687" t="s">
        <v>24</v>
      </c>
      <c r="D1687" s="2" t="s">
        <v>211</v>
      </c>
      <c r="E1687" s="2" t="s">
        <v>212</v>
      </c>
      <c r="F1687" t="s">
        <v>406</v>
      </c>
      <c r="G1687">
        <v>11</v>
      </c>
      <c r="H1687">
        <v>11</v>
      </c>
      <c r="I1687">
        <v>0</v>
      </c>
      <c r="J1687">
        <v>0</v>
      </c>
      <c r="K1687">
        <v>0</v>
      </c>
      <c r="L1687" s="6">
        <f>IF(G1687=0,0,SUM(H1687:J1687)/G1687)</f>
        <v>1</v>
      </c>
      <c r="M1687">
        <v>195</v>
      </c>
      <c r="N1687">
        <v>19</v>
      </c>
      <c r="O1687" s="9">
        <v>0</v>
      </c>
      <c r="P1687">
        <v>0</v>
      </c>
      <c r="Q1687">
        <v>96</v>
      </c>
      <c r="R1687">
        <v>0</v>
      </c>
      <c r="S1687">
        <v>80</v>
      </c>
      <c r="T1687">
        <v>0</v>
      </c>
      <c r="U1687" s="3">
        <f t="shared" si="142"/>
        <v>1</v>
      </c>
      <c r="V1687" s="3">
        <f>IF(AND(G1687=0,M1687=0),0,(H1687+I1687+J1687+N1687+Q1687+S1687+T1687)/(G1687+M1687))</f>
        <v>1</v>
      </c>
    </row>
    <row r="1688" spans="1:22" x14ac:dyDescent="0.25">
      <c r="A1688" s="2">
        <v>2017</v>
      </c>
      <c r="B1688" t="s">
        <v>271</v>
      </c>
      <c r="C1688" t="s">
        <v>24</v>
      </c>
      <c r="D1688" s="2" t="s">
        <v>213</v>
      </c>
      <c r="E1688" s="2" t="s">
        <v>214</v>
      </c>
      <c r="F1688" t="s">
        <v>30</v>
      </c>
      <c r="G1688">
        <v>14</v>
      </c>
      <c r="H1688">
        <v>14</v>
      </c>
      <c r="I1688">
        <v>0</v>
      </c>
      <c r="J1688">
        <v>0</v>
      </c>
      <c r="K1688">
        <v>0</v>
      </c>
      <c r="L1688" s="6">
        <f>IF(G1688=0,0,SUM(H1688:J1688)/G1688)</f>
        <v>1</v>
      </c>
      <c r="M1688">
        <v>281</v>
      </c>
      <c r="N1688">
        <v>41</v>
      </c>
      <c r="O1688" s="9">
        <v>0</v>
      </c>
      <c r="P1688">
        <v>0</v>
      </c>
      <c r="Q1688">
        <v>137</v>
      </c>
      <c r="R1688">
        <v>0</v>
      </c>
      <c r="S1688">
        <v>103</v>
      </c>
      <c r="T1688">
        <v>0</v>
      </c>
      <c r="U1688" s="3">
        <f t="shared" si="142"/>
        <v>1</v>
      </c>
      <c r="V1688" s="3">
        <f>IF(AND(G1688=0,M1688=0),0,(H1688+I1688+J1688+N1688+Q1688+S1688+T1688)/(G1688+M1688))</f>
        <v>1</v>
      </c>
    </row>
    <row r="1689" spans="1:22" x14ac:dyDescent="0.25">
      <c r="A1689" s="2">
        <v>2017</v>
      </c>
      <c r="B1689" t="s">
        <v>271</v>
      </c>
      <c r="C1689" t="s">
        <v>24</v>
      </c>
      <c r="D1689" s="2" t="s">
        <v>217</v>
      </c>
      <c r="E1689" s="2" t="s">
        <v>218</v>
      </c>
      <c r="F1689" t="s">
        <v>407</v>
      </c>
      <c r="G1689">
        <v>12</v>
      </c>
      <c r="H1689">
        <v>12</v>
      </c>
      <c r="I1689">
        <v>0</v>
      </c>
      <c r="J1689">
        <v>0</v>
      </c>
      <c r="K1689">
        <v>0</v>
      </c>
      <c r="L1689" s="6">
        <f>IF(G1689=0,0,SUM(H1689:J1689)/G1689)</f>
        <v>1</v>
      </c>
      <c r="M1689">
        <v>168</v>
      </c>
      <c r="N1689">
        <v>27</v>
      </c>
      <c r="O1689" s="9">
        <v>0</v>
      </c>
      <c r="P1689">
        <v>0</v>
      </c>
      <c r="Q1689">
        <v>79</v>
      </c>
      <c r="R1689">
        <v>0</v>
      </c>
      <c r="S1689">
        <v>62</v>
      </c>
      <c r="T1689">
        <v>0</v>
      </c>
      <c r="U1689" s="3">
        <f t="shared" si="142"/>
        <v>1</v>
      </c>
      <c r="V1689" s="3">
        <f>IF(AND(G1689=0,M1689=0),0,(H1689+I1689+J1689+N1689+Q1689+S1689+T1689)/(G1689+M1689))</f>
        <v>1</v>
      </c>
    </row>
    <row r="1690" spans="1:22" x14ac:dyDescent="0.25">
      <c r="A1690" s="2">
        <v>2017</v>
      </c>
      <c r="B1690" t="s">
        <v>271</v>
      </c>
      <c r="C1690" t="s">
        <v>24</v>
      </c>
      <c r="D1690" s="2" t="s">
        <v>219</v>
      </c>
      <c r="E1690" s="2" t="s">
        <v>220</v>
      </c>
      <c r="F1690" t="s">
        <v>408</v>
      </c>
      <c r="G1690">
        <v>9</v>
      </c>
      <c r="H1690">
        <v>9</v>
      </c>
      <c r="I1690">
        <v>0</v>
      </c>
      <c r="J1690">
        <v>0</v>
      </c>
      <c r="K1690">
        <v>0</v>
      </c>
      <c r="L1690" s="6">
        <f>IF(G1690=0,0,SUM(H1690:J1690)/G1690)</f>
        <v>1</v>
      </c>
      <c r="M1690">
        <v>194</v>
      </c>
      <c r="N1690">
        <v>33</v>
      </c>
      <c r="O1690" s="9">
        <v>0</v>
      </c>
      <c r="P1690">
        <v>1</v>
      </c>
      <c r="Q1690">
        <v>97</v>
      </c>
      <c r="R1690">
        <v>0</v>
      </c>
      <c r="S1690">
        <v>63</v>
      </c>
      <c r="T1690">
        <v>0</v>
      </c>
      <c r="U1690" s="3">
        <f t="shared" si="142"/>
        <v>0.99484536082474229</v>
      </c>
      <c r="V1690" s="3">
        <f>IF(AND(G1690=0,M1690=0),0,(H1690+I1690+J1690+N1690+Q1690+S1690+T1690)/(G1690+M1690))</f>
        <v>0.99507389162561577</v>
      </c>
    </row>
    <row r="1691" spans="1:22" x14ac:dyDescent="0.25">
      <c r="A1691" s="8">
        <v>2017</v>
      </c>
      <c r="B1691" s="5" t="s">
        <v>271</v>
      </c>
      <c r="C1691" s="5" t="s">
        <v>20</v>
      </c>
      <c r="D1691" s="8" t="s">
        <v>574</v>
      </c>
      <c r="E1691" s="8" t="s">
        <v>221</v>
      </c>
      <c r="F1691" s="5" t="s">
        <v>42</v>
      </c>
      <c r="G1691">
        <v>0</v>
      </c>
      <c r="H1691">
        <v>0</v>
      </c>
      <c r="I1691">
        <v>0</v>
      </c>
      <c r="J1691">
        <v>0</v>
      </c>
      <c r="K1691">
        <v>0</v>
      </c>
      <c r="L1691" s="6">
        <f t="shared" ref="L1691:L1730" si="151">IF(G1691=0,0,SUM(H1691:J1691)/G1691)</f>
        <v>0</v>
      </c>
      <c r="M1691">
        <v>1</v>
      </c>
      <c r="N1691">
        <v>1</v>
      </c>
      <c r="O1691" s="9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 s="3">
        <f t="shared" ref="U1691:U1712" si="152">IF(M1691=0,0,((N1691+O1691+Q1691+S1691+T1691)/M1691))</f>
        <v>1</v>
      </c>
      <c r="V1691" s="3">
        <f t="shared" ref="V1691:V1712" si="153">IF(AND(G1691=0,M1691=0),0,(H1691+I1691+J1691+N1691+Q1691+S1691+T1691)/(G1691+M1691))</f>
        <v>1</v>
      </c>
    </row>
    <row r="1692" spans="1:22" x14ac:dyDescent="0.25">
      <c r="A1692" s="8">
        <v>2017</v>
      </c>
      <c r="B1692" s="5" t="s">
        <v>271</v>
      </c>
      <c r="C1692" s="5" t="s">
        <v>20</v>
      </c>
      <c r="D1692" s="8" t="s">
        <v>222</v>
      </c>
      <c r="E1692" s="8" t="s">
        <v>223</v>
      </c>
      <c r="F1692" s="5" t="s">
        <v>43</v>
      </c>
      <c r="G1692">
        <v>4</v>
      </c>
      <c r="H1692">
        <v>4</v>
      </c>
      <c r="I1692">
        <v>0</v>
      </c>
      <c r="J1692">
        <v>0</v>
      </c>
      <c r="K1692">
        <v>0</v>
      </c>
      <c r="L1692" s="6">
        <f t="shared" si="151"/>
        <v>1</v>
      </c>
      <c r="M1692">
        <v>47</v>
      </c>
      <c r="N1692">
        <v>5</v>
      </c>
      <c r="O1692" s="9">
        <v>0</v>
      </c>
      <c r="P1692">
        <v>0</v>
      </c>
      <c r="Q1692">
        <v>20</v>
      </c>
      <c r="R1692">
        <v>0</v>
      </c>
      <c r="S1692">
        <v>22</v>
      </c>
      <c r="T1692">
        <v>0</v>
      </c>
      <c r="U1692" s="3">
        <f t="shared" si="152"/>
        <v>1</v>
      </c>
      <c r="V1692" s="3">
        <f t="shared" si="153"/>
        <v>1</v>
      </c>
    </row>
    <row r="1693" spans="1:22" x14ac:dyDescent="0.25">
      <c r="A1693" s="8">
        <v>2017</v>
      </c>
      <c r="B1693" s="5" t="s">
        <v>271</v>
      </c>
      <c r="C1693" s="5" t="s">
        <v>20</v>
      </c>
      <c r="D1693" s="8" t="s">
        <v>226</v>
      </c>
      <c r="E1693" s="8" t="s">
        <v>227</v>
      </c>
      <c r="F1693" s="5" t="s">
        <v>334</v>
      </c>
      <c r="G1693">
        <v>4</v>
      </c>
      <c r="H1693">
        <v>4</v>
      </c>
      <c r="I1693">
        <v>0</v>
      </c>
      <c r="J1693">
        <v>0</v>
      </c>
      <c r="K1693">
        <v>0</v>
      </c>
      <c r="L1693" s="6">
        <f t="shared" si="151"/>
        <v>1</v>
      </c>
      <c r="M1693">
        <v>102</v>
      </c>
      <c r="N1693">
        <v>18</v>
      </c>
      <c r="O1693" s="9">
        <v>0</v>
      </c>
      <c r="P1693">
        <v>0</v>
      </c>
      <c r="Q1693">
        <v>41</v>
      </c>
      <c r="R1693">
        <v>0</v>
      </c>
      <c r="S1693">
        <v>43</v>
      </c>
      <c r="T1693">
        <v>0</v>
      </c>
      <c r="U1693" s="3">
        <f t="shared" si="152"/>
        <v>1</v>
      </c>
      <c r="V1693" s="3">
        <f t="shared" si="153"/>
        <v>1</v>
      </c>
    </row>
    <row r="1694" spans="1:22" x14ac:dyDescent="0.25">
      <c r="A1694" s="8">
        <v>2017</v>
      </c>
      <c r="B1694" s="5" t="s">
        <v>271</v>
      </c>
      <c r="C1694" s="5" t="s">
        <v>20</v>
      </c>
      <c r="D1694" s="8" t="s">
        <v>228</v>
      </c>
      <c r="E1694" s="8" t="s">
        <v>229</v>
      </c>
      <c r="F1694" s="5" t="s">
        <v>335</v>
      </c>
      <c r="G1694">
        <v>11</v>
      </c>
      <c r="H1694">
        <v>11</v>
      </c>
      <c r="I1694">
        <v>0</v>
      </c>
      <c r="J1694">
        <v>0</v>
      </c>
      <c r="K1694">
        <v>0</v>
      </c>
      <c r="L1694" s="6">
        <f t="shared" si="151"/>
        <v>1</v>
      </c>
      <c r="M1694">
        <v>98</v>
      </c>
      <c r="N1694">
        <v>11</v>
      </c>
      <c r="O1694" s="9">
        <v>0</v>
      </c>
      <c r="P1694">
        <v>0</v>
      </c>
      <c r="Q1694">
        <v>45</v>
      </c>
      <c r="R1694">
        <v>1</v>
      </c>
      <c r="S1694">
        <v>41</v>
      </c>
      <c r="T1694">
        <v>0</v>
      </c>
      <c r="U1694" s="3">
        <f t="shared" si="152"/>
        <v>0.98979591836734693</v>
      </c>
      <c r="V1694" s="3">
        <f t="shared" si="153"/>
        <v>0.99082568807339455</v>
      </c>
    </row>
    <row r="1695" spans="1:22" x14ac:dyDescent="0.25">
      <c r="A1695" s="8">
        <v>2017</v>
      </c>
      <c r="B1695" s="5" t="s">
        <v>271</v>
      </c>
      <c r="C1695" s="5" t="s">
        <v>20</v>
      </c>
      <c r="D1695" s="8" t="s">
        <v>230</v>
      </c>
      <c r="E1695" s="8" t="s">
        <v>81</v>
      </c>
      <c r="F1695" s="5" t="s">
        <v>452</v>
      </c>
      <c r="G1695">
        <v>0</v>
      </c>
      <c r="H1695">
        <v>0</v>
      </c>
      <c r="I1695">
        <v>0</v>
      </c>
      <c r="J1695">
        <v>0</v>
      </c>
      <c r="K1695">
        <v>0</v>
      </c>
      <c r="L1695" s="6">
        <f t="shared" si="151"/>
        <v>0</v>
      </c>
      <c r="M1695">
        <v>1</v>
      </c>
      <c r="N1695">
        <v>0</v>
      </c>
      <c r="O1695" s="9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 s="3">
        <f t="shared" si="152"/>
        <v>1</v>
      </c>
      <c r="V1695" s="3">
        <f t="shared" si="153"/>
        <v>1</v>
      </c>
    </row>
    <row r="1696" spans="1:22" x14ac:dyDescent="0.25">
      <c r="A1696" s="8">
        <v>2017</v>
      </c>
      <c r="B1696" s="5" t="s">
        <v>271</v>
      </c>
      <c r="C1696" s="5" t="s">
        <v>20</v>
      </c>
      <c r="D1696" s="8" t="s">
        <v>231</v>
      </c>
      <c r="E1696" s="8" t="s">
        <v>232</v>
      </c>
      <c r="F1696" s="5" t="s">
        <v>337</v>
      </c>
      <c r="G1696">
        <v>29</v>
      </c>
      <c r="H1696">
        <v>29</v>
      </c>
      <c r="I1696">
        <v>0</v>
      </c>
      <c r="J1696">
        <v>0</v>
      </c>
      <c r="K1696">
        <v>0</v>
      </c>
      <c r="L1696" s="6">
        <f t="shared" si="151"/>
        <v>1</v>
      </c>
      <c r="M1696">
        <v>467</v>
      </c>
      <c r="N1696">
        <v>54</v>
      </c>
      <c r="O1696" s="9">
        <v>0</v>
      </c>
      <c r="P1696">
        <v>0</v>
      </c>
      <c r="Q1696">
        <v>235</v>
      </c>
      <c r="R1696">
        <v>0</v>
      </c>
      <c r="S1696">
        <v>176</v>
      </c>
      <c r="T1696">
        <v>2</v>
      </c>
      <c r="U1696" s="3">
        <f t="shared" si="152"/>
        <v>1</v>
      </c>
      <c r="V1696" s="3">
        <f t="shared" si="153"/>
        <v>1</v>
      </c>
    </row>
    <row r="1697" spans="1:22" x14ac:dyDescent="0.25">
      <c r="A1697" s="8">
        <v>2017</v>
      </c>
      <c r="B1697" s="5" t="s">
        <v>271</v>
      </c>
      <c r="C1697" s="5" t="s">
        <v>20</v>
      </c>
      <c r="D1697" s="8" t="s">
        <v>233</v>
      </c>
      <c r="E1697" s="8" t="s">
        <v>135</v>
      </c>
      <c r="F1697" s="5" t="s">
        <v>33</v>
      </c>
      <c r="G1697">
        <v>10</v>
      </c>
      <c r="H1697">
        <v>10</v>
      </c>
      <c r="I1697">
        <v>0</v>
      </c>
      <c r="J1697">
        <v>0</v>
      </c>
      <c r="K1697">
        <v>0</v>
      </c>
      <c r="L1697" s="6">
        <f t="shared" si="151"/>
        <v>1</v>
      </c>
      <c r="M1697">
        <v>49</v>
      </c>
      <c r="N1697">
        <v>6</v>
      </c>
      <c r="O1697" s="9">
        <v>0</v>
      </c>
      <c r="P1697">
        <v>0</v>
      </c>
      <c r="Q1697">
        <v>15</v>
      </c>
      <c r="R1697">
        <v>0</v>
      </c>
      <c r="S1697">
        <v>28</v>
      </c>
      <c r="T1697">
        <v>0</v>
      </c>
      <c r="U1697" s="3">
        <f t="shared" si="152"/>
        <v>1</v>
      </c>
      <c r="V1697" s="3">
        <f t="shared" si="153"/>
        <v>1</v>
      </c>
    </row>
    <row r="1698" spans="1:22" x14ac:dyDescent="0.25">
      <c r="A1698" s="8">
        <v>2017</v>
      </c>
      <c r="B1698" s="5" t="s">
        <v>271</v>
      </c>
      <c r="C1698" s="5" t="s">
        <v>20</v>
      </c>
      <c r="D1698" s="8" t="s">
        <v>234</v>
      </c>
      <c r="E1698" s="8" t="s">
        <v>137</v>
      </c>
      <c r="F1698" s="5" t="s">
        <v>34</v>
      </c>
      <c r="G1698">
        <v>3</v>
      </c>
      <c r="H1698">
        <v>3</v>
      </c>
      <c r="I1698">
        <v>0</v>
      </c>
      <c r="J1698">
        <v>0</v>
      </c>
      <c r="K1698">
        <v>0</v>
      </c>
      <c r="L1698" s="6">
        <f t="shared" si="151"/>
        <v>1</v>
      </c>
      <c r="M1698">
        <v>43</v>
      </c>
      <c r="N1698">
        <v>8</v>
      </c>
      <c r="O1698" s="9">
        <v>0</v>
      </c>
      <c r="P1698">
        <v>0</v>
      </c>
      <c r="Q1698">
        <v>18</v>
      </c>
      <c r="R1698">
        <v>0</v>
      </c>
      <c r="S1698">
        <v>17</v>
      </c>
      <c r="T1698">
        <v>0</v>
      </c>
      <c r="U1698" s="3">
        <f t="shared" si="152"/>
        <v>1</v>
      </c>
      <c r="V1698" s="3">
        <f t="shared" si="153"/>
        <v>1</v>
      </c>
    </row>
    <row r="1699" spans="1:22" x14ac:dyDescent="0.25">
      <c r="A1699" s="8">
        <v>2017</v>
      </c>
      <c r="B1699" s="5" t="s">
        <v>271</v>
      </c>
      <c r="C1699" s="5" t="s">
        <v>20</v>
      </c>
      <c r="D1699" s="8" t="s">
        <v>165</v>
      </c>
      <c r="E1699" s="8" t="s">
        <v>166</v>
      </c>
      <c r="F1699" s="5" t="s">
        <v>368</v>
      </c>
      <c r="G1699">
        <v>6</v>
      </c>
      <c r="H1699">
        <v>6</v>
      </c>
      <c r="I1699">
        <v>0</v>
      </c>
      <c r="J1699">
        <v>0</v>
      </c>
      <c r="K1699">
        <v>0</v>
      </c>
      <c r="L1699" s="6">
        <f t="shared" si="151"/>
        <v>1</v>
      </c>
      <c r="M1699">
        <v>226</v>
      </c>
      <c r="N1699">
        <v>15</v>
      </c>
      <c r="O1699" s="9">
        <v>0</v>
      </c>
      <c r="P1699">
        <v>0</v>
      </c>
      <c r="Q1699">
        <v>118</v>
      </c>
      <c r="R1699">
        <v>0</v>
      </c>
      <c r="S1699">
        <v>90</v>
      </c>
      <c r="T1699">
        <v>3</v>
      </c>
      <c r="U1699" s="3">
        <f t="shared" ref="U1699:U1703" si="154">IF(M1699=0,0,((N1699+O1699+Q1699+S1699+T1699)/M1699))</f>
        <v>1</v>
      </c>
      <c r="V1699" s="3">
        <f t="shared" ref="V1699:V1703" si="155">IF(AND(G1699=0,M1699=0),0,(H1699+I1699+J1699+N1699+Q1699+S1699+T1699)/(G1699+M1699))</f>
        <v>1</v>
      </c>
    </row>
    <row r="1700" spans="1:22" x14ac:dyDescent="0.25">
      <c r="A1700" s="8">
        <v>2017</v>
      </c>
      <c r="B1700" s="5" t="s">
        <v>271</v>
      </c>
      <c r="C1700" s="5" t="s">
        <v>20</v>
      </c>
      <c r="D1700" s="8" t="s">
        <v>235</v>
      </c>
      <c r="E1700" s="8" t="s">
        <v>236</v>
      </c>
      <c r="F1700" s="5" t="s">
        <v>36</v>
      </c>
      <c r="G1700">
        <v>7</v>
      </c>
      <c r="H1700">
        <v>7</v>
      </c>
      <c r="I1700">
        <v>0</v>
      </c>
      <c r="J1700">
        <v>0</v>
      </c>
      <c r="K1700">
        <v>0</v>
      </c>
      <c r="L1700" s="6">
        <f t="shared" si="151"/>
        <v>1</v>
      </c>
      <c r="M1700">
        <v>57</v>
      </c>
      <c r="N1700">
        <v>3</v>
      </c>
      <c r="O1700" s="9">
        <v>0</v>
      </c>
      <c r="P1700">
        <v>0</v>
      </c>
      <c r="Q1700">
        <v>26</v>
      </c>
      <c r="R1700">
        <v>0</v>
      </c>
      <c r="S1700">
        <v>28</v>
      </c>
      <c r="T1700">
        <v>0</v>
      </c>
      <c r="U1700" s="3">
        <f t="shared" si="154"/>
        <v>1</v>
      </c>
      <c r="V1700" s="3">
        <f t="shared" si="155"/>
        <v>1</v>
      </c>
    </row>
    <row r="1701" spans="1:22" x14ac:dyDescent="0.25">
      <c r="A1701" s="8">
        <v>2017</v>
      </c>
      <c r="B1701" s="5" t="s">
        <v>271</v>
      </c>
      <c r="C1701" s="5" t="s">
        <v>20</v>
      </c>
      <c r="D1701" s="8" t="s">
        <v>239</v>
      </c>
      <c r="E1701" s="8" t="s">
        <v>240</v>
      </c>
      <c r="F1701" s="5" t="s">
        <v>37</v>
      </c>
      <c r="G1701">
        <v>4</v>
      </c>
      <c r="H1701">
        <v>4</v>
      </c>
      <c r="I1701">
        <v>0</v>
      </c>
      <c r="J1701">
        <v>0</v>
      </c>
      <c r="K1701">
        <v>0</v>
      </c>
      <c r="L1701" s="6">
        <f t="shared" si="151"/>
        <v>1</v>
      </c>
      <c r="M1701">
        <v>42</v>
      </c>
      <c r="N1701">
        <v>4</v>
      </c>
      <c r="O1701" s="9">
        <v>0</v>
      </c>
      <c r="P1701">
        <v>0</v>
      </c>
      <c r="Q1701">
        <v>17</v>
      </c>
      <c r="R1701">
        <v>0</v>
      </c>
      <c r="S1701">
        <v>20</v>
      </c>
      <c r="T1701">
        <v>1</v>
      </c>
      <c r="U1701" s="3">
        <f t="shared" si="154"/>
        <v>1</v>
      </c>
      <c r="V1701" s="3">
        <f t="shared" si="155"/>
        <v>1</v>
      </c>
    </row>
    <row r="1702" spans="1:22" x14ac:dyDescent="0.25">
      <c r="A1702" s="8">
        <v>2017</v>
      </c>
      <c r="B1702" s="5" t="s">
        <v>271</v>
      </c>
      <c r="C1702" s="5" t="s">
        <v>20</v>
      </c>
      <c r="D1702" s="8" t="s">
        <v>265</v>
      </c>
      <c r="E1702" s="8" t="s">
        <v>266</v>
      </c>
      <c r="F1702" s="5" t="s">
        <v>349</v>
      </c>
      <c r="G1702">
        <v>0</v>
      </c>
      <c r="H1702">
        <v>0</v>
      </c>
      <c r="I1702">
        <v>0</v>
      </c>
      <c r="J1702">
        <v>0</v>
      </c>
      <c r="K1702">
        <v>0</v>
      </c>
      <c r="L1702" s="6">
        <f t="shared" si="151"/>
        <v>0</v>
      </c>
      <c r="M1702">
        <v>11</v>
      </c>
      <c r="N1702">
        <v>0</v>
      </c>
      <c r="O1702" s="9">
        <v>0</v>
      </c>
      <c r="P1702">
        <v>0</v>
      </c>
      <c r="Q1702">
        <v>8</v>
      </c>
      <c r="R1702">
        <v>0</v>
      </c>
      <c r="S1702">
        <v>3</v>
      </c>
      <c r="T1702">
        <v>0</v>
      </c>
      <c r="U1702" s="3">
        <f t="shared" si="154"/>
        <v>1</v>
      </c>
      <c r="V1702" s="3">
        <f t="shared" si="155"/>
        <v>1</v>
      </c>
    </row>
    <row r="1703" spans="1:22" x14ac:dyDescent="0.25">
      <c r="A1703" s="8">
        <v>2017</v>
      </c>
      <c r="B1703" s="5" t="s">
        <v>271</v>
      </c>
      <c r="C1703" s="5" t="s">
        <v>20</v>
      </c>
      <c r="D1703" s="8" t="s">
        <v>267</v>
      </c>
      <c r="E1703" s="8" t="s">
        <v>268</v>
      </c>
      <c r="F1703" s="5" t="s">
        <v>350</v>
      </c>
      <c r="G1703">
        <v>1</v>
      </c>
      <c r="H1703">
        <v>1</v>
      </c>
      <c r="I1703">
        <v>0</v>
      </c>
      <c r="J1703">
        <v>0</v>
      </c>
      <c r="K1703">
        <v>0</v>
      </c>
      <c r="L1703" s="6">
        <f t="shared" si="151"/>
        <v>1</v>
      </c>
      <c r="M1703">
        <v>8</v>
      </c>
      <c r="N1703">
        <v>0</v>
      </c>
      <c r="O1703" s="9">
        <v>0</v>
      </c>
      <c r="P1703">
        <v>0</v>
      </c>
      <c r="Q1703">
        <v>4</v>
      </c>
      <c r="R1703">
        <v>0</v>
      </c>
      <c r="S1703">
        <v>4</v>
      </c>
      <c r="T1703">
        <v>0</v>
      </c>
      <c r="U1703" s="3">
        <f t="shared" si="154"/>
        <v>1</v>
      </c>
      <c r="V1703" s="3">
        <f t="shared" si="155"/>
        <v>1</v>
      </c>
    </row>
    <row r="1704" spans="1:22" x14ac:dyDescent="0.25">
      <c r="A1704" s="8">
        <v>2017</v>
      </c>
      <c r="B1704" s="5" t="s">
        <v>271</v>
      </c>
      <c r="C1704" s="5" t="s">
        <v>20</v>
      </c>
      <c r="D1704" s="8" t="s">
        <v>241</v>
      </c>
      <c r="E1704" s="8" t="s">
        <v>242</v>
      </c>
      <c r="F1704" s="5" t="s">
        <v>341</v>
      </c>
      <c r="G1704">
        <v>2</v>
      </c>
      <c r="H1704">
        <v>2</v>
      </c>
      <c r="I1704">
        <v>0</v>
      </c>
      <c r="J1704">
        <v>0</v>
      </c>
      <c r="K1704">
        <v>0</v>
      </c>
      <c r="L1704" s="6">
        <f t="shared" si="151"/>
        <v>1</v>
      </c>
      <c r="M1704">
        <v>23</v>
      </c>
      <c r="N1704">
        <v>1</v>
      </c>
      <c r="O1704" s="9">
        <v>0</v>
      </c>
      <c r="P1704">
        <v>0</v>
      </c>
      <c r="Q1704">
        <v>8</v>
      </c>
      <c r="R1704">
        <v>0</v>
      </c>
      <c r="S1704">
        <v>14</v>
      </c>
      <c r="T1704">
        <v>0</v>
      </c>
      <c r="U1704" s="3">
        <f t="shared" si="152"/>
        <v>1</v>
      </c>
      <c r="V1704" s="3">
        <f t="shared" si="153"/>
        <v>1</v>
      </c>
    </row>
    <row r="1705" spans="1:22" x14ac:dyDescent="0.25">
      <c r="A1705" s="8">
        <v>2017</v>
      </c>
      <c r="B1705" s="5" t="s">
        <v>271</v>
      </c>
      <c r="C1705" s="5" t="s">
        <v>20</v>
      </c>
      <c r="D1705" s="8" t="s">
        <v>243</v>
      </c>
      <c r="E1705" s="8" t="s">
        <v>244</v>
      </c>
      <c r="F1705" s="5" t="s">
        <v>432</v>
      </c>
      <c r="G1705">
        <v>6</v>
      </c>
      <c r="H1705">
        <v>6</v>
      </c>
      <c r="I1705">
        <v>0</v>
      </c>
      <c r="J1705">
        <v>0</v>
      </c>
      <c r="K1705">
        <v>0</v>
      </c>
      <c r="L1705" s="6">
        <f t="shared" si="151"/>
        <v>1</v>
      </c>
      <c r="M1705">
        <v>93</v>
      </c>
      <c r="N1705">
        <v>9</v>
      </c>
      <c r="O1705" s="9">
        <v>0</v>
      </c>
      <c r="P1705">
        <v>0</v>
      </c>
      <c r="Q1705">
        <v>51</v>
      </c>
      <c r="R1705">
        <v>0</v>
      </c>
      <c r="S1705">
        <v>33</v>
      </c>
      <c r="T1705">
        <v>0</v>
      </c>
      <c r="U1705" s="3">
        <f t="shared" si="152"/>
        <v>1</v>
      </c>
      <c r="V1705" s="3">
        <f t="shared" si="153"/>
        <v>1</v>
      </c>
    </row>
    <row r="1706" spans="1:22" x14ac:dyDescent="0.25">
      <c r="A1706" s="8">
        <v>2017</v>
      </c>
      <c r="B1706" s="5" t="s">
        <v>271</v>
      </c>
      <c r="C1706" s="5" t="s">
        <v>20</v>
      </c>
      <c r="D1706" s="8" t="s">
        <v>245</v>
      </c>
      <c r="E1706" s="8" t="s">
        <v>86</v>
      </c>
      <c r="F1706" s="5" t="s">
        <v>342</v>
      </c>
      <c r="G1706">
        <v>5</v>
      </c>
      <c r="H1706">
        <v>5</v>
      </c>
      <c r="I1706">
        <v>0</v>
      </c>
      <c r="J1706">
        <v>0</v>
      </c>
      <c r="K1706">
        <v>0</v>
      </c>
      <c r="L1706" s="6">
        <f t="shared" si="151"/>
        <v>1</v>
      </c>
      <c r="M1706">
        <v>119</v>
      </c>
      <c r="N1706">
        <v>11</v>
      </c>
      <c r="O1706" s="9">
        <v>0</v>
      </c>
      <c r="P1706">
        <v>2</v>
      </c>
      <c r="Q1706">
        <v>68</v>
      </c>
      <c r="R1706">
        <v>0</v>
      </c>
      <c r="S1706">
        <v>37</v>
      </c>
      <c r="T1706">
        <v>1</v>
      </c>
      <c r="U1706" s="3">
        <f t="shared" si="152"/>
        <v>0.98319327731092432</v>
      </c>
      <c r="V1706" s="3">
        <f t="shared" si="153"/>
        <v>0.9838709677419355</v>
      </c>
    </row>
    <row r="1707" spans="1:22" x14ac:dyDescent="0.25">
      <c r="A1707" s="8">
        <v>2017</v>
      </c>
      <c r="B1707" s="5" t="s">
        <v>271</v>
      </c>
      <c r="C1707" s="5" t="s">
        <v>20</v>
      </c>
      <c r="D1707" s="8" t="s">
        <v>246</v>
      </c>
      <c r="E1707" s="8" t="s">
        <v>247</v>
      </c>
      <c r="F1707" s="5" t="s">
        <v>343</v>
      </c>
      <c r="G1707">
        <v>23</v>
      </c>
      <c r="H1707">
        <v>23</v>
      </c>
      <c r="I1707">
        <v>0</v>
      </c>
      <c r="J1707">
        <v>0</v>
      </c>
      <c r="K1707">
        <v>0</v>
      </c>
      <c r="L1707" s="6">
        <f t="shared" si="151"/>
        <v>1</v>
      </c>
      <c r="M1707">
        <v>271</v>
      </c>
      <c r="N1707">
        <v>24</v>
      </c>
      <c r="O1707" s="9">
        <v>0</v>
      </c>
      <c r="P1707">
        <v>2</v>
      </c>
      <c r="Q1707">
        <v>135</v>
      </c>
      <c r="R1707">
        <v>2</v>
      </c>
      <c r="S1707">
        <v>107</v>
      </c>
      <c r="T1707">
        <v>1</v>
      </c>
      <c r="U1707" s="3">
        <f t="shared" si="152"/>
        <v>0.98523985239852396</v>
      </c>
      <c r="V1707" s="3">
        <f t="shared" si="153"/>
        <v>0.98639455782312924</v>
      </c>
    </row>
    <row r="1708" spans="1:22" x14ac:dyDescent="0.25">
      <c r="A1708" s="8">
        <v>2017</v>
      </c>
      <c r="B1708" s="5" t="s">
        <v>271</v>
      </c>
      <c r="C1708" s="5" t="s">
        <v>20</v>
      </c>
      <c r="D1708" s="8" t="s">
        <v>248</v>
      </c>
      <c r="E1708" s="8" t="s">
        <v>249</v>
      </c>
      <c r="F1708" s="5" t="s">
        <v>352</v>
      </c>
      <c r="G1708">
        <v>1</v>
      </c>
      <c r="H1708">
        <v>1</v>
      </c>
      <c r="I1708">
        <v>0</v>
      </c>
      <c r="J1708">
        <v>0</v>
      </c>
      <c r="K1708">
        <v>0</v>
      </c>
      <c r="L1708" s="6">
        <f t="shared" si="151"/>
        <v>1</v>
      </c>
      <c r="M1708">
        <v>51</v>
      </c>
      <c r="N1708">
        <v>10</v>
      </c>
      <c r="O1708" s="9">
        <v>0</v>
      </c>
      <c r="P1708">
        <v>0</v>
      </c>
      <c r="Q1708">
        <v>31</v>
      </c>
      <c r="R1708">
        <v>0</v>
      </c>
      <c r="S1708">
        <v>10</v>
      </c>
      <c r="T1708">
        <v>0</v>
      </c>
      <c r="U1708" s="3">
        <f t="shared" si="152"/>
        <v>1</v>
      </c>
      <c r="V1708" s="3">
        <f t="shared" si="153"/>
        <v>1</v>
      </c>
    </row>
    <row r="1709" spans="1:22" x14ac:dyDescent="0.25">
      <c r="A1709" s="8">
        <v>2017</v>
      </c>
      <c r="B1709" s="5" t="s">
        <v>271</v>
      </c>
      <c r="C1709" s="5" t="s">
        <v>20</v>
      </c>
      <c r="D1709" s="8" t="s">
        <v>250</v>
      </c>
      <c r="E1709" s="8" t="s">
        <v>251</v>
      </c>
      <c r="F1709" s="5" t="s">
        <v>344</v>
      </c>
      <c r="G1709">
        <v>10</v>
      </c>
      <c r="H1709">
        <v>10</v>
      </c>
      <c r="I1709">
        <v>0</v>
      </c>
      <c r="J1709">
        <v>0</v>
      </c>
      <c r="K1709">
        <v>0</v>
      </c>
      <c r="L1709" s="6">
        <f t="shared" si="151"/>
        <v>1</v>
      </c>
      <c r="M1709">
        <v>129</v>
      </c>
      <c r="N1709">
        <v>12</v>
      </c>
      <c r="O1709" s="9">
        <v>0</v>
      </c>
      <c r="P1709">
        <v>1</v>
      </c>
      <c r="Q1709">
        <v>68</v>
      </c>
      <c r="R1709">
        <v>1</v>
      </c>
      <c r="S1709">
        <v>45</v>
      </c>
      <c r="T1709">
        <v>2</v>
      </c>
      <c r="U1709" s="3">
        <f t="shared" si="152"/>
        <v>0.98449612403100772</v>
      </c>
      <c r="V1709" s="3">
        <f t="shared" si="153"/>
        <v>0.98561151079136688</v>
      </c>
    </row>
    <row r="1710" spans="1:22" x14ac:dyDescent="0.25">
      <c r="A1710" s="8">
        <v>2017</v>
      </c>
      <c r="B1710" s="5" t="s">
        <v>271</v>
      </c>
      <c r="C1710" s="5" t="s">
        <v>20</v>
      </c>
      <c r="D1710" s="8" t="s">
        <v>252</v>
      </c>
      <c r="E1710" s="8" t="s">
        <v>253</v>
      </c>
      <c r="F1710" s="5" t="s">
        <v>345</v>
      </c>
      <c r="G1710">
        <v>0</v>
      </c>
      <c r="H1710">
        <v>0</v>
      </c>
      <c r="I1710">
        <v>0</v>
      </c>
      <c r="J1710">
        <v>0</v>
      </c>
      <c r="K1710">
        <v>0</v>
      </c>
      <c r="L1710" s="6">
        <f t="shared" si="151"/>
        <v>0</v>
      </c>
      <c r="M1710">
        <v>1</v>
      </c>
      <c r="N1710">
        <v>0</v>
      </c>
      <c r="O1710" s="9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 s="3">
        <f t="shared" si="152"/>
        <v>1</v>
      </c>
      <c r="V1710" s="3">
        <f t="shared" si="153"/>
        <v>1</v>
      </c>
    </row>
    <row r="1711" spans="1:22" x14ac:dyDescent="0.25">
      <c r="A1711" s="8">
        <v>2017</v>
      </c>
      <c r="B1711" s="5" t="s">
        <v>271</v>
      </c>
      <c r="C1711" s="5" t="s">
        <v>20</v>
      </c>
      <c r="D1711" s="8" t="s">
        <v>176</v>
      </c>
      <c r="E1711" s="8" t="s">
        <v>177</v>
      </c>
      <c r="F1711" s="5" t="s">
        <v>346</v>
      </c>
      <c r="G1711">
        <v>9</v>
      </c>
      <c r="H1711">
        <v>9</v>
      </c>
      <c r="I1711">
        <v>0</v>
      </c>
      <c r="J1711">
        <v>0</v>
      </c>
      <c r="K1711">
        <v>0</v>
      </c>
      <c r="L1711" s="6">
        <f t="shared" si="151"/>
        <v>1</v>
      </c>
      <c r="M1711">
        <v>300</v>
      </c>
      <c r="N1711">
        <v>32</v>
      </c>
      <c r="O1711" s="9">
        <v>0</v>
      </c>
      <c r="P1711">
        <v>2</v>
      </c>
      <c r="Q1711">
        <v>171</v>
      </c>
      <c r="R1711">
        <v>4</v>
      </c>
      <c r="S1711">
        <v>89</v>
      </c>
      <c r="T1711">
        <v>2</v>
      </c>
      <c r="U1711" s="3">
        <f t="shared" si="152"/>
        <v>0.98</v>
      </c>
      <c r="V1711" s="3">
        <f t="shared" si="153"/>
        <v>0.98058252427184467</v>
      </c>
    </row>
    <row r="1712" spans="1:22" x14ac:dyDescent="0.25">
      <c r="A1712" s="8">
        <v>2017</v>
      </c>
      <c r="B1712" s="5" t="s">
        <v>271</v>
      </c>
      <c r="C1712" s="5" t="s">
        <v>20</v>
      </c>
      <c r="D1712" s="8" t="s">
        <v>254</v>
      </c>
      <c r="E1712" s="8" t="s">
        <v>255</v>
      </c>
      <c r="F1712" s="5" t="s">
        <v>347</v>
      </c>
      <c r="G1712">
        <v>8</v>
      </c>
      <c r="H1712">
        <v>8</v>
      </c>
      <c r="I1712">
        <v>0</v>
      </c>
      <c r="J1712">
        <v>0</v>
      </c>
      <c r="K1712">
        <v>0</v>
      </c>
      <c r="L1712" s="6">
        <f t="shared" si="151"/>
        <v>1</v>
      </c>
      <c r="M1712">
        <v>95</v>
      </c>
      <c r="N1712">
        <v>9</v>
      </c>
      <c r="O1712" s="9">
        <v>0</v>
      </c>
      <c r="P1712">
        <v>1</v>
      </c>
      <c r="Q1712">
        <v>40</v>
      </c>
      <c r="R1712">
        <v>3</v>
      </c>
      <c r="S1712">
        <v>42</v>
      </c>
      <c r="T1712">
        <v>0</v>
      </c>
      <c r="U1712" s="3">
        <f t="shared" si="152"/>
        <v>0.95789473684210524</v>
      </c>
      <c r="V1712" s="3">
        <f t="shared" si="153"/>
        <v>0.96116504854368934</v>
      </c>
    </row>
    <row r="1713" spans="1:22" x14ac:dyDescent="0.25">
      <c r="A1713" s="2">
        <v>2017</v>
      </c>
      <c r="B1713" t="s">
        <v>271</v>
      </c>
      <c r="C1713" t="s">
        <v>21</v>
      </c>
      <c r="D1713" s="2" t="s">
        <v>574</v>
      </c>
      <c r="E1713" s="2" t="s">
        <v>221</v>
      </c>
      <c r="F1713" t="s">
        <v>42</v>
      </c>
      <c r="G1713">
        <v>0</v>
      </c>
      <c r="H1713">
        <v>0</v>
      </c>
      <c r="I1713">
        <v>0</v>
      </c>
      <c r="J1713">
        <v>0</v>
      </c>
      <c r="K1713">
        <v>0</v>
      </c>
      <c r="L1713" s="6">
        <f t="shared" si="151"/>
        <v>0</v>
      </c>
      <c r="M1713">
        <v>74</v>
      </c>
      <c r="N1713">
        <v>9</v>
      </c>
      <c r="O1713" s="9">
        <v>0</v>
      </c>
      <c r="P1713">
        <v>0</v>
      </c>
      <c r="Q1713">
        <v>43</v>
      </c>
      <c r="R1713">
        <v>0</v>
      </c>
      <c r="S1713">
        <v>22</v>
      </c>
      <c r="T1713">
        <v>0</v>
      </c>
      <c r="U1713" s="3">
        <f t="shared" ref="U1713:U1730" si="156">IF(M1713=0,0,((N1713+O1713+Q1713+S1713+T1713)/M1713))</f>
        <v>1</v>
      </c>
      <c r="V1713" s="3">
        <f t="shared" ref="V1713:V1730" si="157">IF(AND(G1713=0,M1713=0),0,(H1713+I1713+J1713+N1713+Q1713+S1713+T1713)/(G1713+M1713))</f>
        <v>1</v>
      </c>
    </row>
    <row r="1714" spans="1:22" x14ac:dyDescent="0.25">
      <c r="A1714" s="2">
        <v>2017</v>
      </c>
      <c r="B1714" t="s">
        <v>271</v>
      </c>
      <c r="C1714" t="s">
        <v>21</v>
      </c>
      <c r="D1714" s="2" t="s">
        <v>222</v>
      </c>
      <c r="E1714" s="2" t="s">
        <v>223</v>
      </c>
      <c r="F1714" t="s">
        <v>43</v>
      </c>
      <c r="G1714">
        <v>3</v>
      </c>
      <c r="H1714">
        <v>3</v>
      </c>
      <c r="I1714">
        <v>0</v>
      </c>
      <c r="J1714">
        <v>0</v>
      </c>
      <c r="K1714">
        <v>0</v>
      </c>
      <c r="L1714" s="6">
        <f t="shared" si="151"/>
        <v>1</v>
      </c>
      <c r="M1714">
        <v>43</v>
      </c>
      <c r="N1714">
        <v>2</v>
      </c>
      <c r="O1714" s="9">
        <v>0</v>
      </c>
      <c r="P1714">
        <v>0</v>
      </c>
      <c r="Q1714">
        <v>20</v>
      </c>
      <c r="R1714">
        <v>0</v>
      </c>
      <c r="S1714">
        <v>21</v>
      </c>
      <c r="T1714">
        <v>0</v>
      </c>
      <c r="U1714" s="3">
        <f t="shared" si="156"/>
        <v>1</v>
      </c>
      <c r="V1714" s="3">
        <f t="shared" si="157"/>
        <v>1</v>
      </c>
    </row>
    <row r="1715" spans="1:22" x14ac:dyDescent="0.25">
      <c r="A1715" s="2">
        <v>2017</v>
      </c>
      <c r="B1715" t="s">
        <v>271</v>
      </c>
      <c r="C1715" t="s">
        <v>21</v>
      </c>
      <c r="D1715" s="2" t="s">
        <v>256</v>
      </c>
      <c r="E1715" s="2" t="s">
        <v>257</v>
      </c>
      <c r="F1715" t="s">
        <v>441</v>
      </c>
      <c r="G1715">
        <v>0</v>
      </c>
      <c r="H1715">
        <v>0</v>
      </c>
      <c r="I1715">
        <v>0</v>
      </c>
      <c r="J1715">
        <v>0</v>
      </c>
      <c r="K1715">
        <v>0</v>
      </c>
      <c r="L1715" s="6">
        <f t="shared" si="151"/>
        <v>0</v>
      </c>
      <c r="M1715">
        <v>36</v>
      </c>
      <c r="N1715">
        <v>10</v>
      </c>
      <c r="O1715" s="9">
        <v>0</v>
      </c>
      <c r="P1715">
        <v>0</v>
      </c>
      <c r="Q1715">
        <v>23</v>
      </c>
      <c r="R1715">
        <v>0</v>
      </c>
      <c r="S1715">
        <v>3</v>
      </c>
      <c r="T1715">
        <v>0</v>
      </c>
      <c r="U1715" s="3">
        <f t="shared" si="156"/>
        <v>1</v>
      </c>
      <c r="V1715" s="3">
        <f t="shared" si="157"/>
        <v>1</v>
      </c>
    </row>
    <row r="1716" spans="1:22" x14ac:dyDescent="0.25">
      <c r="A1716" s="2">
        <v>2017</v>
      </c>
      <c r="B1716" t="s">
        <v>271</v>
      </c>
      <c r="C1716" t="s">
        <v>21</v>
      </c>
      <c r="D1716" s="2" t="s">
        <v>230</v>
      </c>
      <c r="E1716" s="2" t="s">
        <v>81</v>
      </c>
      <c r="F1716" s="5" t="s">
        <v>452</v>
      </c>
      <c r="G1716">
        <v>0</v>
      </c>
      <c r="H1716">
        <v>0</v>
      </c>
      <c r="I1716">
        <v>0</v>
      </c>
      <c r="J1716">
        <v>0</v>
      </c>
      <c r="K1716">
        <v>0</v>
      </c>
      <c r="L1716" s="6">
        <f t="shared" si="151"/>
        <v>0</v>
      </c>
      <c r="M1716">
        <v>1</v>
      </c>
      <c r="N1716">
        <v>0</v>
      </c>
      <c r="O1716" s="9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 s="3">
        <f t="shared" si="156"/>
        <v>1</v>
      </c>
      <c r="V1716" s="3">
        <f t="shared" si="157"/>
        <v>1</v>
      </c>
    </row>
    <row r="1717" spans="1:22" x14ac:dyDescent="0.25">
      <c r="A1717" s="2">
        <v>2017</v>
      </c>
      <c r="B1717" t="s">
        <v>271</v>
      </c>
      <c r="C1717" t="s">
        <v>21</v>
      </c>
      <c r="D1717" s="2" t="s">
        <v>575</v>
      </c>
      <c r="E1717" s="2" t="s">
        <v>576</v>
      </c>
      <c r="F1717" t="s">
        <v>433</v>
      </c>
      <c r="G1717">
        <v>1</v>
      </c>
      <c r="H1717">
        <v>1</v>
      </c>
      <c r="I1717">
        <v>0</v>
      </c>
      <c r="J1717">
        <v>0</v>
      </c>
      <c r="K1717">
        <v>0</v>
      </c>
      <c r="L1717" s="6">
        <f t="shared" si="151"/>
        <v>1</v>
      </c>
      <c r="M1717">
        <v>24</v>
      </c>
      <c r="N1717">
        <v>2</v>
      </c>
      <c r="O1717" s="9">
        <v>0</v>
      </c>
      <c r="P1717">
        <v>0</v>
      </c>
      <c r="Q1717">
        <v>15</v>
      </c>
      <c r="R1717">
        <v>0</v>
      </c>
      <c r="S1717">
        <v>7</v>
      </c>
      <c r="T1717">
        <v>0</v>
      </c>
      <c r="U1717" s="3">
        <f t="shared" si="156"/>
        <v>1</v>
      </c>
      <c r="V1717" s="3">
        <f t="shared" si="157"/>
        <v>1</v>
      </c>
    </row>
    <row r="1718" spans="1:22" x14ac:dyDescent="0.25">
      <c r="A1718" s="2">
        <v>2017</v>
      </c>
      <c r="B1718" t="s">
        <v>271</v>
      </c>
      <c r="C1718" t="s">
        <v>21</v>
      </c>
      <c r="D1718" s="2" t="s">
        <v>259</v>
      </c>
      <c r="E1718" s="2" t="s">
        <v>260</v>
      </c>
      <c r="F1718" t="s">
        <v>348</v>
      </c>
      <c r="G1718">
        <v>2</v>
      </c>
      <c r="H1718">
        <v>2</v>
      </c>
      <c r="I1718">
        <v>0</v>
      </c>
      <c r="J1718">
        <v>0</v>
      </c>
      <c r="K1718">
        <v>0</v>
      </c>
      <c r="L1718" s="6">
        <f t="shared" si="151"/>
        <v>1</v>
      </c>
      <c r="M1718">
        <v>284</v>
      </c>
      <c r="N1718">
        <v>37</v>
      </c>
      <c r="O1718" s="9">
        <v>0</v>
      </c>
      <c r="P1718">
        <v>0</v>
      </c>
      <c r="Q1718">
        <v>178</v>
      </c>
      <c r="R1718">
        <v>0</v>
      </c>
      <c r="S1718">
        <v>69</v>
      </c>
      <c r="T1718">
        <v>0</v>
      </c>
      <c r="U1718" s="3">
        <f t="shared" si="156"/>
        <v>1</v>
      </c>
      <c r="V1718" s="3">
        <f t="shared" si="157"/>
        <v>1</v>
      </c>
    </row>
    <row r="1719" spans="1:22" x14ac:dyDescent="0.25">
      <c r="A1719" s="2">
        <v>2017</v>
      </c>
      <c r="B1719" t="s">
        <v>271</v>
      </c>
      <c r="C1719" t="s">
        <v>21</v>
      </c>
      <c r="D1719" s="2" t="s">
        <v>233</v>
      </c>
      <c r="E1719" s="2" t="s">
        <v>135</v>
      </c>
      <c r="F1719" t="s">
        <v>33</v>
      </c>
      <c r="G1719">
        <v>1</v>
      </c>
      <c r="H1719">
        <v>1</v>
      </c>
      <c r="I1719">
        <v>0</v>
      </c>
      <c r="J1719">
        <v>0</v>
      </c>
      <c r="K1719">
        <v>0</v>
      </c>
      <c r="L1719" s="6">
        <f t="shared" si="151"/>
        <v>1</v>
      </c>
      <c r="M1719">
        <v>58</v>
      </c>
      <c r="N1719">
        <v>8</v>
      </c>
      <c r="O1719" s="9">
        <v>0</v>
      </c>
      <c r="P1719">
        <v>0</v>
      </c>
      <c r="Q1719">
        <v>21</v>
      </c>
      <c r="R1719">
        <v>0</v>
      </c>
      <c r="S1719">
        <v>28</v>
      </c>
      <c r="T1719">
        <v>1</v>
      </c>
      <c r="U1719" s="3">
        <f t="shared" si="156"/>
        <v>1</v>
      </c>
      <c r="V1719" s="3">
        <f t="shared" si="157"/>
        <v>1</v>
      </c>
    </row>
    <row r="1720" spans="1:22" x14ac:dyDescent="0.25">
      <c r="A1720" s="2">
        <v>2017</v>
      </c>
      <c r="B1720" t="s">
        <v>271</v>
      </c>
      <c r="C1720" t="s">
        <v>21</v>
      </c>
      <c r="D1720" s="2" t="s">
        <v>234</v>
      </c>
      <c r="E1720" s="2" t="s">
        <v>137</v>
      </c>
      <c r="F1720" t="s">
        <v>34</v>
      </c>
      <c r="G1720">
        <v>4</v>
      </c>
      <c r="H1720">
        <v>4</v>
      </c>
      <c r="I1720">
        <v>0</v>
      </c>
      <c r="J1720">
        <v>0</v>
      </c>
      <c r="K1720">
        <v>0</v>
      </c>
      <c r="L1720" s="6">
        <f t="shared" si="151"/>
        <v>1</v>
      </c>
      <c r="M1720">
        <v>54</v>
      </c>
      <c r="N1720">
        <v>6</v>
      </c>
      <c r="O1720" s="9">
        <v>0</v>
      </c>
      <c r="P1720">
        <v>0</v>
      </c>
      <c r="Q1720">
        <v>25</v>
      </c>
      <c r="R1720">
        <v>0</v>
      </c>
      <c r="S1720">
        <v>23</v>
      </c>
      <c r="T1720">
        <v>0</v>
      </c>
      <c r="U1720" s="3">
        <f t="shared" si="156"/>
        <v>1</v>
      </c>
      <c r="V1720" s="3">
        <f t="shared" si="157"/>
        <v>1</v>
      </c>
    </row>
    <row r="1721" spans="1:22" x14ac:dyDescent="0.25">
      <c r="A1721" s="2">
        <v>2017</v>
      </c>
      <c r="B1721" t="s">
        <v>271</v>
      </c>
      <c r="C1721" t="s">
        <v>21</v>
      </c>
      <c r="D1721" s="2" t="s">
        <v>165</v>
      </c>
      <c r="E1721" s="2" t="s">
        <v>166</v>
      </c>
      <c r="F1721" t="s">
        <v>368</v>
      </c>
      <c r="G1721">
        <v>5</v>
      </c>
      <c r="H1721">
        <v>5</v>
      </c>
      <c r="I1721">
        <v>0</v>
      </c>
      <c r="J1721">
        <v>0</v>
      </c>
      <c r="K1721">
        <v>0</v>
      </c>
      <c r="L1721" s="6">
        <f t="shared" si="151"/>
        <v>1</v>
      </c>
      <c r="M1721">
        <v>47</v>
      </c>
      <c r="N1721">
        <v>4</v>
      </c>
      <c r="O1721" s="9">
        <v>0</v>
      </c>
      <c r="P1721">
        <v>0</v>
      </c>
      <c r="Q1721">
        <v>23</v>
      </c>
      <c r="R1721">
        <v>0</v>
      </c>
      <c r="S1721">
        <v>19</v>
      </c>
      <c r="T1721">
        <v>1</v>
      </c>
      <c r="U1721" s="3">
        <f t="shared" si="156"/>
        <v>1</v>
      </c>
      <c r="V1721" s="3">
        <f t="shared" si="157"/>
        <v>1</v>
      </c>
    </row>
    <row r="1722" spans="1:22" x14ac:dyDescent="0.25">
      <c r="A1722" s="2">
        <v>2017</v>
      </c>
      <c r="B1722" t="s">
        <v>271</v>
      </c>
      <c r="C1722" t="s">
        <v>21</v>
      </c>
      <c r="D1722" s="2" t="s">
        <v>263</v>
      </c>
      <c r="E1722" s="2" t="s">
        <v>264</v>
      </c>
      <c r="F1722" t="s">
        <v>35</v>
      </c>
      <c r="G1722">
        <v>0</v>
      </c>
      <c r="H1722">
        <v>0</v>
      </c>
      <c r="I1722">
        <v>0</v>
      </c>
      <c r="J1722">
        <v>0</v>
      </c>
      <c r="K1722">
        <v>0</v>
      </c>
      <c r="L1722" s="6">
        <f t="shared" si="151"/>
        <v>0</v>
      </c>
      <c r="M1722">
        <v>232</v>
      </c>
      <c r="N1722">
        <v>30</v>
      </c>
      <c r="O1722" s="9">
        <v>0</v>
      </c>
      <c r="P1722">
        <v>0</v>
      </c>
      <c r="Q1722">
        <v>167</v>
      </c>
      <c r="R1722">
        <v>0</v>
      </c>
      <c r="S1722">
        <v>35</v>
      </c>
      <c r="T1722">
        <v>0</v>
      </c>
      <c r="U1722" s="3">
        <f t="shared" si="156"/>
        <v>1</v>
      </c>
      <c r="V1722" s="3">
        <f t="shared" si="157"/>
        <v>1</v>
      </c>
    </row>
    <row r="1723" spans="1:22" x14ac:dyDescent="0.25">
      <c r="A1723" s="2">
        <v>2017</v>
      </c>
      <c r="B1723" t="s">
        <v>271</v>
      </c>
      <c r="C1723" t="s">
        <v>21</v>
      </c>
      <c r="D1723" s="2" t="s">
        <v>235</v>
      </c>
      <c r="E1723" s="2" t="s">
        <v>236</v>
      </c>
      <c r="F1723" t="s">
        <v>36</v>
      </c>
      <c r="G1723">
        <v>7</v>
      </c>
      <c r="H1723">
        <v>7</v>
      </c>
      <c r="I1723">
        <v>0</v>
      </c>
      <c r="J1723">
        <v>0</v>
      </c>
      <c r="K1723">
        <v>0</v>
      </c>
      <c r="L1723" s="6">
        <f t="shared" si="151"/>
        <v>1</v>
      </c>
      <c r="M1723">
        <v>70</v>
      </c>
      <c r="N1723">
        <v>6</v>
      </c>
      <c r="O1723" s="9">
        <v>0</v>
      </c>
      <c r="P1723">
        <v>0</v>
      </c>
      <c r="Q1723">
        <v>40</v>
      </c>
      <c r="R1723">
        <v>0</v>
      </c>
      <c r="S1723">
        <v>23</v>
      </c>
      <c r="T1723">
        <v>1</v>
      </c>
      <c r="U1723" s="3">
        <f t="shared" si="156"/>
        <v>1</v>
      </c>
      <c r="V1723" s="3">
        <f t="shared" si="157"/>
        <v>1</v>
      </c>
    </row>
    <row r="1724" spans="1:22" x14ac:dyDescent="0.25">
      <c r="A1724" s="2">
        <v>2017</v>
      </c>
      <c r="B1724" t="s">
        <v>271</v>
      </c>
      <c r="C1724" t="s">
        <v>21</v>
      </c>
      <c r="D1724" s="2" t="s">
        <v>239</v>
      </c>
      <c r="E1724" s="2" t="s">
        <v>240</v>
      </c>
      <c r="F1724" t="s">
        <v>37</v>
      </c>
      <c r="G1724">
        <v>1</v>
      </c>
      <c r="H1724">
        <v>1</v>
      </c>
      <c r="I1724">
        <v>0</v>
      </c>
      <c r="J1724">
        <v>0</v>
      </c>
      <c r="K1724">
        <v>0</v>
      </c>
      <c r="L1724" s="6">
        <f t="shared" si="151"/>
        <v>1</v>
      </c>
      <c r="M1724">
        <v>60</v>
      </c>
      <c r="N1724">
        <v>7</v>
      </c>
      <c r="O1724" s="9">
        <v>0</v>
      </c>
      <c r="P1724">
        <v>0</v>
      </c>
      <c r="Q1724">
        <v>26</v>
      </c>
      <c r="R1724">
        <v>0</v>
      </c>
      <c r="S1724">
        <v>27</v>
      </c>
      <c r="T1724">
        <v>0</v>
      </c>
      <c r="U1724" s="3">
        <f t="shared" si="156"/>
        <v>1</v>
      </c>
      <c r="V1724" s="3">
        <f t="shared" si="157"/>
        <v>1</v>
      </c>
    </row>
    <row r="1725" spans="1:22" x14ac:dyDescent="0.25">
      <c r="A1725" s="2">
        <v>2017</v>
      </c>
      <c r="B1725" t="s">
        <v>271</v>
      </c>
      <c r="C1725" t="s">
        <v>21</v>
      </c>
      <c r="D1725" s="2" t="s">
        <v>265</v>
      </c>
      <c r="E1725" s="2" t="s">
        <v>266</v>
      </c>
      <c r="F1725" t="s">
        <v>349</v>
      </c>
      <c r="G1725">
        <v>21</v>
      </c>
      <c r="H1725">
        <v>20</v>
      </c>
      <c r="I1725">
        <v>0</v>
      </c>
      <c r="J1725">
        <v>0</v>
      </c>
      <c r="K1725">
        <v>1</v>
      </c>
      <c r="L1725" s="6">
        <f t="shared" si="151"/>
        <v>0.95238095238095233</v>
      </c>
      <c r="M1725">
        <v>245</v>
      </c>
      <c r="N1725">
        <v>24</v>
      </c>
      <c r="O1725" s="9">
        <v>0</v>
      </c>
      <c r="P1725">
        <v>1</v>
      </c>
      <c r="Q1725">
        <v>110</v>
      </c>
      <c r="R1725">
        <v>1</v>
      </c>
      <c r="S1725">
        <v>108</v>
      </c>
      <c r="T1725">
        <v>1</v>
      </c>
      <c r="U1725" s="3">
        <f t="shared" si="156"/>
        <v>0.99183673469387756</v>
      </c>
      <c r="V1725" s="3">
        <f t="shared" si="157"/>
        <v>0.98872180451127822</v>
      </c>
    </row>
    <row r="1726" spans="1:22" x14ac:dyDescent="0.25">
      <c r="A1726" s="2">
        <v>2017</v>
      </c>
      <c r="B1726" t="s">
        <v>271</v>
      </c>
      <c r="C1726" t="s">
        <v>21</v>
      </c>
      <c r="D1726" s="2" t="s">
        <v>267</v>
      </c>
      <c r="E1726" s="2" t="s">
        <v>268</v>
      </c>
      <c r="F1726" t="s">
        <v>350</v>
      </c>
      <c r="G1726">
        <v>19</v>
      </c>
      <c r="H1726">
        <v>19</v>
      </c>
      <c r="I1726">
        <v>0</v>
      </c>
      <c r="J1726">
        <v>0</v>
      </c>
      <c r="K1726">
        <v>0</v>
      </c>
      <c r="L1726" s="6">
        <f t="shared" si="151"/>
        <v>1</v>
      </c>
      <c r="M1726">
        <v>294</v>
      </c>
      <c r="N1726">
        <v>32</v>
      </c>
      <c r="O1726" s="9">
        <v>0</v>
      </c>
      <c r="P1726">
        <v>0</v>
      </c>
      <c r="Q1726">
        <v>141</v>
      </c>
      <c r="R1726">
        <v>0</v>
      </c>
      <c r="S1726">
        <v>121</v>
      </c>
      <c r="T1726">
        <v>0</v>
      </c>
      <c r="U1726" s="3">
        <f t="shared" si="156"/>
        <v>1</v>
      </c>
      <c r="V1726" s="3">
        <f t="shared" si="157"/>
        <v>1</v>
      </c>
    </row>
    <row r="1727" spans="1:22" x14ac:dyDescent="0.25">
      <c r="A1727" s="2">
        <v>2017</v>
      </c>
      <c r="B1727" t="s">
        <v>271</v>
      </c>
      <c r="C1727" t="s">
        <v>21</v>
      </c>
      <c r="D1727" s="2" t="s">
        <v>241</v>
      </c>
      <c r="E1727" s="2" t="s">
        <v>242</v>
      </c>
      <c r="F1727" t="s">
        <v>341</v>
      </c>
      <c r="G1727">
        <v>17</v>
      </c>
      <c r="H1727">
        <v>17</v>
      </c>
      <c r="I1727">
        <v>0</v>
      </c>
      <c r="J1727">
        <v>0</v>
      </c>
      <c r="K1727">
        <v>0</v>
      </c>
      <c r="L1727" s="6">
        <f t="shared" si="151"/>
        <v>1</v>
      </c>
      <c r="M1727">
        <v>246</v>
      </c>
      <c r="N1727">
        <v>25</v>
      </c>
      <c r="O1727" s="9">
        <v>0</v>
      </c>
      <c r="P1727">
        <v>0</v>
      </c>
      <c r="Q1727">
        <v>131</v>
      </c>
      <c r="R1727">
        <v>1</v>
      </c>
      <c r="S1727">
        <v>89</v>
      </c>
      <c r="T1727">
        <v>0</v>
      </c>
      <c r="U1727" s="3">
        <f t="shared" si="156"/>
        <v>0.99593495934959353</v>
      </c>
      <c r="V1727" s="3">
        <f t="shared" si="157"/>
        <v>0.99619771863117867</v>
      </c>
    </row>
    <row r="1728" spans="1:22" x14ac:dyDescent="0.25">
      <c r="A1728" s="2">
        <v>2017</v>
      </c>
      <c r="B1728" t="s">
        <v>271</v>
      </c>
      <c r="C1728" t="s">
        <v>21</v>
      </c>
      <c r="D1728" s="2" t="s">
        <v>269</v>
      </c>
      <c r="E1728" s="2" t="s">
        <v>270</v>
      </c>
      <c r="F1728" t="s">
        <v>351</v>
      </c>
      <c r="G1728">
        <v>1</v>
      </c>
      <c r="H1728">
        <v>1</v>
      </c>
      <c r="I1728">
        <v>0</v>
      </c>
      <c r="J1728">
        <v>0</v>
      </c>
      <c r="K1728">
        <v>0</v>
      </c>
      <c r="L1728" s="6">
        <f t="shared" si="151"/>
        <v>1</v>
      </c>
      <c r="M1728">
        <v>188</v>
      </c>
      <c r="N1728">
        <v>17</v>
      </c>
      <c r="O1728" s="9">
        <v>0</v>
      </c>
      <c r="P1728">
        <v>0</v>
      </c>
      <c r="Q1728">
        <v>121</v>
      </c>
      <c r="R1728">
        <v>1</v>
      </c>
      <c r="S1728">
        <v>49</v>
      </c>
      <c r="T1728">
        <v>0</v>
      </c>
      <c r="U1728" s="3">
        <f t="shared" si="156"/>
        <v>0.99468085106382975</v>
      </c>
      <c r="V1728" s="3">
        <f t="shared" si="157"/>
        <v>0.99470899470899465</v>
      </c>
    </row>
    <row r="1729" spans="1:22" ht="15.75" customHeight="1" x14ac:dyDescent="0.25">
      <c r="A1729" s="2">
        <v>2017</v>
      </c>
      <c r="B1729" t="s">
        <v>271</v>
      </c>
      <c r="C1729" t="s">
        <v>21</v>
      </c>
      <c r="D1729" s="2" t="s">
        <v>250</v>
      </c>
      <c r="E1729" s="2" t="s">
        <v>251</v>
      </c>
      <c r="F1729" t="s">
        <v>344</v>
      </c>
      <c r="G1729">
        <v>1</v>
      </c>
      <c r="H1729">
        <v>1</v>
      </c>
      <c r="I1729">
        <v>0</v>
      </c>
      <c r="J1729">
        <v>0</v>
      </c>
      <c r="K1729">
        <v>0</v>
      </c>
      <c r="L1729" s="6">
        <f t="shared" si="151"/>
        <v>1</v>
      </c>
      <c r="M1729">
        <v>3</v>
      </c>
      <c r="N1729">
        <v>1</v>
      </c>
      <c r="O1729" s="9">
        <v>0</v>
      </c>
      <c r="P1729">
        <v>0</v>
      </c>
      <c r="Q1729">
        <v>2</v>
      </c>
      <c r="R1729">
        <v>0</v>
      </c>
      <c r="S1729">
        <v>0</v>
      </c>
      <c r="T1729">
        <v>0</v>
      </c>
      <c r="U1729" s="3">
        <f t="shared" si="156"/>
        <v>1</v>
      </c>
      <c r="V1729" s="3">
        <f t="shared" si="157"/>
        <v>1</v>
      </c>
    </row>
    <row r="1730" spans="1:22" x14ac:dyDescent="0.25">
      <c r="A1730" s="2">
        <v>2017</v>
      </c>
      <c r="B1730" t="s">
        <v>271</v>
      </c>
      <c r="C1730" t="s">
        <v>21</v>
      </c>
      <c r="D1730" s="2" t="s">
        <v>254</v>
      </c>
      <c r="E1730" s="2" t="s">
        <v>255</v>
      </c>
      <c r="F1730" t="s">
        <v>347</v>
      </c>
      <c r="G1730">
        <v>0</v>
      </c>
      <c r="H1730">
        <v>0</v>
      </c>
      <c r="I1730">
        <v>0</v>
      </c>
      <c r="J1730">
        <v>0</v>
      </c>
      <c r="K1730">
        <v>0</v>
      </c>
      <c r="L1730" s="6">
        <f t="shared" si="151"/>
        <v>0</v>
      </c>
      <c r="M1730">
        <v>5</v>
      </c>
      <c r="N1730">
        <v>0</v>
      </c>
      <c r="O1730" s="9">
        <v>0</v>
      </c>
      <c r="P1730">
        <v>0</v>
      </c>
      <c r="Q1730">
        <v>0</v>
      </c>
      <c r="R1730">
        <v>0</v>
      </c>
      <c r="S1730">
        <v>5</v>
      </c>
      <c r="T1730">
        <v>0</v>
      </c>
      <c r="U1730" s="3">
        <f t="shared" si="156"/>
        <v>1</v>
      </c>
      <c r="V1730" s="3">
        <f t="shared" si="157"/>
        <v>1</v>
      </c>
    </row>
    <row r="1731" spans="1:22" x14ac:dyDescent="0.25">
      <c r="A1731" s="2">
        <v>2017</v>
      </c>
      <c r="B1731" t="s">
        <v>52</v>
      </c>
      <c r="C1731" t="s">
        <v>53</v>
      </c>
      <c r="D1731" s="2">
        <v>1</v>
      </c>
      <c r="E1731" s="2">
        <v>119070</v>
      </c>
      <c r="F1731" t="s">
        <v>460</v>
      </c>
      <c r="G1731">
        <v>1</v>
      </c>
      <c r="H1731">
        <v>1</v>
      </c>
      <c r="I1731">
        <v>0</v>
      </c>
      <c r="J1731">
        <v>0</v>
      </c>
      <c r="K1731">
        <v>0</v>
      </c>
      <c r="L1731" s="6">
        <f t="shared" ref="L1731:L1794" si="158">IF(G1731=0,0,SUM(H1731:J1731)/G1731)</f>
        <v>1</v>
      </c>
      <c r="M1731">
        <v>45</v>
      </c>
      <c r="N1731">
        <v>3</v>
      </c>
      <c r="O1731" s="9">
        <v>0</v>
      </c>
      <c r="P1731">
        <v>1</v>
      </c>
      <c r="Q1731">
        <v>26</v>
      </c>
      <c r="R1731">
        <v>0</v>
      </c>
      <c r="S1731">
        <v>14</v>
      </c>
      <c r="T1731">
        <v>1</v>
      </c>
      <c r="U1731" s="3">
        <v>0.97777777777777775</v>
      </c>
      <c r="V1731" s="3">
        <v>0.97826086956521741</v>
      </c>
    </row>
    <row r="1732" spans="1:22" x14ac:dyDescent="0.25">
      <c r="A1732" s="2">
        <v>2017</v>
      </c>
      <c r="B1732" t="s">
        <v>52</v>
      </c>
      <c r="C1732" t="s">
        <v>53</v>
      </c>
      <c r="D1732" s="2">
        <v>3</v>
      </c>
      <c r="E1732" s="2">
        <v>119071</v>
      </c>
      <c r="F1732" t="s">
        <v>461</v>
      </c>
      <c r="G1732">
        <v>22</v>
      </c>
      <c r="H1732">
        <v>22</v>
      </c>
      <c r="I1732">
        <v>0</v>
      </c>
      <c r="J1732">
        <v>0</v>
      </c>
      <c r="K1732">
        <v>0</v>
      </c>
      <c r="L1732" s="6">
        <f t="shared" si="158"/>
        <v>1</v>
      </c>
      <c r="M1732">
        <v>403</v>
      </c>
      <c r="N1732">
        <v>47</v>
      </c>
      <c r="O1732" s="9">
        <v>0</v>
      </c>
      <c r="P1732">
        <v>1</v>
      </c>
      <c r="Q1732">
        <v>221</v>
      </c>
      <c r="R1732">
        <v>2</v>
      </c>
      <c r="S1732">
        <v>130</v>
      </c>
      <c r="T1732">
        <v>2</v>
      </c>
      <c r="U1732" s="3">
        <v>0.99255583126550873</v>
      </c>
      <c r="V1732" s="3">
        <v>0.99294117647058822</v>
      </c>
    </row>
    <row r="1733" spans="1:22" x14ac:dyDescent="0.25">
      <c r="A1733" s="2">
        <v>2017</v>
      </c>
      <c r="B1733" t="s">
        <v>52</v>
      </c>
      <c r="C1733" t="s">
        <v>53</v>
      </c>
      <c r="D1733" s="2">
        <v>4</v>
      </c>
      <c r="E1733" s="2">
        <v>119072</v>
      </c>
      <c r="F1733" t="s">
        <v>462</v>
      </c>
      <c r="G1733">
        <v>6</v>
      </c>
      <c r="H1733">
        <v>6</v>
      </c>
      <c r="I1733">
        <v>0</v>
      </c>
      <c r="J1733">
        <v>0</v>
      </c>
      <c r="K1733">
        <v>0</v>
      </c>
      <c r="L1733" s="6">
        <f t="shared" si="158"/>
        <v>1</v>
      </c>
      <c r="M1733">
        <v>49</v>
      </c>
      <c r="N1733">
        <v>9</v>
      </c>
      <c r="O1733" s="9">
        <v>0</v>
      </c>
      <c r="P1733">
        <v>0</v>
      </c>
      <c r="Q1733">
        <v>28</v>
      </c>
      <c r="R1733">
        <v>0</v>
      </c>
      <c r="S1733">
        <v>12</v>
      </c>
      <c r="T1733">
        <v>0</v>
      </c>
      <c r="U1733" s="3">
        <v>1</v>
      </c>
      <c r="V1733" s="3">
        <v>1</v>
      </c>
    </row>
    <row r="1734" spans="1:22" x14ac:dyDescent="0.25">
      <c r="A1734" s="2">
        <v>2017</v>
      </c>
      <c r="B1734" t="s">
        <v>52</v>
      </c>
      <c r="C1734" t="s">
        <v>53</v>
      </c>
      <c r="D1734" s="2">
        <v>5</v>
      </c>
      <c r="E1734" s="2">
        <v>120247</v>
      </c>
      <c r="F1734" t="s">
        <v>55</v>
      </c>
      <c r="G1734">
        <v>4</v>
      </c>
      <c r="H1734">
        <v>4</v>
      </c>
      <c r="I1734">
        <v>0</v>
      </c>
      <c r="J1734">
        <v>0</v>
      </c>
      <c r="K1734">
        <v>0</v>
      </c>
      <c r="L1734" s="6">
        <f t="shared" si="158"/>
        <v>1</v>
      </c>
      <c r="M1734">
        <v>43</v>
      </c>
      <c r="N1734">
        <v>6</v>
      </c>
      <c r="O1734" s="9">
        <v>0</v>
      </c>
      <c r="P1734">
        <v>0</v>
      </c>
      <c r="Q1734">
        <v>27</v>
      </c>
      <c r="R1734">
        <v>0</v>
      </c>
      <c r="S1734">
        <v>10</v>
      </c>
      <c r="T1734">
        <v>0</v>
      </c>
      <c r="U1734" s="3">
        <v>1</v>
      </c>
      <c r="V1734" s="3">
        <v>1</v>
      </c>
    </row>
    <row r="1735" spans="1:22" x14ac:dyDescent="0.25">
      <c r="A1735" s="2">
        <v>2017</v>
      </c>
      <c r="B1735" t="s">
        <v>52</v>
      </c>
      <c r="C1735" t="s">
        <v>53</v>
      </c>
      <c r="D1735" s="2">
        <v>6</v>
      </c>
      <c r="E1735" s="2">
        <v>119074</v>
      </c>
      <c r="F1735" t="s">
        <v>463</v>
      </c>
      <c r="G1735">
        <v>1</v>
      </c>
      <c r="H1735">
        <v>1</v>
      </c>
      <c r="I1735">
        <v>0</v>
      </c>
      <c r="J1735">
        <v>0</v>
      </c>
      <c r="K1735">
        <v>0</v>
      </c>
      <c r="L1735" s="6">
        <f t="shared" si="158"/>
        <v>1</v>
      </c>
      <c r="M1735">
        <v>39</v>
      </c>
      <c r="N1735">
        <v>5</v>
      </c>
      <c r="O1735" s="9">
        <v>0</v>
      </c>
      <c r="P1735">
        <v>0</v>
      </c>
      <c r="Q1735">
        <v>22</v>
      </c>
      <c r="R1735">
        <v>0</v>
      </c>
      <c r="S1735">
        <v>9</v>
      </c>
      <c r="T1735">
        <v>3</v>
      </c>
      <c r="U1735" s="3">
        <v>1</v>
      </c>
      <c r="V1735" s="3">
        <v>1</v>
      </c>
    </row>
    <row r="1736" spans="1:22" x14ac:dyDescent="0.25">
      <c r="A1736" s="2">
        <v>2017</v>
      </c>
      <c r="B1736" t="s">
        <v>52</v>
      </c>
      <c r="C1736" t="s">
        <v>53</v>
      </c>
      <c r="D1736" s="2">
        <v>7</v>
      </c>
      <c r="E1736" s="2">
        <v>119073</v>
      </c>
      <c r="F1736" t="s">
        <v>329</v>
      </c>
      <c r="G1736">
        <v>4</v>
      </c>
      <c r="H1736">
        <v>4</v>
      </c>
      <c r="I1736">
        <v>0</v>
      </c>
      <c r="J1736">
        <v>0</v>
      </c>
      <c r="K1736">
        <v>0</v>
      </c>
      <c r="L1736" s="6">
        <f t="shared" si="158"/>
        <v>1</v>
      </c>
      <c r="M1736">
        <v>58</v>
      </c>
      <c r="N1736">
        <v>8</v>
      </c>
      <c r="O1736" s="9">
        <v>0</v>
      </c>
      <c r="P1736">
        <v>0</v>
      </c>
      <c r="Q1736">
        <v>35</v>
      </c>
      <c r="R1736">
        <v>0</v>
      </c>
      <c r="S1736">
        <v>15</v>
      </c>
      <c r="T1736">
        <v>0</v>
      </c>
      <c r="U1736" s="3">
        <v>1</v>
      </c>
      <c r="V1736" s="3">
        <v>1</v>
      </c>
    </row>
    <row r="1737" spans="1:22" x14ac:dyDescent="0.25">
      <c r="A1737" s="2">
        <v>2017</v>
      </c>
      <c r="B1737" t="s">
        <v>52</v>
      </c>
      <c r="C1737" t="s">
        <v>53</v>
      </c>
      <c r="D1737" s="2">
        <v>8</v>
      </c>
      <c r="E1737" s="2">
        <v>119240</v>
      </c>
      <c r="F1737" t="s">
        <v>464</v>
      </c>
      <c r="G1737">
        <v>6</v>
      </c>
      <c r="H1737">
        <v>6</v>
      </c>
      <c r="I1737">
        <v>0</v>
      </c>
      <c r="J1737">
        <v>0</v>
      </c>
      <c r="K1737">
        <v>0</v>
      </c>
      <c r="L1737" s="6">
        <f t="shared" si="158"/>
        <v>1</v>
      </c>
      <c r="M1737">
        <v>52</v>
      </c>
      <c r="N1737">
        <v>10</v>
      </c>
      <c r="O1737" s="9">
        <v>0</v>
      </c>
      <c r="P1737">
        <v>0</v>
      </c>
      <c r="Q1737">
        <v>29</v>
      </c>
      <c r="R1737">
        <v>0</v>
      </c>
      <c r="S1737">
        <v>13</v>
      </c>
      <c r="T1737">
        <v>0</v>
      </c>
      <c r="U1737" s="3">
        <v>1</v>
      </c>
      <c r="V1737" s="3">
        <v>1</v>
      </c>
    </row>
    <row r="1738" spans="1:22" x14ac:dyDescent="0.25">
      <c r="A1738" s="2">
        <v>2017</v>
      </c>
      <c r="B1738" t="s">
        <v>52</v>
      </c>
      <c r="C1738" t="s">
        <v>53</v>
      </c>
      <c r="D1738" s="2">
        <v>22</v>
      </c>
      <c r="E1738" s="2">
        <v>122833</v>
      </c>
      <c r="F1738" t="s">
        <v>465</v>
      </c>
      <c r="G1738">
        <v>8</v>
      </c>
      <c r="H1738">
        <v>8</v>
      </c>
      <c r="I1738">
        <v>0</v>
      </c>
      <c r="J1738">
        <v>0</v>
      </c>
      <c r="K1738">
        <v>0</v>
      </c>
      <c r="L1738" s="6">
        <f t="shared" si="158"/>
        <v>1</v>
      </c>
      <c r="M1738">
        <v>147</v>
      </c>
      <c r="N1738">
        <v>23</v>
      </c>
      <c r="O1738" s="9">
        <v>0</v>
      </c>
      <c r="P1738">
        <v>0</v>
      </c>
      <c r="Q1738">
        <v>76</v>
      </c>
      <c r="R1738">
        <v>0</v>
      </c>
      <c r="S1738">
        <v>48</v>
      </c>
      <c r="T1738">
        <v>0</v>
      </c>
      <c r="U1738" s="3">
        <v>1</v>
      </c>
      <c r="V1738" s="3">
        <v>1</v>
      </c>
    </row>
    <row r="1739" spans="1:22" x14ac:dyDescent="0.25">
      <c r="A1739" s="2">
        <v>2017</v>
      </c>
      <c r="B1739" t="s">
        <v>52</v>
      </c>
      <c r="C1739" t="s">
        <v>53</v>
      </c>
      <c r="D1739" s="2">
        <v>20</v>
      </c>
      <c r="E1739" s="2">
        <v>121530</v>
      </c>
      <c r="F1739" t="s">
        <v>466</v>
      </c>
      <c r="G1739">
        <v>12</v>
      </c>
      <c r="H1739">
        <v>12</v>
      </c>
      <c r="I1739">
        <v>0</v>
      </c>
      <c r="J1739">
        <v>0</v>
      </c>
      <c r="K1739">
        <v>0</v>
      </c>
      <c r="L1739" s="6">
        <f t="shared" si="158"/>
        <v>1</v>
      </c>
      <c r="M1739">
        <v>245</v>
      </c>
      <c r="N1739">
        <v>36</v>
      </c>
      <c r="O1739" s="9">
        <v>0</v>
      </c>
      <c r="P1739">
        <v>0</v>
      </c>
      <c r="Q1739">
        <v>133</v>
      </c>
      <c r="R1739">
        <v>0</v>
      </c>
      <c r="S1739">
        <v>74</v>
      </c>
      <c r="T1739">
        <v>2</v>
      </c>
      <c r="U1739" s="3">
        <v>1</v>
      </c>
      <c r="V1739" s="3">
        <v>1</v>
      </c>
    </row>
    <row r="1740" spans="1:22" x14ac:dyDescent="0.25">
      <c r="A1740" s="2">
        <v>2017</v>
      </c>
      <c r="B1740" t="s">
        <v>52</v>
      </c>
      <c r="C1740" t="s">
        <v>53</v>
      </c>
      <c r="D1740" s="2">
        <v>9</v>
      </c>
      <c r="E1740" s="2">
        <v>119075</v>
      </c>
      <c r="F1740" t="s">
        <v>467</v>
      </c>
      <c r="G1740">
        <v>12</v>
      </c>
      <c r="H1740">
        <v>12</v>
      </c>
      <c r="I1740">
        <v>0</v>
      </c>
      <c r="J1740">
        <v>0</v>
      </c>
      <c r="K1740">
        <v>0</v>
      </c>
      <c r="L1740" s="6">
        <f t="shared" si="158"/>
        <v>1</v>
      </c>
      <c r="M1740">
        <v>217</v>
      </c>
      <c r="N1740">
        <v>33</v>
      </c>
      <c r="O1740" s="9">
        <v>0</v>
      </c>
      <c r="P1740">
        <v>1</v>
      </c>
      <c r="Q1740">
        <v>129</v>
      </c>
      <c r="R1740">
        <v>0</v>
      </c>
      <c r="S1740">
        <v>53</v>
      </c>
      <c r="T1740">
        <v>1</v>
      </c>
      <c r="U1740" s="3">
        <v>0.99539170506912444</v>
      </c>
      <c r="V1740" s="3">
        <v>0.99563318777292575</v>
      </c>
    </row>
    <row r="1741" spans="1:22" x14ac:dyDescent="0.25">
      <c r="A1741" s="2">
        <v>2017</v>
      </c>
      <c r="B1741" t="s">
        <v>52</v>
      </c>
      <c r="C1741" t="s">
        <v>53</v>
      </c>
      <c r="D1741" s="2">
        <v>23</v>
      </c>
      <c r="E1741" s="2">
        <v>123212</v>
      </c>
      <c r="F1741" t="s">
        <v>468</v>
      </c>
      <c r="G1741">
        <v>3</v>
      </c>
      <c r="H1741">
        <v>3</v>
      </c>
      <c r="I1741">
        <v>0</v>
      </c>
      <c r="J1741">
        <v>0</v>
      </c>
      <c r="K1741">
        <v>0</v>
      </c>
      <c r="L1741" s="6">
        <f t="shared" si="158"/>
        <v>1</v>
      </c>
      <c r="M1741">
        <v>31</v>
      </c>
      <c r="N1741">
        <v>5</v>
      </c>
      <c r="O1741" s="9">
        <v>0</v>
      </c>
      <c r="P1741">
        <v>0</v>
      </c>
      <c r="Q1741">
        <v>22</v>
      </c>
      <c r="R1741">
        <v>0</v>
      </c>
      <c r="S1741">
        <v>4</v>
      </c>
      <c r="T1741">
        <v>0</v>
      </c>
      <c r="U1741" s="3">
        <v>1</v>
      </c>
      <c r="V1741" s="3">
        <v>1</v>
      </c>
    </row>
    <row r="1742" spans="1:22" x14ac:dyDescent="0.25">
      <c r="A1742" s="2">
        <v>2017</v>
      </c>
      <c r="B1742" t="s">
        <v>52</v>
      </c>
      <c r="C1742" t="s">
        <v>53</v>
      </c>
      <c r="D1742" s="2">
        <v>15</v>
      </c>
      <c r="E1742" s="2">
        <v>119528</v>
      </c>
      <c r="F1742" t="s">
        <v>463</v>
      </c>
      <c r="G1742">
        <v>3</v>
      </c>
      <c r="H1742">
        <v>3</v>
      </c>
      <c r="I1742">
        <v>0</v>
      </c>
      <c r="J1742">
        <v>0</v>
      </c>
      <c r="K1742">
        <v>0</v>
      </c>
      <c r="L1742" s="6">
        <f t="shared" si="158"/>
        <v>1</v>
      </c>
      <c r="M1742">
        <v>10</v>
      </c>
      <c r="N1742">
        <v>1</v>
      </c>
      <c r="O1742" s="9">
        <v>0</v>
      </c>
      <c r="P1742">
        <v>0</v>
      </c>
      <c r="Q1742">
        <v>5</v>
      </c>
      <c r="R1742">
        <v>0</v>
      </c>
      <c r="S1742">
        <v>4</v>
      </c>
      <c r="T1742">
        <v>0</v>
      </c>
      <c r="U1742" s="3">
        <v>1</v>
      </c>
      <c r="V1742" s="3">
        <v>1</v>
      </c>
    </row>
    <row r="1743" spans="1:22" x14ac:dyDescent="0.25">
      <c r="A1743" s="2">
        <v>2017</v>
      </c>
      <c r="B1743" t="s">
        <v>52</v>
      </c>
      <c r="C1743" t="s">
        <v>53</v>
      </c>
      <c r="D1743" s="2">
        <v>21</v>
      </c>
      <c r="E1743" s="2">
        <v>122215</v>
      </c>
      <c r="F1743" t="s">
        <v>329</v>
      </c>
      <c r="G1743">
        <v>3</v>
      </c>
      <c r="H1743">
        <v>3</v>
      </c>
      <c r="I1743">
        <v>0</v>
      </c>
      <c r="J1743">
        <v>0</v>
      </c>
      <c r="K1743">
        <v>0</v>
      </c>
      <c r="L1743" s="6">
        <f t="shared" si="158"/>
        <v>1</v>
      </c>
      <c r="M1743">
        <v>202</v>
      </c>
      <c r="N1743">
        <v>31</v>
      </c>
      <c r="O1743" s="9">
        <v>0</v>
      </c>
      <c r="P1743">
        <v>0</v>
      </c>
      <c r="Q1743">
        <v>114</v>
      </c>
      <c r="R1743">
        <v>0</v>
      </c>
      <c r="S1743">
        <v>56</v>
      </c>
      <c r="T1743">
        <v>1</v>
      </c>
      <c r="U1743" s="3">
        <v>1</v>
      </c>
      <c r="V1743" s="3">
        <v>1</v>
      </c>
    </row>
    <row r="1744" spans="1:22" x14ac:dyDescent="0.25">
      <c r="A1744" s="2">
        <v>2017</v>
      </c>
      <c r="B1744" t="s">
        <v>52</v>
      </c>
      <c r="C1744" t="s">
        <v>53</v>
      </c>
      <c r="D1744" s="2">
        <v>10</v>
      </c>
      <c r="E1744" s="2">
        <v>119076</v>
      </c>
      <c r="F1744" t="s">
        <v>464</v>
      </c>
      <c r="G1744">
        <v>39</v>
      </c>
      <c r="H1744">
        <v>39</v>
      </c>
      <c r="I1744">
        <v>0</v>
      </c>
      <c r="J1744">
        <v>0</v>
      </c>
      <c r="K1744">
        <v>0</v>
      </c>
      <c r="L1744" s="6">
        <f t="shared" si="158"/>
        <v>1</v>
      </c>
      <c r="M1744">
        <v>582</v>
      </c>
      <c r="N1744">
        <v>80</v>
      </c>
      <c r="O1744" s="9">
        <v>0</v>
      </c>
      <c r="Q1744">
        <v>318</v>
      </c>
      <c r="R1744">
        <v>2</v>
      </c>
      <c r="S1744">
        <v>180</v>
      </c>
      <c r="T1744">
        <v>2</v>
      </c>
      <c r="U1744" s="3">
        <v>0.99656357388316152</v>
      </c>
      <c r="V1744" s="3">
        <v>0.9967793880837359</v>
      </c>
    </row>
    <row r="1745" spans="1:22" x14ac:dyDescent="0.25">
      <c r="A1745" s="2">
        <v>2017</v>
      </c>
      <c r="B1745" t="s">
        <v>52</v>
      </c>
      <c r="C1745" t="s">
        <v>53</v>
      </c>
      <c r="D1745" s="2">
        <v>11</v>
      </c>
      <c r="E1745" s="2">
        <v>119077</v>
      </c>
      <c r="F1745" t="s">
        <v>465</v>
      </c>
      <c r="G1745">
        <v>32</v>
      </c>
      <c r="H1745">
        <v>32</v>
      </c>
      <c r="I1745">
        <v>0</v>
      </c>
      <c r="J1745">
        <v>0</v>
      </c>
      <c r="K1745">
        <v>0</v>
      </c>
      <c r="L1745" s="6">
        <f t="shared" si="158"/>
        <v>1</v>
      </c>
      <c r="M1745">
        <v>608</v>
      </c>
      <c r="N1745">
        <v>69</v>
      </c>
      <c r="O1745" s="9">
        <v>0</v>
      </c>
      <c r="P1745">
        <v>2</v>
      </c>
      <c r="Q1745">
        <v>339</v>
      </c>
      <c r="R1745">
        <v>9</v>
      </c>
      <c r="S1745">
        <v>189</v>
      </c>
      <c r="T1745">
        <v>0</v>
      </c>
      <c r="U1745" s="3">
        <v>0.98190789473684215</v>
      </c>
      <c r="V1745" s="3">
        <v>0.98281249999999998</v>
      </c>
    </row>
    <row r="1746" spans="1:22" x14ac:dyDescent="0.25">
      <c r="A1746" s="2">
        <v>2017</v>
      </c>
      <c r="B1746" t="s">
        <v>52</v>
      </c>
      <c r="C1746" t="s">
        <v>53</v>
      </c>
      <c r="D1746" s="2">
        <v>12</v>
      </c>
      <c r="E1746" s="2">
        <v>119078</v>
      </c>
      <c r="F1746" t="s">
        <v>466</v>
      </c>
      <c r="G1746">
        <v>24</v>
      </c>
      <c r="H1746">
        <v>24</v>
      </c>
      <c r="I1746">
        <v>0</v>
      </c>
      <c r="J1746">
        <v>0</v>
      </c>
      <c r="K1746">
        <v>0</v>
      </c>
      <c r="L1746" s="6">
        <f t="shared" si="158"/>
        <v>1</v>
      </c>
      <c r="M1746">
        <v>402</v>
      </c>
      <c r="N1746">
        <v>45</v>
      </c>
      <c r="O1746" s="9">
        <v>0</v>
      </c>
      <c r="P1746">
        <v>0</v>
      </c>
      <c r="Q1746">
        <v>225</v>
      </c>
      <c r="R1746">
        <v>2</v>
      </c>
      <c r="S1746">
        <v>126</v>
      </c>
      <c r="T1746">
        <v>4</v>
      </c>
      <c r="U1746" s="3">
        <v>0.99502487562189057</v>
      </c>
      <c r="V1746" s="3">
        <v>0.99530516431924887</v>
      </c>
    </row>
    <row r="1747" spans="1:22" x14ac:dyDescent="0.25">
      <c r="A1747" s="2">
        <v>2017</v>
      </c>
      <c r="B1747" t="s">
        <v>52</v>
      </c>
      <c r="C1747" t="s">
        <v>53</v>
      </c>
      <c r="D1747" s="2">
        <v>13</v>
      </c>
      <c r="E1747" s="2">
        <v>119079</v>
      </c>
      <c r="F1747" t="s">
        <v>467</v>
      </c>
      <c r="G1747">
        <v>14</v>
      </c>
      <c r="H1747">
        <v>14</v>
      </c>
      <c r="I1747">
        <v>0</v>
      </c>
      <c r="J1747">
        <v>0</v>
      </c>
      <c r="K1747">
        <v>0</v>
      </c>
      <c r="L1747" s="6">
        <f t="shared" si="158"/>
        <v>1</v>
      </c>
      <c r="M1747">
        <v>148</v>
      </c>
      <c r="N1747">
        <v>18</v>
      </c>
      <c r="O1747" s="9">
        <v>0</v>
      </c>
      <c r="P1747">
        <v>0</v>
      </c>
      <c r="Q1747">
        <v>84</v>
      </c>
      <c r="R1747">
        <v>0</v>
      </c>
      <c r="S1747">
        <v>45</v>
      </c>
      <c r="T1747">
        <v>1</v>
      </c>
      <c r="U1747" s="3">
        <v>1</v>
      </c>
      <c r="V1747" s="3">
        <v>1</v>
      </c>
    </row>
    <row r="1748" spans="1:22" x14ac:dyDescent="0.25">
      <c r="A1748" s="2">
        <v>2017</v>
      </c>
      <c r="B1748" t="s">
        <v>52</v>
      </c>
      <c r="C1748" t="s">
        <v>53</v>
      </c>
      <c r="D1748" s="2">
        <v>14</v>
      </c>
      <c r="E1748" s="2">
        <v>119080</v>
      </c>
      <c r="F1748" t="s">
        <v>468</v>
      </c>
      <c r="G1748">
        <v>30</v>
      </c>
      <c r="H1748">
        <v>30</v>
      </c>
      <c r="I1748">
        <v>0</v>
      </c>
      <c r="J1748">
        <v>0</v>
      </c>
      <c r="K1748">
        <v>0</v>
      </c>
      <c r="L1748" s="6">
        <f t="shared" si="158"/>
        <v>1</v>
      </c>
      <c r="M1748">
        <v>442</v>
      </c>
      <c r="N1748">
        <v>60</v>
      </c>
      <c r="O1748" s="9">
        <v>0</v>
      </c>
      <c r="P1748">
        <v>0</v>
      </c>
      <c r="Q1748">
        <v>249</v>
      </c>
      <c r="R1748">
        <v>2</v>
      </c>
      <c r="S1748">
        <v>129</v>
      </c>
      <c r="T1748">
        <v>2</v>
      </c>
      <c r="U1748" s="3">
        <v>0.99547511312217196</v>
      </c>
      <c r="V1748" s="3">
        <v>0.99576271186440679</v>
      </c>
    </row>
    <row r="1749" spans="1:22" x14ac:dyDescent="0.25">
      <c r="A1749" s="2">
        <v>2017</v>
      </c>
      <c r="B1749" t="s">
        <v>54</v>
      </c>
      <c r="C1749" t="s">
        <v>53</v>
      </c>
      <c r="D1749" s="2">
        <v>1</v>
      </c>
      <c r="E1749" s="2">
        <v>119070</v>
      </c>
      <c r="F1749" t="s">
        <v>453</v>
      </c>
      <c r="G1749">
        <v>3</v>
      </c>
      <c r="H1749">
        <v>3</v>
      </c>
      <c r="I1749">
        <v>0</v>
      </c>
      <c r="J1749">
        <v>0</v>
      </c>
      <c r="K1749">
        <v>0</v>
      </c>
      <c r="L1749" s="6">
        <f t="shared" si="158"/>
        <v>1</v>
      </c>
      <c r="M1749">
        <v>51</v>
      </c>
      <c r="N1749">
        <v>8</v>
      </c>
      <c r="O1749" s="9">
        <v>0</v>
      </c>
      <c r="P1749">
        <v>0</v>
      </c>
      <c r="Q1749">
        <v>34</v>
      </c>
      <c r="R1749">
        <v>0</v>
      </c>
      <c r="S1749">
        <v>9</v>
      </c>
      <c r="T1749">
        <v>0</v>
      </c>
      <c r="U1749" s="3">
        <v>1</v>
      </c>
      <c r="V1749" s="3">
        <v>1</v>
      </c>
    </row>
    <row r="1750" spans="1:22" x14ac:dyDescent="0.25">
      <c r="A1750" s="2">
        <v>2017</v>
      </c>
      <c r="B1750" t="s">
        <v>54</v>
      </c>
      <c r="C1750" t="s">
        <v>53</v>
      </c>
      <c r="D1750" s="2">
        <v>3</v>
      </c>
      <c r="E1750" s="2">
        <v>119071</v>
      </c>
      <c r="F1750" t="s">
        <v>454</v>
      </c>
      <c r="G1750">
        <v>11</v>
      </c>
      <c r="H1750">
        <v>11</v>
      </c>
      <c r="I1750">
        <v>0</v>
      </c>
      <c r="J1750">
        <v>0</v>
      </c>
      <c r="K1750">
        <v>0</v>
      </c>
      <c r="L1750" s="6">
        <f t="shared" si="158"/>
        <v>1</v>
      </c>
      <c r="M1750">
        <v>288</v>
      </c>
      <c r="N1750">
        <v>34</v>
      </c>
      <c r="O1750" s="9">
        <v>0</v>
      </c>
      <c r="P1750">
        <v>3</v>
      </c>
      <c r="Q1750">
        <v>168</v>
      </c>
      <c r="R1750">
        <v>4</v>
      </c>
      <c r="S1750">
        <v>77</v>
      </c>
      <c r="T1750">
        <v>2</v>
      </c>
      <c r="U1750" s="3">
        <v>0.97569444444444442</v>
      </c>
      <c r="V1750" s="3">
        <v>0.97658862876254182</v>
      </c>
    </row>
    <row r="1751" spans="1:22" x14ac:dyDescent="0.25">
      <c r="A1751" s="2">
        <v>2017</v>
      </c>
      <c r="B1751" t="s">
        <v>54</v>
      </c>
      <c r="C1751" t="s">
        <v>53</v>
      </c>
      <c r="D1751" s="2">
        <v>4</v>
      </c>
      <c r="E1751" s="2">
        <v>119072</v>
      </c>
      <c r="F1751" t="s">
        <v>455</v>
      </c>
      <c r="G1751">
        <v>1</v>
      </c>
      <c r="H1751">
        <v>1</v>
      </c>
      <c r="I1751">
        <v>0</v>
      </c>
      <c r="J1751">
        <v>0</v>
      </c>
      <c r="K1751">
        <v>0</v>
      </c>
      <c r="L1751" s="6">
        <f t="shared" si="158"/>
        <v>1</v>
      </c>
      <c r="M1751">
        <v>26</v>
      </c>
      <c r="N1751">
        <v>3</v>
      </c>
      <c r="O1751" s="9">
        <v>0</v>
      </c>
      <c r="P1751">
        <v>0</v>
      </c>
      <c r="Q1751">
        <v>15</v>
      </c>
      <c r="R1751">
        <v>0</v>
      </c>
      <c r="S1751">
        <v>8</v>
      </c>
      <c r="T1751">
        <v>0</v>
      </c>
      <c r="U1751" s="3">
        <v>1</v>
      </c>
      <c r="V1751" s="3">
        <v>1</v>
      </c>
    </row>
    <row r="1752" spans="1:22" x14ac:dyDescent="0.25">
      <c r="A1752" s="2">
        <v>2017</v>
      </c>
      <c r="B1752" t="s">
        <v>54</v>
      </c>
      <c r="C1752" t="s">
        <v>53</v>
      </c>
      <c r="D1752" s="2">
        <v>5</v>
      </c>
      <c r="E1752" s="2">
        <v>120247</v>
      </c>
      <c r="F1752" t="s">
        <v>456</v>
      </c>
      <c r="G1752">
        <v>6</v>
      </c>
      <c r="H1752">
        <v>6</v>
      </c>
      <c r="I1752">
        <v>0</v>
      </c>
      <c r="J1752">
        <v>0</v>
      </c>
      <c r="K1752">
        <v>0</v>
      </c>
      <c r="L1752" s="6">
        <f t="shared" si="158"/>
        <v>1</v>
      </c>
      <c r="M1752">
        <v>33</v>
      </c>
      <c r="N1752">
        <v>7</v>
      </c>
      <c r="O1752" s="9">
        <v>0</v>
      </c>
      <c r="P1752">
        <v>0</v>
      </c>
      <c r="Q1752">
        <v>14</v>
      </c>
      <c r="R1752">
        <v>0</v>
      </c>
      <c r="S1752">
        <v>12</v>
      </c>
      <c r="T1752">
        <v>0</v>
      </c>
      <c r="U1752" s="3">
        <v>1</v>
      </c>
      <c r="V1752" s="3">
        <v>1</v>
      </c>
    </row>
    <row r="1753" spans="1:22" x14ac:dyDescent="0.25">
      <c r="A1753" s="2">
        <v>2017</v>
      </c>
      <c r="B1753" t="s">
        <v>54</v>
      </c>
      <c r="C1753" t="s">
        <v>53</v>
      </c>
      <c r="D1753" s="2">
        <v>6</v>
      </c>
      <c r="E1753" s="2">
        <v>119074</v>
      </c>
      <c r="F1753" t="s">
        <v>457</v>
      </c>
      <c r="G1753">
        <v>1</v>
      </c>
      <c r="H1753">
        <v>1</v>
      </c>
      <c r="I1753">
        <v>0</v>
      </c>
      <c r="J1753">
        <v>0</v>
      </c>
      <c r="K1753">
        <v>0</v>
      </c>
      <c r="L1753" s="6">
        <f t="shared" si="158"/>
        <v>1</v>
      </c>
      <c r="M1753">
        <v>21</v>
      </c>
      <c r="N1753">
        <v>5</v>
      </c>
      <c r="O1753" s="9">
        <v>0</v>
      </c>
      <c r="P1753">
        <v>0</v>
      </c>
      <c r="Q1753">
        <v>12</v>
      </c>
      <c r="R1753">
        <v>0</v>
      </c>
      <c r="S1753">
        <v>4</v>
      </c>
      <c r="T1753">
        <v>0</v>
      </c>
      <c r="U1753" s="3">
        <v>1</v>
      </c>
      <c r="V1753" s="3">
        <v>1</v>
      </c>
    </row>
    <row r="1754" spans="1:22" x14ac:dyDescent="0.25">
      <c r="A1754" s="2">
        <v>2017</v>
      </c>
      <c r="B1754" t="s">
        <v>54</v>
      </c>
      <c r="C1754" t="s">
        <v>53</v>
      </c>
      <c r="D1754" s="2">
        <v>8</v>
      </c>
      <c r="E1754" s="2">
        <v>119240</v>
      </c>
      <c r="F1754" t="s">
        <v>459</v>
      </c>
      <c r="G1754">
        <v>1</v>
      </c>
      <c r="H1754">
        <v>1</v>
      </c>
      <c r="I1754">
        <v>0</v>
      </c>
      <c r="J1754">
        <v>0</v>
      </c>
      <c r="K1754">
        <v>0</v>
      </c>
      <c r="L1754" s="6">
        <f t="shared" si="158"/>
        <v>1</v>
      </c>
      <c r="M1754">
        <v>78</v>
      </c>
      <c r="N1754">
        <v>6</v>
      </c>
      <c r="O1754" s="9">
        <v>0</v>
      </c>
      <c r="P1754">
        <v>0</v>
      </c>
      <c r="Q1754">
        <v>47</v>
      </c>
      <c r="R1754">
        <v>0</v>
      </c>
      <c r="S1754">
        <v>25</v>
      </c>
      <c r="T1754">
        <v>0</v>
      </c>
      <c r="U1754" s="3">
        <v>1</v>
      </c>
      <c r="V1754" s="3">
        <v>1</v>
      </c>
    </row>
    <row r="1755" spans="1:22" x14ac:dyDescent="0.25">
      <c r="A1755" s="2">
        <v>2017</v>
      </c>
      <c r="B1755" t="s">
        <v>54</v>
      </c>
      <c r="C1755" t="s">
        <v>53</v>
      </c>
      <c r="D1755" s="2">
        <v>19</v>
      </c>
      <c r="E1755" s="2">
        <v>119540</v>
      </c>
      <c r="F1755" t="s">
        <v>469</v>
      </c>
      <c r="G1755">
        <v>0</v>
      </c>
      <c r="H1755">
        <v>0</v>
      </c>
      <c r="I1755">
        <v>0</v>
      </c>
      <c r="J1755">
        <v>0</v>
      </c>
      <c r="K1755">
        <v>0</v>
      </c>
      <c r="L1755" s="6">
        <f t="shared" si="158"/>
        <v>0</v>
      </c>
      <c r="M1755">
        <v>1</v>
      </c>
      <c r="N1755">
        <v>1</v>
      </c>
      <c r="O1755" s="9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 s="3">
        <v>1</v>
      </c>
      <c r="V1755" s="3">
        <v>1</v>
      </c>
    </row>
    <row r="1756" spans="1:22" x14ac:dyDescent="0.25">
      <c r="A1756" s="2">
        <v>2017</v>
      </c>
      <c r="B1756" t="s">
        <v>54</v>
      </c>
      <c r="C1756" t="s">
        <v>53</v>
      </c>
      <c r="D1756" s="2">
        <v>22</v>
      </c>
      <c r="E1756" s="2">
        <v>122833</v>
      </c>
      <c r="F1756" t="s">
        <v>460</v>
      </c>
      <c r="G1756">
        <v>11</v>
      </c>
      <c r="H1756">
        <v>11</v>
      </c>
      <c r="I1756">
        <v>0</v>
      </c>
      <c r="J1756">
        <v>0</v>
      </c>
      <c r="K1756">
        <v>0</v>
      </c>
      <c r="L1756" s="6">
        <f t="shared" si="158"/>
        <v>1</v>
      </c>
      <c r="M1756">
        <v>224</v>
      </c>
      <c r="N1756">
        <v>26</v>
      </c>
      <c r="O1756" s="9">
        <v>0</v>
      </c>
      <c r="P1756">
        <v>0</v>
      </c>
      <c r="Q1756">
        <v>125</v>
      </c>
      <c r="R1756">
        <v>0</v>
      </c>
      <c r="S1756">
        <v>73</v>
      </c>
      <c r="T1756">
        <v>0</v>
      </c>
      <c r="U1756" s="3">
        <v>1</v>
      </c>
      <c r="V1756" s="3">
        <v>1</v>
      </c>
    </row>
    <row r="1757" spans="1:22" x14ac:dyDescent="0.25">
      <c r="A1757" s="2">
        <v>2017</v>
      </c>
      <c r="B1757" t="s">
        <v>54</v>
      </c>
      <c r="C1757" t="s">
        <v>53</v>
      </c>
      <c r="D1757" s="2">
        <v>20</v>
      </c>
      <c r="E1757" s="2">
        <v>121530</v>
      </c>
      <c r="F1757" t="s">
        <v>461</v>
      </c>
      <c r="G1757">
        <v>16</v>
      </c>
      <c r="H1757">
        <v>16</v>
      </c>
      <c r="I1757">
        <v>0</v>
      </c>
      <c r="J1757">
        <v>0</v>
      </c>
      <c r="K1757">
        <v>0</v>
      </c>
      <c r="L1757" s="6">
        <f t="shared" si="158"/>
        <v>1</v>
      </c>
      <c r="M1757">
        <v>267</v>
      </c>
      <c r="N1757">
        <v>45</v>
      </c>
      <c r="O1757" s="9">
        <v>0</v>
      </c>
      <c r="P1757">
        <v>1</v>
      </c>
      <c r="Q1757">
        <v>139</v>
      </c>
      <c r="R1757">
        <v>0</v>
      </c>
      <c r="S1757">
        <v>82</v>
      </c>
      <c r="T1757">
        <v>0</v>
      </c>
      <c r="U1757" s="3">
        <v>0.99625468164794007</v>
      </c>
      <c r="V1757" s="3">
        <v>0.99646643109540634</v>
      </c>
    </row>
    <row r="1758" spans="1:22" x14ac:dyDescent="0.25">
      <c r="A1758" s="2">
        <v>2017</v>
      </c>
      <c r="B1758" t="s">
        <v>54</v>
      </c>
      <c r="C1758" t="s">
        <v>53</v>
      </c>
      <c r="D1758" s="2">
        <v>9</v>
      </c>
      <c r="E1758" s="2">
        <v>119075</v>
      </c>
      <c r="F1758" t="s">
        <v>462</v>
      </c>
      <c r="G1758">
        <v>6</v>
      </c>
      <c r="H1758">
        <v>6</v>
      </c>
      <c r="I1758">
        <v>0</v>
      </c>
      <c r="J1758">
        <v>0</v>
      </c>
      <c r="K1758">
        <v>0</v>
      </c>
      <c r="L1758" s="6">
        <f t="shared" si="158"/>
        <v>1</v>
      </c>
      <c r="M1758">
        <v>150</v>
      </c>
      <c r="N1758">
        <v>18</v>
      </c>
      <c r="O1758" s="9">
        <v>0</v>
      </c>
      <c r="P1758">
        <v>0</v>
      </c>
      <c r="Q1758">
        <v>90</v>
      </c>
      <c r="R1758">
        <v>0</v>
      </c>
      <c r="S1758">
        <v>42</v>
      </c>
      <c r="T1758">
        <v>0</v>
      </c>
      <c r="U1758" s="3">
        <v>1</v>
      </c>
      <c r="V1758" s="3">
        <v>1</v>
      </c>
    </row>
    <row r="1759" spans="1:22" x14ac:dyDescent="0.25">
      <c r="A1759" s="2">
        <v>2017</v>
      </c>
      <c r="B1759" t="s">
        <v>54</v>
      </c>
      <c r="C1759" t="s">
        <v>53</v>
      </c>
      <c r="D1759" s="2">
        <v>23</v>
      </c>
      <c r="E1759" s="2">
        <v>123212</v>
      </c>
      <c r="F1759" t="s">
        <v>55</v>
      </c>
      <c r="G1759">
        <v>8</v>
      </c>
      <c r="H1759">
        <v>8</v>
      </c>
      <c r="I1759">
        <v>0</v>
      </c>
      <c r="J1759">
        <v>0</v>
      </c>
      <c r="K1759">
        <v>0</v>
      </c>
      <c r="L1759" s="6">
        <f t="shared" si="158"/>
        <v>1</v>
      </c>
      <c r="M1759">
        <v>110</v>
      </c>
      <c r="N1759">
        <v>17</v>
      </c>
      <c r="O1759" s="9">
        <v>0</v>
      </c>
      <c r="P1759">
        <v>0</v>
      </c>
      <c r="Q1759">
        <v>58</v>
      </c>
      <c r="R1759">
        <v>0</v>
      </c>
      <c r="S1759">
        <v>35</v>
      </c>
      <c r="T1759">
        <v>0</v>
      </c>
      <c r="U1759" s="3">
        <v>1</v>
      </c>
      <c r="V1759" s="3">
        <v>1</v>
      </c>
    </row>
    <row r="1760" spans="1:22" x14ac:dyDescent="0.25">
      <c r="A1760" s="2">
        <v>2017</v>
      </c>
      <c r="B1760" t="s">
        <v>54</v>
      </c>
      <c r="C1760" t="s">
        <v>53</v>
      </c>
      <c r="D1760" s="2">
        <v>15</v>
      </c>
      <c r="E1760" s="2">
        <v>119528</v>
      </c>
      <c r="F1760" t="s">
        <v>463</v>
      </c>
      <c r="G1760">
        <v>1</v>
      </c>
      <c r="H1760">
        <v>1</v>
      </c>
      <c r="I1760">
        <v>0</v>
      </c>
      <c r="J1760">
        <v>0</v>
      </c>
      <c r="K1760">
        <v>0</v>
      </c>
      <c r="L1760" s="6">
        <f t="shared" si="158"/>
        <v>1</v>
      </c>
      <c r="M1760">
        <v>11</v>
      </c>
      <c r="N1760">
        <v>1</v>
      </c>
      <c r="O1760" s="9">
        <v>0</v>
      </c>
      <c r="P1760">
        <v>0</v>
      </c>
      <c r="Q1760">
        <v>4</v>
      </c>
      <c r="R1760">
        <v>0</v>
      </c>
      <c r="S1760">
        <v>6</v>
      </c>
      <c r="T1760">
        <v>0</v>
      </c>
      <c r="U1760" s="3">
        <v>1</v>
      </c>
      <c r="V1760" s="3">
        <v>1</v>
      </c>
    </row>
    <row r="1761" spans="1:22" x14ac:dyDescent="0.25">
      <c r="A1761" s="2">
        <v>2017</v>
      </c>
      <c r="B1761" t="s">
        <v>54</v>
      </c>
      <c r="C1761" t="s">
        <v>53</v>
      </c>
      <c r="D1761" s="2">
        <v>21</v>
      </c>
      <c r="E1761" s="2">
        <v>122215</v>
      </c>
      <c r="F1761" t="s">
        <v>329</v>
      </c>
      <c r="G1761">
        <v>12</v>
      </c>
      <c r="H1761">
        <v>12</v>
      </c>
      <c r="I1761">
        <v>0</v>
      </c>
      <c r="J1761">
        <v>0</v>
      </c>
      <c r="K1761">
        <v>0</v>
      </c>
      <c r="L1761" s="6">
        <f t="shared" si="158"/>
        <v>1</v>
      </c>
      <c r="M1761">
        <v>227</v>
      </c>
      <c r="N1761">
        <v>30</v>
      </c>
      <c r="O1761" s="9">
        <v>0</v>
      </c>
      <c r="P1761">
        <v>0</v>
      </c>
      <c r="Q1761">
        <v>139</v>
      </c>
      <c r="R1761">
        <v>0</v>
      </c>
      <c r="S1761">
        <v>57</v>
      </c>
      <c r="T1761">
        <v>1</v>
      </c>
      <c r="U1761" s="3">
        <v>1</v>
      </c>
      <c r="V1761" s="3">
        <v>1</v>
      </c>
    </row>
    <row r="1762" spans="1:22" x14ac:dyDescent="0.25">
      <c r="A1762" s="2">
        <v>2017</v>
      </c>
      <c r="B1762" t="s">
        <v>54</v>
      </c>
      <c r="C1762" t="s">
        <v>53</v>
      </c>
      <c r="D1762" s="2">
        <v>10</v>
      </c>
      <c r="E1762" s="2">
        <v>119076</v>
      </c>
      <c r="F1762" t="s">
        <v>464</v>
      </c>
      <c r="G1762">
        <v>34</v>
      </c>
      <c r="H1762">
        <v>34</v>
      </c>
      <c r="I1762">
        <v>0</v>
      </c>
      <c r="J1762">
        <v>0</v>
      </c>
      <c r="K1762">
        <v>0</v>
      </c>
      <c r="L1762" s="6">
        <f t="shared" si="158"/>
        <v>1</v>
      </c>
      <c r="M1762">
        <v>571</v>
      </c>
      <c r="N1762">
        <v>54</v>
      </c>
      <c r="O1762" s="9">
        <v>0</v>
      </c>
      <c r="P1762">
        <v>1</v>
      </c>
      <c r="Q1762">
        <v>334</v>
      </c>
      <c r="R1762">
        <v>1</v>
      </c>
      <c r="S1762">
        <v>179</v>
      </c>
      <c r="T1762">
        <v>2</v>
      </c>
      <c r="U1762" s="3">
        <v>0.99649737302977237</v>
      </c>
      <c r="V1762" s="3">
        <v>0.99669421487603305</v>
      </c>
    </row>
    <row r="1763" spans="1:22" x14ac:dyDescent="0.25">
      <c r="A1763" s="2">
        <v>2017</v>
      </c>
      <c r="B1763" t="s">
        <v>54</v>
      </c>
      <c r="C1763" t="s">
        <v>53</v>
      </c>
      <c r="D1763" s="2">
        <v>11</v>
      </c>
      <c r="E1763" s="2">
        <v>119077</v>
      </c>
      <c r="F1763" t="s">
        <v>465</v>
      </c>
      <c r="G1763">
        <v>34</v>
      </c>
      <c r="H1763">
        <v>34</v>
      </c>
      <c r="I1763">
        <v>0</v>
      </c>
      <c r="J1763">
        <v>0</v>
      </c>
      <c r="K1763">
        <v>0</v>
      </c>
      <c r="L1763" s="6">
        <f t="shared" si="158"/>
        <v>1</v>
      </c>
      <c r="M1763">
        <v>555</v>
      </c>
      <c r="N1763">
        <v>50</v>
      </c>
      <c r="O1763" s="9">
        <v>0</v>
      </c>
      <c r="P1763">
        <v>1</v>
      </c>
      <c r="Q1763">
        <v>352</v>
      </c>
      <c r="R1763">
        <v>12</v>
      </c>
      <c r="S1763">
        <v>140</v>
      </c>
      <c r="T1763">
        <v>0</v>
      </c>
      <c r="U1763" s="3">
        <v>0.97657657657657659</v>
      </c>
      <c r="V1763" s="3">
        <v>0.97792869269949068</v>
      </c>
    </row>
    <row r="1764" spans="1:22" x14ac:dyDescent="0.25">
      <c r="A1764" s="2">
        <v>2017</v>
      </c>
      <c r="B1764" t="s">
        <v>54</v>
      </c>
      <c r="C1764" t="s">
        <v>53</v>
      </c>
      <c r="D1764" s="2">
        <v>12</v>
      </c>
      <c r="E1764" s="2">
        <v>119078</v>
      </c>
      <c r="F1764" t="s">
        <v>466</v>
      </c>
      <c r="G1764">
        <v>19</v>
      </c>
      <c r="H1764">
        <v>19</v>
      </c>
      <c r="I1764">
        <v>0</v>
      </c>
      <c r="J1764">
        <v>0</v>
      </c>
      <c r="K1764">
        <v>0</v>
      </c>
      <c r="L1764" s="6">
        <f t="shared" si="158"/>
        <v>1</v>
      </c>
      <c r="M1764">
        <v>443</v>
      </c>
      <c r="N1764">
        <v>63</v>
      </c>
      <c r="O1764" s="9">
        <v>0</v>
      </c>
      <c r="P1764">
        <v>1</v>
      </c>
      <c r="Q1764">
        <v>231</v>
      </c>
      <c r="R1764">
        <v>1</v>
      </c>
      <c r="S1764">
        <v>147</v>
      </c>
      <c r="T1764">
        <v>0</v>
      </c>
      <c r="U1764" s="3">
        <v>0.99548532731376971</v>
      </c>
      <c r="V1764" s="3">
        <v>0.99567099567099571</v>
      </c>
    </row>
    <row r="1765" spans="1:22" x14ac:dyDescent="0.25">
      <c r="A1765" s="2">
        <v>2017</v>
      </c>
      <c r="B1765" t="s">
        <v>54</v>
      </c>
      <c r="C1765" t="s">
        <v>53</v>
      </c>
      <c r="D1765" s="2">
        <v>13</v>
      </c>
      <c r="E1765" s="2">
        <v>119079</v>
      </c>
      <c r="F1765" t="s">
        <v>467</v>
      </c>
      <c r="G1765">
        <v>8</v>
      </c>
      <c r="H1765">
        <v>8</v>
      </c>
      <c r="I1765">
        <v>0</v>
      </c>
      <c r="J1765">
        <v>0</v>
      </c>
      <c r="K1765">
        <v>0</v>
      </c>
      <c r="L1765" s="6">
        <f t="shared" si="158"/>
        <v>1</v>
      </c>
      <c r="M1765">
        <v>150</v>
      </c>
      <c r="N1765">
        <v>12</v>
      </c>
      <c r="O1765" s="9">
        <v>0</v>
      </c>
      <c r="P1765">
        <v>0</v>
      </c>
      <c r="Q1765">
        <v>82</v>
      </c>
      <c r="R1765">
        <v>0</v>
      </c>
      <c r="S1765">
        <v>56</v>
      </c>
      <c r="T1765">
        <v>0</v>
      </c>
      <c r="U1765" s="3">
        <v>1</v>
      </c>
      <c r="V1765" s="3">
        <v>1</v>
      </c>
    </row>
    <row r="1766" spans="1:22" x14ac:dyDescent="0.25">
      <c r="A1766" s="2">
        <v>2017</v>
      </c>
      <c r="B1766" t="s">
        <v>54</v>
      </c>
      <c r="C1766" t="s">
        <v>53</v>
      </c>
      <c r="D1766" s="2">
        <v>14</v>
      </c>
      <c r="E1766" s="2">
        <v>119080</v>
      </c>
      <c r="F1766" t="s">
        <v>468</v>
      </c>
      <c r="G1766">
        <v>15</v>
      </c>
      <c r="H1766">
        <v>15</v>
      </c>
      <c r="I1766">
        <v>0</v>
      </c>
      <c r="J1766">
        <v>0</v>
      </c>
      <c r="K1766">
        <v>0</v>
      </c>
      <c r="L1766" s="6">
        <f t="shared" si="158"/>
        <v>1</v>
      </c>
      <c r="M1766">
        <v>309</v>
      </c>
      <c r="N1766">
        <v>32</v>
      </c>
      <c r="O1766" s="9">
        <v>0</v>
      </c>
      <c r="P1766">
        <v>0</v>
      </c>
      <c r="Q1766">
        <v>177</v>
      </c>
      <c r="R1766">
        <v>0</v>
      </c>
      <c r="S1766">
        <v>99</v>
      </c>
      <c r="T1766">
        <v>1</v>
      </c>
      <c r="U1766" s="3">
        <v>1</v>
      </c>
      <c r="V1766" s="3">
        <v>1</v>
      </c>
    </row>
    <row r="1767" spans="1:22" x14ac:dyDescent="0.25">
      <c r="A1767" s="2">
        <v>2017</v>
      </c>
      <c r="B1767" t="s">
        <v>56</v>
      </c>
      <c r="C1767" t="s">
        <v>53</v>
      </c>
      <c r="D1767" s="2">
        <v>1</v>
      </c>
      <c r="E1767" s="2">
        <v>119070</v>
      </c>
      <c r="F1767" t="s">
        <v>453</v>
      </c>
      <c r="G1767">
        <v>0</v>
      </c>
      <c r="H1767">
        <v>0</v>
      </c>
      <c r="I1767">
        <v>0</v>
      </c>
      <c r="J1767">
        <v>0</v>
      </c>
      <c r="K1767">
        <v>0</v>
      </c>
      <c r="L1767" s="6">
        <f t="shared" si="158"/>
        <v>0</v>
      </c>
      <c r="M1767">
        <v>41</v>
      </c>
      <c r="N1767">
        <v>6</v>
      </c>
      <c r="O1767" s="9">
        <v>0</v>
      </c>
      <c r="P1767">
        <v>0</v>
      </c>
      <c r="Q1767">
        <v>28</v>
      </c>
      <c r="R1767">
        <v>0</v>
      </c>
      <c r="S1767">
        <v>7</v>
      </c>
      <c r="T1767">
        <v>0</v>
      </c>
      <c r="U1767" s="3">
        <v>1</v>
      </c>
      <c r="V1767" s="3">
        <v>1</v>
      </c>
    </row>
    <row r="1768" spans="1:22" x14ac:dyDescent="0.25">
      <c r="A1768" s="2">
        <v>2017</v>
      </c>
      <c r="B1768" t="s">
        <v>56</v>
      </c>
      <c r="C1768" t="s">
        <v>53</v>
      </c>
      <c r="D1768" s="2">
        <v>3</v>
      </c>
      <c r="E1768" s="2">
        <v>119071</v>
      </c>
      <c r="F1768" t="s">
        <v>454</v>
      </c>
      <c r="G1768">
        <v>26</v>
      </c>
      <c r="H1768">
        <v>26</v>
      </c>
      <c r="I1768">
        <v>0</v>
      </c>
      <c r="J1768">
        <v>0</v>
      </c>
      <c r="K1768">
        <v>0</v>
      </c>
      <c r="L1768" s="6">
        <f t="shared" si="158"/>
        <v>1</v>
      </c>
      <c r="M1768">
        <v>473</v>
      </c>
      <c r="N1768">
        <v>64</v>
      </c>
      <c r="O1768" s="9">
        <v>0</v>
      </c>
      <c r="P1768">
        <v>1</v>
      </c>
      <c r="Q1768">
        <v>285</v>
      </c>
      <c r="R1768">
        <v>2</v>
      </c>
      <c r="S1768">
        <v>121</v>
      </c>
      <c r="T1768">
        <v>0</v>
      </c>
      <c r="U1768" s="3">
        <v>0.9936575052854123</v>
      </c>
      <c r="V1768" s="3">
        <v>0.9939879759519038</v>
      </c>
    </row>
    <row r="1769" spans="1:22" x14ac:dyDescent="0.25">
      <c r="A1769" s="2">
        <v>2017</v>
      </c>
      <c r="B1769" t="s">
        <v>56</v>
      </c>
      <c r="C1769" t="s">
        <v>53</v>
      </c>
      <c r="D1769" s="2">
        <v>4</v>
      </c>
      <c r="E1769" s="2">
        <v>119072</v>
      </c>
      <c r="F1769" t="s">
        <v>455</v>
      </c>
      <c r="G1769">
        <v>2</v>
      </c>
      <c r="H1769">
        <v>2</v>
      </c>
      <c r="I1769">
        <v>0</v>
      </c>
      <c r="J1769">
        <v>0</v>
      </c>
      <c r="K1769">
        <v>0</v>
      </c>
      <c r="L1769" s="6">
        <f t="shared" si="158"/>
        <v>1</v>
      </c>
      <c r="M1769">
        <v>22</v>
      </c>
      <c r="N1769">
        <v>3</v>
      </c>
      <c r="O1769" s="9">
        <v>0</v>
      </c>
      <c r="P1769">
        <v>0</v>
      </c>
      <c r="Q1769">
        <v>13</v>
      </c>
      <c r="R1769">
        <v>0</v>
      </c>
      <c r="S1769">
        <v>6</v>
      </c>
      <c r="T1769">
        <v>0</v>
      </c>
      <c r="U1769" s="3">
        <v>1</v>
      </c>
      <c r="V1769" s="3">
        <v>1</v>
      </c>
    </row>
    <row r="1770" spans="1:22" x14ac:dyDescent="0.25">
      <c r="A1770" s="2">
        <v>2017</v>
      </c>
      <c r="B1770" t="s">
        <v>56</v>
      </c>
      <c r="C1770" t="s">
        <v>53</v>
      </c>
      <c r="D1770" s="2">
        <v>5</v>
      </c>
      <c r="E1770" s="2">
        <v>120247</v>
      </c>
      <c r="F1770" t="s">
        <v>456</v>
      </c>
      <c r="G1770">
        <v>2</v>
      </c>
      <c r="H1770">
        <v>2</v>
      </c>
      <c r="I1770">
        <v>0</v>
      </c>
      <c r="J1770">
        <v>0</v>
      </c>
      <c r="K1770">
        <v>0</v>
      </c>
      <c r="L1770" s="6">
        <f t="shared" si="158"/>
        <v>1</v>
      </c>
      <c r="M1770">
        <v>21</v>
      </c>
      <c r="N1770">
        <v>5</v>
      </c>
      <c r="O1770" s="9">
        <v>0</v>
      </c>
      <c r="P1770">
        <v>0</v>
      </c>
      <c r="Q1770">
        <v>11</v>
      </c>
      <c r="R1770">
        <v>0</v>
      </c>
      <c r="S1770">
        <v>5</v>
      </c>
      <c r="T1770">
        <v>0</v>
      </c>
      <c r="U1770" s="3">
        <v>1</v>
      </c>
      <c r="V1770" s="3">
        <v>1</v>
      </c>
    </row>
    <row r="1771" spans="1:22" x14ac:dyDescent="0.25">
      <c r="A1771" s="2">
        <v>2017</v>
      </c>
      <c r="B1771" t="s">
        <v>56</v>
      </c>
      <c r="C1771" t="s">
        <v>53</v>
      </c>
      <c r="D1771" s="2">
        <v>6</v>
      </c>
      <c r="E1771" s="2">
        <v>119074</v>
      </c>
      <c r="F1771" t="s">
        <v>457</v>
      </c>
      <c r="G1771">
        <v>0</v>
      </c>
      <c r="H1771">
        <v>0</v>
      </c>
      <c r="I1771">
        <v>0</v>
      </c>
      <c r="J1771">
        <v>0</v>
      </c>
      <c r="K1771">
        <v>0</v>
      </c>
      <c r="L1771" s="6">
        <f t="shared" si="158"/>
        <v>0</v>
      </c>
      <c r="M1771">
        <v>5</v>
      </c>
      <c r="N1771">
        <v>0</v>
      </c>
      <c r="O1771" s="9">
        <v>0</v>
      </c>
      <c r="P1771">
        <v>0</v>
      </c>
      <c r="Q1771">
        <v>2</v>
      </c>
      <c r="R1771">
        <v>0</v>
      </c>
      <c r="S1771">
        <v>3</v>
      </c>
      <c r="T1771">
        <v>0</v>
      </c>
      <c r="U1771" s="3">
        <v>1</v>
      </c>
      <c r="V1771" s="3">
        <v>1</v>
      </c>
    </row>
    <row r="1772" spans="1:22" x14ac:dyDescent="0.25">
      <c r="A1772" s="2">
        <v>2017</v>
      </c>
      <c r="B1772" t="s">
        <v>56</v>
      </c>
      <c r="C1772" t="s">
        <v>53</v>
      </c>
      <c r="D1772" s="2">
        <v>7</v>
      </c>
      <c r="E1772" s="2">
        <v>119073</v>
      </c>
      <c r="F1772" t="s">
        <v>458</v>
      </c>
      <c r="G1772">
        <v>1</v>
      </c>
      <c r="H1772">
        <v>1</v>
      </c>
      <c r="I1772">
        <v>0</v>
      </c>
      <c r="J1772">
        <v>0</v>
      </c>
      <c r="K1772">
        <v>0</v>
      </c>
      <c r="L1772" s="6">
        <f t="shared" si="158"/>
        <v>1</v>
      </c>
      <c r="M1772">
        <v>76</v>
      </c>
      <c r="N1772">
        <v>9</v>
      </c>
      <c r="O1772" s="9">
        <v>0</v>
      </c>
      <c r="P1772">
        <v>0</v>
      </c>
      <c r="Q1772">
        <v>41</v>
      </c>
      <c r="R1772">
        <v>0</v>
      </c>
      <c r="S1772">
        <v>24</v>
      </c>
      <c r="T1772">
        <v>2</v>
      </c>
      <c r="U1772" s="3">
        <v>1</v>
      </c>
      <c r="V1772" s="3">
        <v>1</v>
      </c>
    </row>
    <row r="1773" spans="1:22" x14ac:dyDescent="0.25">
      <c r="A1773" s="2">
        <v>2017</v>
      </c>
      <c r="B1773" t="s">
        <v>56</v>
      </c>
      <c r="C1773" t="s">
        <v>53</v>
      </c>
      <c r="D1773" s="2">
        <v>8</v>
      </c>
      <c r="E1773" s="2">
        <v>119240</v>
      </c>
      <c r="F1773" t="s">
        <v>459</v>
      </c>
      <c r="G1773">
        <v>0</v>
      </c>
      <c r="H1773">
        <v>0</v>
      </c>
      <c r="I1773">
        <v>0</v>
      </c>
      <c r="J1773">
        <v>0</v>
      </c>
      <c r="K1773">
        <v>0</v>
      </c>
      <c r="L1773" s="6">
        <f t="shared" si="158"/>
        <v>0</v>
      </c>
      <c r="M1773">
        <v>68</v>
      </c>
      <c r="N1773">
        <v>15</v>
      </c>
      <c r="O1773" s="9">
        <v>0</v>
      </c>
      <c r="P1773">
        <v>0</v>
      </c>
      <c r="Q1773">
        <v>30</v>
      </c>
      <c r="R1773">
        <v>0</v>
      </c>
      <c r="S1773">
        <v>23</v>
      </c>
      <c r="T1773">
        <v>0</v>
      </c>
      <c r="U1773" s="3">
        <v>1</v>
      </c>
      <c r="V1773" s="3">
        <v>1</v>
      </c>
    </row>
    <row r="1774" spans="1:22" x14ac:dyDescent="0.25">
      <c r="A1774" s="2">
        <v>2017</v>
      </c>
      <c r="B1774" t="s">
        <v>56</v>
      </c>
      <c r="C1774" t="s">
        <v>53</v>
      </c>
      <c r="D1774" s="2">
        <v>22</v>
      </c>
      <c r="E1774" s="2">
        <v>122833</v>
      </c>
      <c r="F1774" t="s">
        <v>460</v>
      </c>
      <c r="G1774">
        <v>9</v>
      </c>
      <c r="H1774">
        <v>9</v>
      </c>
      <c r="I1774">
        <v>0</v>
      </c>
      <c r="J1774">
        <v>0</v>
      </c>
      <c r="K1774">
        <v>0</v>
      </c>
      <c r="L1774" s="6">
        <f t="shared" si="158"/>
        <v>1</v>
      </c>
      <c r="M1774">
        <v>137</v>
      </c>
      <c r="N1774">
        <v>22</v>
      </c>
      <c r="O1774" s="9">
        <v>0</v>
      </c>
      <c r="P1774">
        <v>0</v>
      </c>
      <c r="Q1774">
        <v>75</v>
      </c>
      <c r="R1774">
        <v>0</v>
      </c>
      <c r="S1774">
        <v>40</v>
      </c>
      <c r="T1774">
        <v>0</v>
      </c>
      <c r="U1774" s="3">
        <v>1</v>
      </c>
      <c r="V1774" s="3">
        <v>1</v>
      </c>
    </row>
    <row r="1775" spans="1:22" x14ac:dyDescent="0.25">
      <c r="A1775" s="2">
        <v>2017</v>
      </c>
      <c r="B1775" t="s">
        <v>56</v>
      </c>
      <c r="C1775" t="s">
        <v>53</v>
      </c>
      <c r="D1775" s="2">
        <v>20</v>
      </c>
      <c r="E1775" s="2">
        <v>121530</v>
      </c>
      <c r="F1775" t="s">
        <v>461</v>
      </c>
      <c r="G1775">
        <v>21</v>
      </c>
      <c r="H1775">
        <v>21</v>
      </c>
      <c r="I1775">
        <v>0</v>
      </c>
      <c r="J1775">
        <v>0</v>
      </c>
      <c r="K1775">
        <v>0</v>
      </c>
      <c r="L1775" s="6">
        <f t="shared" si="158"/>
        <v>1</v>
      </c>
      <c r="M1775">
        <v>318</v>
      </c>
      <c r="N1775">
        <v>37</v>
      </c>
      <c r="O1775" s="9">
        <v>0</v>
      </c>
      <c r="P1775">
        <v>1</v>
      </c>
      <c r="Q1775">
        <v>189</v>
      </c>
      <c r="R1775">
        <v>0</v>
      </c>
      <c r="S1775">
        <v>91</v>
      </c>
      <c r="T1775">
        <v>0</v>
      </c>
      <c r="U1775" s="3">
        <v>0.99685534591194969</v>
      </c>
      <c r="V1775" s="3">
        <v>0.99705014749262533</v>
      </c>
    </row>
    <row r="1776" spans="1:22" x14ac:dyDescent="0.25">
      <c r="A1776" s="2">
        <v>2017</v>
      </c>
      <c r="B1776" t="s">
        <v>56</v>
      </c>
      <c r="C1776" t="s">
        <v>53</v>
      </c>
      <c r="D1776" s="2">
        <v>9</v>
      </c>
      <c r="E1776" s="2">
        <v>119075</v>
      </c>
      <c r="F1776" t="s">
        <v>462</v>
      </c>
      <c r="G1776">
        <v>11</v>
      </c>
      <c r="H1776">
        <v>11</v>
      </c>
      <c r="I1776">
        <v>0</v>
      </c>
      <c r="J1776">
        <v>0</v>
      </c>
      <c r="K1776">
        <v>0</v>
      </c>
      <c r="L1776" s="6">
        <f t="shared" si="158"/>
        <v>1</v>
      </c>
      <c r="M1776">
        <v>174</v>
      </c>
      <c r="N1776">
        <v>28</v>
      </c>
      <c r="O1776" s="9">
        <v>0</v>
      </c>
      <c r="P1776">
        <v>0</v>
      </c>
      <c r="Q1776">
        <v>97</v>
      </c>
      <c r="R1776">
        <v>0</v>
      </c>
      <c r="S1776">
        <v>49</v>
      </c>
      <c r="T1776">
        <v>0</v>
      </c>
      <c r="U1776" s="3">
        <v>1</v>
      </c>
      <c r="V1776" s="3">
        <v>1</v>
      </c>
    </row>
    <row r="1777" spans="1:22" x14ac:dyDescent="0.25">
      <c r="A1777" s="2">
        <v>2017</v>
      </c>
      <c r="B1777" t="s">
        <v>56</v>
      </c>
      <c r="C1777" t="s">
        <v>53</v>
      </c>
      <c r="D1777" s="2">
        <v>23</v>
      </c>
      <c r="E1777" s="2">
        <v>123212</v>
      </c>
      <c r="F1777" t="s">
        <v>55</v>
      </c>
      <c r="G1777">
        <v>2</v>
      </c>
      <c r="H1777">
        <v>2</v>
      </c>
      <c r="I1777">
        <v>0</v>
      </c>
      <c r="J1777">
        <v>0</v>
      </c>
      <c r="K1777">
        <v>0</v>
      </c>
      <c r="L1777" s="6">
        <f t="shared" si="158"/>
        <v>1</v>
      </c>
      <c r="M1777">
        <v>61</v>
      </c>
      <c r="N1777">
        <v>10</v>
      </c>
      <c r="O1777" s="9">
        <v>0</v>
      </c>
      <c r="P1777">
        <v>0</v>
      </c>
      <c r="Q1777">
        <v>39</v>
      </c>
      <c r="R1777">
        <v>0</v>
      </c>
      <c r="S1777">
        <v>12</v>
      </c>
      <c r="T1777">
        <v>0</v>
      </c>
      <c r="U1777" s="3">
        <v>1</v>
      </c>
      <c r="V1777" s="3">
        <v>1</v>
      </c>
    </row>
    <row r="1778" spans="1:22" x14ac:dyDescent="0.25">
      <c r="A1778" s="2">
        <v>2017</v>
      </c>
      <c r="B1778" t="s">
        <v>56</v>
      </c>
      <c r="C1778" t="s">
        <v>53</v>
      </c>
      <c r="D1778" s="2">
        <v>15</v>
      </c>
      <c r="E1778" s="2">
        <v>119528</v>
      </c>
      <c r="F1778" t="s">
        <v>463</v>
      </c>
      <c r="G1778">
        <v>1</v>
      </c>
      <c r="H1778">
        <v>1</v>
      </c>
      <c r="I1778">
        <v>0</v>
      </c>
      <c r="J1778">
        <v>0</v>
      </c>
      <c r="K1778">
        <v>0</v>
      </c>
      <c r="L1778" s="6">
        <f t="shared" si="158"/>
        <v>1</v>
      </c>
      <c r="M1778">
        <v>12</v>
      </c>
      <c r="N1778">
        <v>2</v>
      </c>
      <c r="O1778" s="9">
        <v>0</v>
      </c>
      <c r="P1778">
        <v>0</v>
      </c>
      <c r="Q1778">
        <v>7</v>
      </c>
      <c r="R1778">
        <v>0</v>
      </c>
      <c r="S1778">
        <v>3</v>
      </c>
      <c r="T1778">
        <v>0</v>
      </c>
      <c r="U1778" s="3">
        <v>1</v>
      </c>
      <c r="V1778" s="3">
        <v>1</v>
      </c>
    </row>
    <row r="1779" spans="1:22" x14ac:dyDescent="0.25">
      <c r="A1779" s="2">
        <v>2017</v>
      </c>
      <c r="B1779" t="s">
        <v>56</v>
      </c>
      <c r="C1779" t="s">
        <v>53</v>
      </c>
      <c r="D1779" s="2">
        <v>21</v>
      </c>
      <c r="E1779" s="2">
        <v>122215</v>
      </c>
      <c r="F1779" t="s">
        <v>329</v>
      </c>
      <c r="G1779">
        <v>13</v>
      </c>
      <c r="H1779">
        <v>13</v>
      </c>
      <c r="I1779">
        <v>0</v>
      </c>
      <c r="J1779">
        <v>0</v>
      </c>
      <c r="K1779">
        <v>0</v>
      </c>
      <c r="L1779" s="6">
        <f t="shared" si="158"/>
        <v>1</v>
      </c>
      <c r="M1779">
        <v>241</v>
      </c>
      <c r="N1779">
        <v>27</v>
      </c>
      <c r="O1779" s="9">
        <v>0</v>
      </c>
      <c r="P1779">
        <v>0</v>
      </c>
      <c r="Q1779">
        <v>153</v>
      </c>
      <c r="R1779">
        <v>0</v>
      </c>
      <c r="S1779">
        <v>60</v>
      </c>
      <c r="T1779">
        <v>1</v>
      </c>
      <c r="U1779" s="3">
        <v>1</v>
      </c>
      <c r="V1779" s="3">
        <v>1</v>
      </c>
    </row>
    <row r="1780" spans="1:22" x14ac:dyDescent="0.25">
      <c r="A1780" s="2">
        <v>2017</v>
      </c>
      <c r="B1780" t="s">
        <v>56</v>
      </c>
      <c r="C1780" t="s">
        <v>53</v>
      </c>
      <c r="D1780" s="2">
        <v>10</v>
      </c>
      <c r="E1780" s="2">
        <v>119076</v>
      </c>
      <c r="F1780" t="s">
        <v>464</v>
      </c>
      <c r="G1780">
        <v>35</v>
      </c>
      <c r="H1780">
        <v>35</v>
      </c>
      <c r="I1780">
        <v>0</v>
      </c>
      <c r="J1780">
        <v>0</v>
      </c>
      <c r="K1780">
        <v>0</v>
      </c>
      <c r="L1780" s="6">
        <f t="shared" si="158"/>
        <v>1</v>
      </c>
      <c r="M1780">
        <v>533</v>
      </c>
      <c r="N1780">
        <v>61</v>
      </c>
      <c r="O1780" s="9">
        <v>0</v>
      </c>
      <c r="P1780">
        <v>0</v>
      </c>
      <c r="Q1780">
        <v>329</v>
      </c>
      <c r="R1780">
        <v>0</v>
      </c>
      <c r="S1780">
        <v>141</v>
      </c>
      <c r="T1780">
        <v>2</v>
      </c>
      <c r="U1780" s="3">
        <v>1</v>
      </c>
      <c r="V1780" s="3">
        <v>1</v>
      </c>
    </row>
    <row r="1781" spans="1:22" x14ac:dyDescent="0.25">
      <c r="A1781" s="2">
        <v>2017</v>
      </c>
      <c r="B1781" t="s">
        <v>56</v>
      </c>
      <c r="C1781" t="s">
        <v>53</v>
      </c>
      <c r="D1781" s="2">
        <v>11</v>
      </c>
      <c r="E1781" s="2">
        <v>119077</v>
      </c>
      <c r="F1781" t="s">
        <v>465</v>
      </c>
      <c r="G1781">
        <v>40</v>
      </c>
      <c r="H1781">
        <v>40</v>
      </c>
      <c r="I1781">
        <v>0</v>
      </c>
      <c r="J1781">
        <v>0</v>
      </c>
      <c r="K1781">
        <v>0</v>
      </c>
      <c r="L1781" s="6">
        <f t="shared" si="158"/>
        <v>1</v>
      </c>
      <c r="M1781">
        <v>598</v>
      </c>
      <c r="N1781">
        <v>69</v>
      </c>
      <c r="O1781" s="9">
        <v>0</v>
      </c>
      <c r="P1781">
        <v>1</v>
      </c>
      <c r="Q1781">
        <v>371</v>
      </c>
      <c r="R1781">
        <v>2</v>
      </c>
      <c r="S1781">
        <v>153</v>
      </c>
      <c r="T1781">
        <v>2</v>
      </c>
      <c r="U1781" s="3">
        <v>0.99498327759197325</v>
      </c>
      <c r="V1781" s="3">
        <v>0.99529780564263326</v>
      </c>
    </row>
    <row r="1782" spans="1:22" x14ac:dyDescent="0.25">
      <c r="A1782" s="2">
        <v>2017</v>
      </c>
      <c r="B1782" t="s">
        <v>56</v>
      </c>
      <c r="C1782" t="s">
        <v>53</v>
      </c>
      <c r="D1782" s="2">
        <v>12</v>
      </c>
      <c r="E1782" s="2">
        <v>119078</v>
      </c>
      <c r="F1782" t="s">
        <v>466</v>
      </c>
      <c r="G1782">
        <v>17</v>
      </c>
      <c r="H1782">
        <v>17</v>
      </c>
      <c r="I1782">
        <v>0</v>
      </c>
      <c r="J1782">
        <v>0</v>
      </c>
      <c r="K1782">
        <v>0</v>
      </c>
      <c r="L1782" s="6">
        <f t="shared" si="158"/>
        <v>1</v>
      </c>
      <c r="M1782">
        <v>340</v>
      </c>
      <c r="N1782">
        <v>45</v>
      </c>
      <c r="O1782" s="9">
        <v>0</v>
      </c>
      <c r="P1782">
        <v>0</v>
      </c>
      <c r="Q1782">
        <v>178</v>
      </c>
      <c r="R1782">
        <v>0</v>
      </c>
      <c r="S1782">
        <v>116</v>
      </c>
      <c r="T1782">
        <v>1</v>
      </c>
      <c r="U1782" s="3">
        <v>1</v>
      </c>
      <c r="V1782" s="3">
        <v>1</v>
      </c>
    </row>
    <row r="1783" spans="1:22" x14ac:dyDescent="0.25">
      <c r="A1783" s="2">
        <v>2017</v>
      </c>
      <c r="B1783" t="s">
        <v>56</v>
      </c>
      <c r="C1783" t="s">
        <v>53</v>
      </c>
      <c r="D1783" s="2">
        <v>13</v>
      </c>
      <c r="E1783" s="2">
        <v>119079</v>
      </c>
      <c r="F1783" t="s">
        <v>467</v>
      </c>
      <c r="G1783">
        <v>10</v>
      </c>
      <c r="H1783">
        <v>10</v>
      </c>
      <c r="I1783">
        <v>0</v>
      </c>
      <c r="J1783">
        <v>0</v>
      </c>
      <c r="K1783">
        <v>0</v>
      </c>
      <c r="L1783" s="6">
        <f t="shared" si="158"/>
        <v>1</v>
      </c>
      <c r="M1783">
        <v>126</v>
      </c>
      <c r="N1783">
        <v>14</v>
      </c>
      <c r="O1783" s="9">
        <v>0</v>
      </c>
      <c r="P1783">
        <v>0</v>
      </c>
      <c r="Q1783">
        <v>67</v>
      </c>
      <c r="R1783">
        <v>0</v>
      </c>
      <c r="S1783">
        <v>45</v>
      </c>
      <c r="T1783">
        <v>0</v>
      </c>
      <c r="U1783" s="3">
        <v>1</v>
      </c>
      <c r="V1783" s="3">
        <v>1</v>
      </c>
    </row>
    <row r="1784" spans="1:22" x14ac:dyDescent="0.25">
      <c r="A1784" s="2">
        <v>2017</v>
      </c>
      <c r="B1784" t="s">
        <v>56</v>
      </c>
      <c r="C1784" t="s">
        <v>53</v>
      </c>
      <c r="D1784" s="2">
        <v>14</v>
      </c>
      <c r="E1784" s="2">
        <v>119080</v>
      </c>
      <c r="F1784" t="s">
        <v>468</v>
      </c>
      <c r="G1784">
        <v>27</v>
      </c>
      <c r="H1784">
        <v>27</v>
      </c>
      <c r="I1784">
        <v>0</v>
      </c>
      <c r="J1784">
        <v>0</v>
      </c>
      <c r="K1784">
        <v>0</v>
      </c>
      <c r="L1784" s="6">
        <f t="shared" si="158"/>
        <v>1</v>
      </c>
      <c r="M1784">
        <v>442</v>
      </c>
      <c r="N1784">
        <v>57</v>
      </c>
      <c r="O1784" s="9">
        <v>0</v>
      </c>
      <c r="P1784">
        <v>0</v>
      </c>
      <c r="Q1784">
        <v>255</v>
      </c>
      <c r="R1784">
        <v>0</v>
      </c>
      <c r="S1784">
        <v>130</v>
      </c>
      <c r="T1784">
        <v>0</v>
      </c>
      <c r="U1784" s="3">
        <v>1</v>
      </c>
      <c r="V1784" s="3">
        <v>1</v>
      </c>
    </row>
    <row r="1785" spans="1:22" x14ac:dyDescent="0.25">
      <c r="A1785" s="2">
        <v>2017</v>
      </c>
      <c r="B1785" t="s">
        <v>287</v>
      </c>
      <c r="C1785" t="s">
        <v>53</v>
      </c>
      <c r="D1785" s="2" t="s">
        <v>136</v>
      </c>
      <c r="E1785" s="2" t="s">
        <v>508</v>
      </c>
      <c r="F1785" t="s">
        <v>509</v>
      </c>
      <c r="G1785">
        <v>1</v>
      </c>
      <c r="H1785">
        <v>1</v>
      </c>
      <c r="I1785">
        <v>0</v>
      </c>
      <c r="J1785">
        <v>0</v>
      </c>
      <c r="K1785">
        <v>0</v>
      </c>
      <c r="L1785" s="6">
        <f t="shared" si="158"/>
        <v>1</v>
      </c>
      <c r="M1785">
        <v>29</v>
      </c>
      <c r="N1785">
        <v>6</v>
      </c>
      <c r="O1785" s="9">
        <v>0</v>
      </c>
      <c r="P1785">
        <v>0</v>
      </c>
      <c r="Q1785">
        <v>17</v>
      </c>
      <c r="R1785">
        <v>0</v>
      </c>
      <c r="S1785">
        <v>6</v>
      </c>
      <c r="T1785">
        <v>0</v>
      </c>
      <c r="U1785" s="3">
        <f t="shared" ref="U1785:U1803" si="159">IF(M1785=0,0,((N1785+O1785+Q1785+S1785+T1785)/M1785))</f>
        <v>1</v>
      </c>
      <c r="V1785" s="3">
        <f t="shared" ref="V1785:V1803" si="160">IF(AND(G1785=0,M1785=0),0,(H1785+I1785+J1785+N1785+Q1785+S1785+T1785)/(G1785+M1785))</f>
        <v>1</v>
      </c>
    </row>
    <row r="1786" spans="1:22" x14ac:dyDescent="0.25">
      <c r="A1786" s="2">
        <v>2017</v>
      </c>
      <c r="B1786" t="s">
        <v>287</v>
      </c>
      <c r="C1786" t="s">
        <v>53</v>
      </c>
      <c r="D1786" s="2" t="s">
        <v>510</v>
      </c>
      <c r="E1786" s="2" t="s">
        <v>511</v>
      </c>
      <c r="F1786" t="s">
        <v>512</v>
      </c>
      <c r="G1786">
        <v>11</v>
      </c>
      <c r="H1786">
        <v>11</v>
      </c>
      <c r="I1786">
        <v>0</v>
      </c>
      <c r="J1786">
        <v>0</v>
      </c>
      <c r="K1786">
        <v>0</v>
      </c>
      <c r="L1786" s="6">
        <f t="shared" si="158"/>
        <v>1</v>
      </c>
      <c r="M1786">
        <v>398</v>
      </c>
      <c r="N1786">
        <v>39</v>
      </c>
      <c r="O1786" s="9">
        <v>0</v>
      </c>
      <c r="P1786">
        <v>1</v>
      </c>
      <c r="Q1786">
        <v>234</v>
      </c>
      <c r="R1786">
        <v>0</v>
      </c>
      <c r="S1786">
        <v>122</v>
      </c>
      <c r="T1786">
        <v>2</v>
      </c>
      <c r="U1786" s="3">
        <f t="shared" si="159"/>
        <v>0.99748743718592969</v>
      </c>
      <c r="V1786" s="3">
        <f t="shared" si="160"/>
        <v>0.99755501222493892</v>
      </c>
    </row>
    <row r="1787" spans="1:22" x14ac:dyDescent="0.25">
      <c r="A1787" s="2">
        <v>2017</v>
      </c>
      <c r="B1787" t="s">
        <v>287</v>
      </c>
      <c r="C1787" t="s">
        <v>53</v>
      </c>
      <c r="D1787" s="2" t="s">
        <v>513</v>
      </c>
      <c r="E1787" s="2" t="s">
        <v>514</v>
      </c>
      <c r="F1787" t="s">
        <v>515</v>
      </c>
      <c r="G1787">
        <v>1</v>
      </c>
      <c r="H1787">
        <v>1</v>
      </c>
      <c r="I1787">
        <v>0</v>
      </c>
      <c r="J1787">
        <v>0</v>
      </c>
      <c r="K1787">
        <v>0</v>
      </c>
      <c r="L1787" s="6">
        <f t="shared" si="158"/>
        <v>1</v>
      </c>
      <c r="M1787">
        <v>32</v>
      </c>
      <c r="N1787">
        <v>3</v>
      </c>
      <c r="O1787" s="9">
        <v>0</v>
      </c>
      <c r="P1787">
        <v>0</v>
      </c>
      <c r="Q1787">
        <v>20</v>
      </c>
      <c r="R1787">
        <v>0</v>
      </c>
      <c r="S1787">
        <v>9</v>
      </c>
      <c r="T1787">
        <v>0</v>
      </c>
      <c r="U1787" s="3">
        <f t="shared" si="159"/>
        <v>1</v>
      </c>
      <c r="V1787" s="3">
        <f t="shared" si="160"/>
        <v>1</v>
      </c>
    </row>
    <row r="1788" spans="1:22" x14ac:dyDescent="0.25">
      <c r="A1788" s="2">
        <v>2017</v>
      </c>
      <c r="B1788" t="s">
        <v>287</v>
      </c>
      <c r="C1788" t="s">
        <v>53</v>
      </c>
      <c r="D1788" s="2" t="s">
        <v>516</v>
      </c>
      <c r="E1788" s="2" t="s">
        <v>517</v>
      </c>
      <c r="F1788" t="s">
        <v>518</v>
      </c>
      <c r="G1788">
        <v>0</v>
      </c>
      <c r="H1788">
        <v>0</v>
      </c>
      <c r="I1788">
        <v>0</v>
      </c>
      <c r="J1788">
        <v>0</v>
      </c>
      <c r="K1788">
        <v>0</v>
      </c>
      <c r="L1788" s="6">
        <f t="shared" si="158"/>
        <v>0</v>
      </c>
      <c r="M1788">
        <v>15</v>
      </c>
      <c r="N1788">
        <v>4</v>
      </c>
      <c r="O1788" s="9">
        <v>0</v>
      </c>
      <c r="P1788">
        <v>0</v>
      </c>
      <c r="Q1788">
        <v>6</v>
      </c>
      <c r="R1788">
        <v>0</v>
      </c>
      <c r="S1788">
        <v>5</v>
      </c>
      <c r="T1788">
        <v>0</v>
      </c>
      <c r="U1788" s="3">
        <f t="shared" si="159"/>
        <v>1</v>
      </c>
      <c r="V1788" s="3">
        <f t="shared" si="160"/>
        <v>1</v>
      </c>
    </row>
    <row r="1789" spans="1:22" x14ac:dyDescent="0.25">
      <c r="A1789" s="2">
        <v>2017</v>
      </c>
      <c r="B1789" t="s">
        <v>287</v>
      </c>
      <c r="C1789" t="s">
        <v>53</v>
      </c>
      <c r="D1789" s="2" t="s">
        <v>519</v>
      </c>
      <c r="E1789" s="2" t="s">
        <v>520</v>
      </c>
      <c r="F1789" t="s">
        <v>521</v>
      </c>
      <c r="G1789">
        <v>4</v>
      </c>
      <c r="H1789">
        <v>4</v>
      </c>
      <c r="I1789">
        <v>0</v>
      </c>
      <c r="J1789">
        <v>0</v>
      </c>
      <c r="K1789">
        <v>0</v>
      </c>
      <c r="L1789" s="6">
        <f t="shared" si="158"/>
        <v>1</v>
      </c>
      <c r="M1789">
        <v>28</v>
      </c>
      <c r="N1789">
        <v>10</v>
      </c>
      <c r="O1789" s="9">
        <v>0</v>
      </c>
      <c r="P1789">
        <v>0</v>
      </c>
      <c r="Q1789">
        <v>7</v>
      </c>
      <c r="R1789">
        <v>0</v>
      </c>
      <c r="S1789">
        <v>11</v>
      </c>
      <c r="T1789">
        <v>0</v>
      </c>
      <c r="U1789" s="3">
        <f t="shared" si="159"/>
        <v>1</v>
      </c>
      <c r="V1789" s="3">
        <f t="shared" si="160"/>
        <v>1</v>
      </c>
    </row>
    <row r="1790" spans="1:22" x14ac:dyDescent="0.25">
      <c r="A1790" s="2">
        <v>2017</v>
      </c>
      <c r="B1790" t="s">
        <v>287</v>
      </c>
      <c r="C1790" t="s">
        <v>53</v>
      </c>
      <c r="D1790" s="2" t="s">
        <v>522</v>
      </c>
      <c r="E1790" s="2" t="s">
        <v>523</v>
      </c>
      <c r="F1790" t="s">
        <v>524</v>
      </c>
      <c r="G1790">
        <v>7</v>
      </c>
      <c r="H1790">
        <v>7</v>
      </c>
      <c r="I1790">
        <v>0</v>
      </c>
      <c r="J1790">
        <v>0</v>
      </c>
      <c r="K1790">
        <v>0</v>
      </c>
      <c r="L1790" s="6">
        <f t="shared" si="158"/>
        <v>1</v>
      </c>
      <c r="M1790">
        <v>87</v>
      </c>
      <c r="N1790">
        <v>12</v>
      </c>
      <c r="O1790" s="9">
        <v>0</v>
      </c>
      <c r="P1790">
        <v>0</v>
      </c>
      <c r="Q1790">
        <v>51</v>
      </c>
      <c r="R1790">
        <v>0</v>
      </c>
      <c r="S1790">
        <v>23</v>
      </c>
      <c r="T1790">
        <v>1</v>
      </c>
      <c r="U1790" s="3">
        <f t="shared" si="159"/>
        <v>1</v>
      </c>
      <c r="V1790" s="3">
        <f t="shared" si="160"/>
        <v>1</v>
      </c>
    </row>
    <row r="1791" spans="1:22" x14ac:dyDescent="0.25">
      <c r="A1791" s="2">
        <v>2017</v>
      </c>
      <c r="B1791" t="s">
        <v>287</v>
      </c>
      <c r="C1791" t="s">
        <v>53</v>
      </c>
      <c r="D1791" s="2" t="s">
        <v>525</v>
      </c>
      <c r="E1791" s="2" t="s">
        <v>526</v>
      </c>
      <c r="F1791" t="s">
        <v>527</v>
      </c>
      <c r="G1791">
        <v>5</v>
      </c>
      <c r="H1791">
        <v>5</v>
      </c>
      <c r="I1791">
        <v>0</v>
      </c>
      <c r="J1791">
        <v>0</v>
      </c>
      <c r="K1791">
        <v>0</v>
      </c>
      <c r="L1791" s="6">
        <f t="shared" si="158"/>
        <v>1</v>
      </c>
      <c r="M1791">
        <v>59</v>
      </c>
      <c r="N1791">
        <v>8</v>
      </c>
      <c r="O1791" s="9">
        <v>0</v>
      </c>
      <c r="P1791">
        <v>0</v>
      </c>
      <c r="Q1791">
        <v>36</v>
      </c>
      <c r="R1791">
        <v>0</v>
      </c>
      <c r="S1791">
        <v>15</v>
      </c>
      <c r="T1791">
        <v>0</v>
      </c>
      <c r="U1791" s="3">
        <f t="shared" si="159"/>
        <v>1</v>
      </c>
      <c r="V1791" s="3">
        <f t="shared" si="160"/>
        <v>1</v>
      </c>
    </row>
    <row r="1792" spans="1:22" x14ac:dyDescent="0.25">
      <c r="A1792" s="2">
        <v>2017</v>
      </c>
      <c r="B1792" t="s">
        <v>287</v>
      </c>
      <c r="C1792" t="s">
        <v>53</v>
      </c>
      <c r="D1792" s="2" t="s">
        <v>528</v>
      </c>
      <c r="E1792" s="2" t="s">
        <v>529</v>
      </c>
      <c r="F1792" t="s">
        <v>530</v>
      </c>
      <c r="G1792">
        <v>2</v>
      </c>
      <c r="H1792">
        <v>2</v>
      </c>
      <c r="I1792">
        <v>0</v>
      </c>
      <c r="J1792">
        <v>0</v>
      </c>
      <c r="K1792">
        <v>0</v>
      </c>
      <c r="L1792" s="6">
        <f t="shared" si="158"/>
        <v>1</v>
      </c>
      <c r="M1792">
        <v>36</v>
      </c>
      <c r="N1792">
        <v>7</v>
      </c>
      <c r="O1792" s="9">
        <v>0</v>
      </c>
      <c r="P1792">
        <v>0</v>
      </c>
      <c r="Q1792">
        <v>19</v>
      </c>
      <c r="R1792">
        <v>0</v>
      </c>
      <c r="S1792">
        <v>10</v>
      </c>
      <c r="T1792">
        <v>0</v>
      </c>
      <c r="U1792" s="3">
        <f t="shared" si="159"/>
        <v>1</v>
      </c>
      <c r="V1792" s="3">
        <f t="shared" si="160"/>
        <v>1</v>
      </c>
    </row>
    <row r="1793" spans="1:22" x14ac:dyDescent="0.25">
      <c r="A1793" s="2">
        <v>2017</v>
      </c>
      <c r="B1793" t="s">
        <v>287</v>
      </c>
      <c r="C1793" t="s">
        <v>53</v>
      </c>
      <c r="D1793" s="2" t="s">
        <v>531</v>
      </c>
      <c r="E1793" s="2" t="s">
        <v>532</v>
      </c>
      <c r="F1793" t="s">
        <v>533</v>
      </c>
      <c r="G1793">
        <v>17</v>
      </c>
      <c r="H1793">
        <v>17</v>
      </c>
      <c r="I1793">
        <v>0</v>
      </c>
      <c r="J1793">
        <v>0</v>
      </c>
      <c r="K1793">
        <v>0</v>
      </c>
      <c r="L1793" s="6">
        <f t="shared" si="158"/>
        <v>1</v>
      </c>
      <c r="M1793">
        <v>283</v>
      </c>
      <c r="N1793">
        <v>45</v>
      </c>
      <c r="O1793" s="9">
        <v>0</v>
      </c>
      <c r="P1793">
        <v>0</v>
      </c>
      <c r="Q1793">
        <v>129</v>
      </c>
      <c r="R1793">
        <v>0</v>
      </c>
      <c r="S1793">
        <v>108</v>
      </c>
      <c r="T1793">
        <v>1</v>
      </c>
      <c r="U1793" s="3">
        <f t="shared" si="159"/>
        <v>1</v>
      </c>
      <c r="V1793" s="3">
        <f t="shared" si="160"/>
        <v>1</v>
      </c>
    </row>
    <row r="1794" spans="1:22" x14ac:dyDescent="0.25">
      <c r="A1794" s="2">
        <v>2017</v>
      </c>
      <c r="B1794" t="s">
        <v>287</v>
      </c>
      <c r="C1794" t="s">
        <v>53</v>
      </c>
      <c r="D1794" s="2" t="s">
        <v>534</v>
      </c>
      <c r="E1794" s="2" t="s">
        <v>535</v>
      </c>
      <c r="F1794" t="s">
        <v>536</v>
      </c>
      <c r="G1794">
        <v>5</v>
      </c>
      <c r="H1794">
        <v>5</v>
      </c>
      <c r="I1794">
        <v>0</v>
      </c>
      <c r="J1794">
        <v>0</v>
      </c>
      <c r="K1794">
        <v>0</v>
      </c>
      <c r="L1794" s="6">
        <f t="shared" si="158"/>
        <v>1</v>
      </c>
      <c r="M1794">
        <v>188</v>
      </c>
      <c r="N1794">
        <v>31</v>
      </c>
      <c r="O1794" s="9">
        <v>0</v>
      </c>
      <c r="P1794">
        <v>0</v>
      </c>
      <c r="Q1794">
        <v>113</v>
      </c>
      <c r="R1794">
        <v>0</v>
      </c>
      <c r="S1794">
        <v>44</v>
      </c>
      <c r="T1794">
        <v>0</v>
      </c>
      <c r="U1794" s="3">
        <f t="shared" si="159"/>
        <v>1</v>
      </c>
      <c r="V1794" s="3">
        <f t="shared" si="160"/>
        <v>1</v>
      </c>
    </row>
    <row r="1795" spans="1:22" x14ac:dyDescent="0.25">
      <c r="A1795" s="2">
        <v>2017</v>
      </c>
      <c r="B1795" t="s">
        <v>287</v>
      </c>
      <c r="C1795" t="s">
        <v>53</v>
      </c>
      <c r="D1795" s="2" t="s">
        <v>124</v>
      </c>
      <c r="E1795" s="2" t="s">
        <v>537</v>
      </c>
      <c r="F1795" t="s">
        <v>538</v>
      </c>
      <c r="G1795">
        <v>0</v>
      </c>
      <c r="H1795">
        <v>0</v>
      </c>
      <c r="I1795">
        <v>0</v>
      </c>
      <c r="J1795">
        <v>0</v>
      </c>
      <c r="K1795">
        <v>0</v>
      </c>
      <c r="L1795" s="6">
        <f t="shared" ref="L1795:L1803" si="161">IF(G1795=0,0,SUM(H1795:J1795)/G1795)</f>
        <v>0</v>
      </c>
      <c r="M1795">
        <v>6</v>
      </c>
      <c r="N1795">
        <v>2</v>
      </c>
      <c r="O1795" s="9">
        <v>0</v>
      </c>
      <c r="P1795">
        <v>0</v>
      </c>
      <c r="Q1795">
        <v>4</v>
      </c>
      <c r="R1795">
        <v>0</v>
      </c>
      <c r="S1795">
        <v>0</v>
      </c>
      <c r="T1795">
        <v>0</v>
      </c>
      <c r="U1795" s="3">
        <f t="shared" si="159"/>
        <v>1</v>
      </c>
      <c r="V1795" s="3">
        <f t="shared" si="160"/>
        <v>1</v>
      </c>
    </row>
    <row r="1796" spans="1:22" x14ac:dyDescent="0.25">
      <c r="A1796" s="2">
        <v>2017</v>
      </c>
      <c r="B1796" t="s">
        <v>287</v>
      </c>
      <c r="C1796" t="s">
        <v>53</v>
      </c>
      <c r="D1796" s="2" t="s">
        <v>539</v>
      </c>
      <c r="E1796" s="2" t="s">
        <v>540</v>
      </c>
      <c r="F1796" t="s">
        <v>541</v>
      </c>
      <c r="G1796">
        <v>4</v>
      </c>
      <c r="H1796">
        <v>4</v>
      </c>
      <c r="I1796">
        <v>0</v>
      </c>
      <c r="J1796">
        <v>0</v>
      </c>
      <c r="K1796">
        <v>0</v>
      </c>
      <c r="L1796" s="6">
        <f t="shared" si="161"/>
        <v>1</v>
      </c>
      <c r="M1796">
        <v>27</v>
      </c>
      <c r="N1796">
        <v>0</v>
      </c>
      <c r="O1796" s="9">
        <v>0</v>
      </c>
      <c r="P1796">
        <v>0</v>
      </c>
      <c r="Q1796">
        <v>21</v>
      </c>
      <c r="R1796">
        <v>0</v>
      </c>
      <c r="S1796">
        <v>6</v>
      </c>
      <c r="T1796">
        <v>0</v>
      </c>
      <c r="U1796" s="3">
        <f t="shared" si="159"/>
        <v>1</v>
      </c>
      <c r="V1796" s="3">
        <f t="shared" si="160"/>
        <v>1</v>
      </c>
    </row>
    <row r="1797" spans="1:22" x14ac:dyDescent="0.25">
      <c r="A1797" s="2">
        <v>2017</v>
      </c>
      <c r="B1797" t="s">
        <v>287</v>
      </c>
      <c r="C1797" t="s">
        <v>53</v>
      </c>
      <c r="D1797" s="2" t="s">
        <v>542</v>
      </c>
      <c r="E1797" s="2" t="s">
        <v>543</v>
      </c>
      <c r="F1797" t="s">
        <v>544</v>
      </c>
      <c r="G1797">
        <v>20</v>
      </c>
      <c r="H1797">
        <v>20</v>
      </c>
      <c r="I1797">
        <v>0</v>
      </c>
      <c r="J1797">
        <v>0</v>
      </c>
      <c r="K1797">
        <v>0</v>
      </c>
      <c r="L1797" s="6">
        <f t="shared" si="161"/>
        <v>1</v>
      </c>
      <c r="M1797">
        <v>290</v>
      </c>
      <c r="N1797">
        <v>34</v>
      </c>
      <c r="O1797" s="9">
        <v>0</v>
      </c>
      <c r="P1797">
        <v>0</v>
      </c>
      <c r="Q1797">
        <v>169</v>
      </c>
      <c r="R1797">
        <v>0</v>
      </c>
      <c r="S1797">
        <v>85</v>
      </c>
      <c r="T1797">
        <v>2</v>
      </c>
      <c r="U1797" s="3">
        <f t="shared" si="159"/>
        <v>1</v>
      </c>
      <c r="V1797" s="3">
        <f t="shared" si="160"/>
        <v>1</v>
      </c>
    </row>
    <row r="1798" spans="1:22" x14ac:dyDescent="0.25">
      <c r="A1798" s="2">
        <v>2017</v>
      </c>
      <c r="B1798" t="s">
        <v>287</v>
      </c>
      <c r="C1798" t="s">
        <v>53</v>
      </c>
      <c r="D1798" s="2" t="s">
        <v>545</v>
      </c>
      <c r="E1798" s="2" t="s">
        <v>546</v>
      </c>
      <c r="F1798" t="s">
        <v>547</v>
      </c>
      <c r="G1798">
        <v>22</v>
      </c>
      <c r="H1798">
        <v>22</v>
      </c>
      <c r="I1798">
        <v>0</v>
      </c>
      <c r="J1798">
        <v>0</v>
      </c>
      <c r="K1798">
        <v>0</v>
      </c>
      <c r="L1798" s="6">
        <f t="shared" si="161"/>
        <v>1</v>
      </c>
      <c r="M1798">
        <v>426</v>
      </c>
      <c r="N1798">
        <v>57</v>
      </c>
      <c r="O1798" s="9">
        <v>0</v>
      </c>
      <c r="P1798">
        <v>1</v>
      </c>
      <c r="Q1798">
        <v>271</v>
      </c>
      <c r="R1798">
        <v>0</v>
      </c>
      <c r="S1798">
        <v>96</v>
      </c>
      <c r="T1798">
        <v>1</v>
      </c>
      <c r="U1798" s="3">
        <f t="shared" si="159"/>
        <v>0.99765258215962438</v>
      </c>
      <c r="V1798" s="3">
        <f t="shared" si="160"/>
        <v>0.9977678571428571</v>
      </c>
    </row>
    <row r="1799" spans="1:22" x14ac:dyDescent="0.25">
      <c r="A1799" s="2">
        <v>2017</v>
      </c>
      <c r="B1799" t="s">
        <v>287</v>
      </c>
      <c r="C1799" t="s">
        <v>53</v>
      </c>
      <c r="D1799" s="2" t="s">
        <v>548</v>
      </c>
      <c r="E1799" s="2" t="s">
        <v>549</v>
      </c>
      <c r="F1799" t="s">
        <v>550</v>
      </c>
      <c r="G1799">
        <v>35</v>
      </c>
      <c r="H1799">
        <v>35</v>
      </c>
      <c r="I1799">
        <v>0</v>
      </c>
      <c r="J1799">
        <v>0</v>
      </c>
      <c r="K1799">
        <v>0</v>
      </c>
      <c r="L1799" s="6">
        <f t="shared" si="161"/>
        <v>1</v>
      </c>
      <c r="M1799">
        <v>495</v>
      </c>
      <c r="N1799">
        <v>39</v>
      </c>
      <c r="O1799" s="9">
        <v>0</v>
      </c>
      <c r="P1799">
        <v>2</v>
      </c>
      <c r="Q1799">
        <v>318</v>
      </c>
      <c r="R1799">
        <v>2</v>
      </c>
      <c r="S1799">
        <v>128</v>
      </c>
      <c r="T1799">
        <v>6</v>
      </c>
      <c r="U1799" s="3">
        <f t="shared" si="159"/>
        <v>0.99191919191919187</v>
      </c>
      <c r="V1799" s="3">
        <f t="shared" si="160"/>
        <v>0.99245283018867925</v>
      </c>
    </row>
    <row r="1800" spans="1:22" x14ac:dyDescent="0.25">
      <c r="A1800" s="2">
        <v>2017</v>
      </c>
      <c r="B1800" t="s">
        <v>287</v>
      </c>
      <c r="C1800" t="s">
        <v>53</v>
      </c>
      <c r="D1800" s="2" t="s">
        <v>551</v>
      </c>
      <c r="E1800" s="2" t="s">
        <v>552</v>
      </c>
      <c r="F1800" t="s">
        <v>553</v>
      </c>
      <c r="G1800">
        <v>19</v>
      </c>
      <c r="H1800">
        <v>19</v>
      </c>
      <c r="I1800">
        <v>0</v>
      </c>
      <c r="J1800">
        <v>0</v>
      </c>
      <c r="K1800">
        <v>0</v>
      </c>
      <c r="L1800" s="6">
        <f t="shared" si="161"/>
        <v>1</v>
      </c>
      <c r="M1800">
        <v>382</v>
      </c>
      <c r="N1800">
        <v>58</v>
      </c>
      <c r="O1800" s="9">
        <v>0</v>
      </c>
      <c r="P1800">
        <v>0</v>
      </c>
      <c r="Q1800">
        <v>190</v>
      </c>
      <c r="R1800">
        <v>0</v>
      </c>
      <c r="S1800">
        <v>134</v>
      </c>
      <c r="T1800">
        <v>0</v>
      </c>
      <c r="U1800" s="3">
        <f t="shared" si="159"/>
        <v>1</v>
      </c>
      <c r="V1800" s="3">
        <f t="shared" si="160"/>
        <v>1</v>
      </c>
    </row>
    <row r="1801" spans="1:22" x14ac:dyDescent="0.25">
      <c r="A1801" s="2">
        <v>2017</v>
      </c>
      <c r="B1801" t="s">
        <v>287</v>
      </c>
      <c r="C1801" t="s">
        <v>53</v>
      </c>
      <c r="D1801" s="2" t="s">
        <v>554</v>
      </c>
      <c r="E1801" s="2" t="s">
        <v>177</v>
      </c>
      <c r="F1801" t="s">
        <v>555</v>
      </c>
      <c r="G1801">
        <v>0</v>
      </c>
      <c r="H1801">
        <v>0</v>
      </c>
      <c r="I1801">
        <v>0</v>
      </c>
      <c r="J1801">
        <v>0</v>
      </c>
      <c r="K1801">
        <v>0</v>
      </c>
      <c r="L1801" s="6">
        <f t="shared" si="161"/>
        <v>0</v>
      </c>
      <c r="M1801">
        <v>2</v>
      </c>
      <c r="N1801">
        <v>1</v>
      </c>
      <c r="O1801" s="9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 s="3">
        <f t="shared" si="159"/>
        <v>1</v>
      </c>
      <c r="V1801" s="3">
        <f t="shared" si="160"/>
        <v>1</v>
      </c>
    </row>
    <row r="1802" spans="1:22" x14ac:dyDescent="0.25">
      <c r="A1802" s="2">
        <v>2017</v>
      </c>
      <c r="B1802" t="s">
        <v>287</v>
      </c>
      <c r="C1802" t="s">
        <v>53</v>
      </c>
      <c r="D1802" s="2" t="s">
        <v>178</v>
      </c>
      <c r="E1802" s="2" t="s">
        <v>556</v>
      </c>
      <c r="F1802" t="s">
        <v>557</v>
      </c>
      <c r="G1802">
        <v>0</v>
      </c>
      <c r="H1802">
        <v>0</v>
      </c>
      <c r="I1802">
        <v>0</v>
      </c>
      <c r="J1802">
        <v>0</v>
      </c>
      <c r="K1802">
        <v>0</v>
      </c>
      <c r="L1802" s="6">
        <f t="shared" si="161"/>
        <v>0</v>
      </c>
      <c r="M1802">
        <v>4</v>
      </c>
      <c r="N1802">
        <v>0</v>
      </c>
      <c r="O1802" s="9">
        <v>0</v>
      </c>
      <c r="P1802">
        <v>0</v>
      </c>
      <c r="Q1802">
        <v>2</v>
      </c>
      <c r="R1802">
        <v>0</v>
      </c>
      <c r="S1802">
        <v>2</v>
      </c>
      <c r="T1802">
        <v>0</v>
      </c>
      <c r="U1802" s="3">
        <f t="shared" si="159"/>
        <v>1</v>
      </c>
      <c r="V1802" s="3">
        <f t="shared" si="160"/>
        <v>1</v>
      </c>
    </row>
    <row r="1803" spans="1:22" x14ac:dyDescent="0.25">
      <c r="A1803" s="2">
        <v>2017</v>
      </c>
      <c r="B1803" t="s">
        <v>287</v>
      </c>
      <c r="C1803" t="s">
        <v>53</v>
      </c>
      <c r="D1803" s="2" t="s">
        <v>558</v>
      </c>
      <c r="E1803" s="2" t="s">
        <v>559</v>
      </c>
      <c r="F1803" t="s">
        <v>560</v>
      </c>
      <c r="G1803">
        <v>26</v>
      </c>
      <c r="H1803">
        <v>26</v>
      </c>
      <c r="I1803">
        <v>0</v>
      </c>
      <c r="J1803">
        <v>0</v>
      </c>
      <c r="K1803">
        <v>0</v>
      </c>
      <c r="L1803" s="6">
        <f t="shared" si="161"/>
        <v>1</v>
      </c>
      <c r="M1803">
        <v>431</v>
      </c>
      <c r="N1803">
        <v>70</v>
      </c>
      <c r="O1803" s="9">
        <v>0</v>
      </c>
      <c r="P1803">
        <v>1</v>
      </c>
      <c r="Q1803">
        <v>253</v>
      </c>
      <c r="R1803">
        <v>1</v>
      </c>
      <c r="S1803">
        <v>106</v>
      </c>
      <c r="T1803">
        <v>0</v>
      </c>
      <c r="U1803" s="3">
        <f t="shared" si="159"/>
        <v>0.9953596287703016</v>
      </c>
      <c r="V1803" s="3">
        <f t="shared" si="160"/>
        <v>0.99562363238512031</v>
      </c>
    </row>
  </sheetData>
  <autoFilter ref="A1:V180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Summary by Site</vt:lpstr>
      <vt:lpstr>data_transformed</vt:lpstr>
      <vt:lpstr>data</vt:lpstr>
      <vt:lpstr>Period</vt:lpstr>
      <vt:lpstr>'Summary by Site'!Print_Area</vt:lpstr>
      <vt:lpstr>'Summary by Site'!Print_Titles</vt:lpstr>
      <vt:lpstr>Site</vt:lpstr>
    </vt:vector>
  </TitlesOfParts>
  <Company>Sheridan Healthcorp,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Baumgarten, Allen</dc:creator>
  <cp:lastModifiedBy>Baumgarten, Allen</cp:lastModifiedBy>
  <cp:lastPrinted>2018-01-09T18:39:34Z</cp:lastPrinted>
  <dcterms:created xsi:type="dcterms:W3CDTF">2017-12-12T19:39:05Z</dcterms:created>
  <dcterms:modified xsi:type="dcterms:W3CDTF">2018-02-08T15:13:50Z</dcterms:modified>
</cp:coreProperties>
</file>