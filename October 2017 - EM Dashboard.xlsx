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Anesthesia\_DropOff\ED_Reports\Site_Data_Capture\CONSOLIDATED_DATA\"/>
    </mc:Choice>
  </mc:AlternateContent>
  <bookViews>
    <workbookView xWindow="0" yWindow="0" windowWidth="23040" windowHeight="9975"/>
  </bookViews>
  <sheets>
    <sheet name="FACILITIES" sheetId="1" r:id="rId1"/>
  </sheets>
  <definedNames>
    <definedName name="Clinical_Performance">#REF!</definedName>
    <definedName name="DataRange" localSheetId="0">#REF!</definedName>
    <definedName name="DataRange">#REF!</definedName>
    <definedName name="HeaderRange" localSheetId="0">#REF!</definedName>
    <definedName name="HeaderRange">#REF!</definedName>
    <definedName name="_xlnm.Print_Area" localSheetId="0">FACILITIES!$B$1:$N$96</definedName>
    <definedName name="SortRange" localSheetId="0">#REF!</definedName>
    <definedName name="SortRange">#REF!</definedName>
    <definedName name="Titles" localSheetId="0">#REF!</definedName>
    <definedName name="Titles">#REF!</definedName>
    <definedName name="TopSection" localSheetId="0">#REF!</definedName>
    <definedName name="TopSection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5" i="1" l="1"/>
  <c r="Q85" i="1" s="1"/>
  <c r="O71" i="1"/>
  <c r="Q71" i="1" s="1"/>
  <c r="O58" i="1"/>
  <c r="Q58" i="1" s="1"/>
  <c r="O44" i="1"/>
  <c r="Q44" i="1" s="1"/>
  <c r="O30" i="1"/>
  <c r="Q30" i="1" s="1"/>
  <c r="O16" i="1"/>
  <c r="Q16" i="1" s="1"/>
  <c r="G75" i="1" l="1"/>
  <c r="F75" i="1"/>
  <c r="E75" i="1"/>
  <c r="K48" i="1"/>
  <c r="J48" i="1"/>
  <c r="I48" i="1"/>
  <c r="H48" i="1"/>
  <c r="G48" i="1"/>
</calcChain>
</file>

<file path=xl/sharedStrings.xml><?xml version="1.0" encoding="utf-8"?>
<sst xmlns="http://schemas.openxmlformats.org/spreadsheetml/2006/main" count="97" uniqueCount="22">
  <si>
    <t>Total Patient Volume</t>
  </si>
  <si>
    <t>Door / Arrival to Provider Greet (Min Wait)</t>
  </si>
  <si>
    <t>Admitted Patients  Qty.</t>
  </si>
  <si>
    <t>Admitted Patients - ALOS Min.</t>
  </si>
  <si>
    <t>Departed Patients Qty.</t>
  </si>
  <si>
    <t>AMA</t>
  </si>
  <si>
    <t>Ocala</t>
  </si>
  <si>
    <t>West Marion</t>
  </si>
  <si>
    <t>Summerfield</t>
  </si>
  <si>
    <t>Jupiter</t>
  </si>
  <si>
    <t>Westchester</t>
  </si>
  <si>
    <t>Baptist</t>
  </si>
  <si>
    <t>San Ramon</t>
  </si>
  <si>
    <t>72hr Returns Total</t>
  </si>
  <si>
    <t>72hr Returns Admit</t>
  </si>
  <si>
    <t>Mortalities</t>
  </si>
  <si>
    <t>Patient Satisfaction %</t>
  </si>
  <si>
    <t>LBBS + LPT</t>
  </si>
  <si>
    <t>Discharged Patients - ALOS Min</t>
  </si>
  <si>
    <t>Kendall</t>
  </si>
  <si>
    <t>Site</t>
  </si>
  <si>
    <t>Meausre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</si>
</sst>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%"/>
    <numFmt numFmtId="165" formatCode="#,###;\(#,###\);\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 Narrow"/>
      <family val="2"/>
    </font>
    <font>
      <b/>
      <sz val="11"/>
      <color theme="0"/>
      <name val="Arial Narrow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  <font>
      <b/>
      <sz val="16"/>
      <color rgb="FF00B0F0"/>
      <name val="Arial Black"/>
      <family val="2"/>
    </font>
    <font>
      <sz val="16"/>
      <color rgb="FF00B0F0"/>
      <name val="Calibri"/>
      <family val="2"/>
      <scheme val="minor"/>
    </font>
    <font>
      <b/>
      <sz val="16"/>
      <color rgb="FFFFC000"/>
      <name val="Arial Black"/>
      <family val="2"/>
    </font>
    <font>
      <sz val="16"/>
      <color rgb="FFFFC000"/>
      <name val="Calibri"/>
      <family val="2"/>
      <scheme val="minor"/>
    </font>
    <font>
      <b/>
      <sz val="13"/>
      <color theme="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B52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3" fillId="2" borderId="0" xfId="0" applyFont="1" applyFill="1"/>
    <xf numFmtId="0" fontId="3" fillId="0" borderId="0" xfId="0" applyFont="1"/>
    <xf numFmtId="17" fontId="4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Alignment="1">
      <alignment wrapText="1"/>
    </xf>
    <xf numFmtId="164" fontId="0" fillId="0" borderId="0" xfId="2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164" fontId="0" fillId="0" borderId="0" xfId="1" applyNumberFormat="1" applyFont="1" applyFill="1" applyAlignment="1">
      <alignment horizontal="center"/>
    </xf>
    <xf numFmtId="0" fontId="0" fillId="0" borderId="0" xfId="0" applyFill="1"/>
    <xf numFmtId="164" fontId="0" fillId="0" borderId="0" xfId="2" applyNumberFormat="1" applyFont="1" applyFill="1" applyBorder="1" applyAlignment="1">
      <alignment horizontal="center"/>
    </xf>
    <xf numFmtId="9" fontId="0" fillId="0" borderId="0" xfId="2" applyFont="1" applyFill="1" applyAlignment="1">
      <alignment horizontal="center"/>
    </xf>
    <xf numFmtId="0" fontId="0" fillId="0" borderId="0" xfId="0" applyAlignment="1"/>
    <xf numFmtId="0" fontId="2" fillId="0" borderId="0" xfId="0" applyFont="1"/>
    <xf numFmtId="1" fontId="0" fillId="0" borderId="0" xfId="2" applyNumberFormat="1" applyFont="1" applyFill="1" applyAlignment="1">
      <alignment horizontal="center"/>
    </xf>
    <xf numFmtId="9" fontId="0" fillId="0" borderId="0" xfId="2" applyFont="1" applyFill="1" applyBorder="1" applyAlignment="1">
      <alignment horizontal="center"/>
    </xf>
    <xf numFmtId="1" fontId="0" fillId="0" borderId="0" xfId="2" applyNumberFormat="1" applyFont="1" applyFill="1" applyBorder="1" applyAlignment="1">
      <alignment horizontal="center"/>
    </xf>
    <xf numFmtId="0" fontId="0" fillId="0" borderId="0" xfId="2" applyNumberFormat="1" applyFont="1" applyFill="1" applyAlignment="1">
      <alignment horizontal="center"/>
    </xf>
    <xf numFmtId="1" fontId="5" fillId="0" borderId="0" xfId="2" applyNumberFormat="1" applyFont="1" applyFill="1" applyAlignment="1">
      <alignment horizontal="center"/>
    </xf>
    <xf numFmtId="1" fontId="0" fillId="3" borderId="0" xfId="2" applyNumberFormat="1" applyFont="1" applyFill="1" applyAlignment="1">
      <alignment horizontal="center"/>
    </xf>
    <xf numFmtId="9" fontId="0" fillId="3" borderId="0" xfId="2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Fill="1" applyAlignment="1">
      <alignment horizontal="center"/>
    </xf>
    <xf numFmtId="165" fontId="0" fillId="0" borderId="0" xfId="2" applyNumberFormat="1" applyFont="1" applyFill="1" applyAlignment="1">
      <alignment horizontal="center"/>
    </xf>
    <xf numFmtId="165" fontId="0" fillId="3" borderId="0" xfId="2" applyNumberFormat="1" applyFont="1" applyFill="1" applyAlignment="1">
      <alignment horizontal="center"/>
    </xf>
    <xf numFmtId="165" fontId="0" fillId="0" borderId="0" xfId="1" applyNumberFormat="1" applyFont="1" applyFill="1" applyAlignment="1">
      <alignment horizontal="center"/>
    </xf>
    <xf numFmtId="165" fontId="5" fillId="0" borderId="0" xfId="2" applyNumberFormat="1" applyFont="1" applyFill="1" applyAlignment="1">
      <alignment horizontal="center"/>
    </xf>
    <xf numFmtId="165" fontId="5" fillId="0" borderId="0" xfId="0" applyNumberFormat="1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0" borderId="0" xfId="0" applyNumberFormat="1"/>
    <xf numFmtId="165" fontId="7" fillId="0" borderId="0" xfId="0" applyNumberFormat="1" applyFont="1"/>
    <xf numFmtId="165" fontId="0" fillId="5" borderId="0" xfId="0" applyNumberFormat="1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4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65" fontId="0" fillId="3" borderId="0" xfId="0" applyNumberFormat="1" applyFill="1" applyBorder="1" applyAlignment="1">
      <alignment horizontal="center"/>
    </xf>
    <xf numFmtId="9" fontId="0" fillId="3" borderId="0" xfId="2" applyNumberFormat="1" applyFont="1" applyFill="1" applyBorder="1" applyAlignment="1">
      <alignment horizontal="center"/>
    </xf>
    <xf numFmtId="164" fontId="0" fillId="3" borderId="0" xfId="2" applyNumberFormat="1" applyFont="1" applyFill="1" applyBorder="1" applyAlignment="1">
      <alignment horizontal="center"/>
    </xf>
    <xf numFmtId="9" fontId="0" fillId="3" borderId="0" xfId="2" applyFont="1" applyFill="1" applyBorder="1" applyAlignment="1">
      <alignment horizontal="center"/>
    </xf>
    <xf numFmtId="1" fontId="0" fillId="3" borderId="0" xfId="2" applyNumberFormat="1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 vertical="center"/>
    </xf>
    <xf numFmtId="165" fontId="0" fillId="0" borderId="0" xfId="2" applyNumberFormat="1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wrapText="1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17" fontId="12" fillId="2" borderId="0" xfId="0" applyNumberFormat="1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20"/>
  <sheetViews>
    <sheetView showGridLines="0" tabSelected="1" zoomScale="90" zoomScaleNormal="90" workbookViewId="0">
      <pane xSplit="2" ySplit="1" topLeftCell="C68" activePane="bottomRight" state="frozen"/>
      <selection activeCell="J20" sqref="J20"/>
      <selection pane="topRight" activeCell="J20" sqref="J20"/>
      <selection pane="bottomLeft" activeCell="J20" sqref="J20"/>
      <selection pane="bottomRight" activeCell="C17" sqref="C17"/>
    </sheetView>
  </sheetViews>
  <sheetFormatPr defaultColWidth="9.140625" defaultRowHeight="15" outlineLevelRow="1" x14ac:dyDescent="0.25"/>
  <cols>
    <col min="2" max="2" width="46" customWidth="1"/>
    <col min="3" max="3" width="10.7109375" style="4" customWidth="1"/>
    <col min="4" max="14" width="10.7109375" customWidth="1"/>
    <col min="15" max="17" width="7.7109375" bestFit="1" customWidth="1"/>
  </cols>
  <sheetData>
    <row r="1" spans="1:17" s="2" customFormat="1" ht="25.5" customHeight="1" x14ac:dyDescent="0.25">
      <c r="A1" s="2" t="s">
        <v>20</v>
      </c>
      <c r="B1" s="1" t="s">
        <v>21</v>
      </c>
      <c r="C1" s="58">
        <v>42736</v>
      </c>
      <c r="D1" s="58">
        <v>42767</v>
      </c>
      <c r="E1" s="58">
        <v>42795</v>
      </c>
      <c r="F1" s="58">
        <v>42826</v>
      </c>
      <c r="G1" s="58">
        <v>42856</v>
      </c>
      <c r="H1" s="58">
        <v>42887</v>
      </c>
      <c r="I1" s="58">
        <v>42917</v>
      </c>
      <c r="J1" s="58">
        <v>42948</v>
      </c>
      <c r="K1" s="58">
        <v>42979</v>
      </c>
      <c r="L1" s="58">
        <v>43009</v>
      </c>
      <c r="M1" s="58">
        <v>43040</v>
      </c>
      <c r="N1" s="58">
        <v>43070</v>
      </c>
    </row>
    <row r="2" spans="1:17" ht="16.5" x14ac:dyDescent="0.3">
      <c r="B2" s="54" t="s">
        <v>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7" ht="16.5" x14ac:dyDescent="0.3">
      <c r="B3" s="5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7" outlineLevel="1" x14ac:dyDescent="0.25">
      <c r="A4" t="s">
        <v>19</v>
      </c>
      <c r="B4" t="s">
        <v>15</v>
      </c>
      <c r="C4" s="28">
        <v>25</v>
      </c>
      <c r="D4" s="28">
        <v>18</v>
      </c>
      <c r="E4" s="28">
        <v>23</v>
      </c>
      <c r="F4" s="28">
        <v>9</v>
      </c>
      <c r="G4" s="28">
        <v>8</v>
      </c>
      <c r="H4" s="29">
        <v>8</v>
      </c>
      <c r="I4" s="29">
        <v>11</v>
      </c>
      <c r="J4" s="29">
        <v>13</v>
      </c>
      <c r="K4" s="29">
        <v>26</v>
      </c>
      <c r="L4" s="29">
        <v>13</v>
      </c>
      <c r="M4" s="19"/>
      <c r="N4" s="19"/>
    </row>
    <row r="5" spans="1:17" outlineLevel="1" x14ac:dyDescent="0.25">
      <c r="A5" t="s">
        <v>19</v>
      </c>
      <c r="B5" s="8" t="s">
        <v>13</v>
      </c>
      <c r="C5" s="28">
        <v>230</v>
      </c>
      <c r="D5" s="28">
        <v>190</v>
      </c>
      <c r="E5" s="28">
        <v>221</v>
      </c>
      <c r="F5" s="28">
        <v>184</v>
      </c>
      <c r="G5" s="28">
        <v>190</v>
      </c>
      <c r="H5" s="28">
        <v>189</v>
      </c>
      <c r="I5" s="28">
        <v>204</v>
      </c>
      <c r="J5" s="29">
        <v>184</v>
      </c>
      <c r="K5" s="29">
        <v>204</v>
      </c>
      <c r="L5" s="29">
        <v>143</v>
      </c>
      <c r="M5" s="19"/>
      <c r="N5" s="19"/>
    </row>
    <row r="6" spans="1:17" outlineLevel="1" x14ac:dyDescent="0.25">
      <c r="A6" t="s">
        <v>19</v>
      </c>
      <c r="B6" s="8" t="s">
        <v>14</v>
      </c>
      <c r="C6" s="28">
        <v>57</v>
      </c>
      <c r="D6" s="28">
        <v>42</v>
      </c>
      <c r="E6" s="28">
        <v>34</v>
      </c>
      <c r="F6" s="28">
        <v>25</v>
      </c>
      <c r="G6" s="28">
        <v>31</v>
      </c>
      <c r="H6" s="28">
        <v>22</v>
      </c>
      <c r="I6" s="28">
        <v>63</v>
      </c>
      <c r="J6" s="29">
        <v>33</v>
      </c>
      <c r="K6" s="29">
        <v>22</v>
      </c>
      <c r="L6" s="29">
        <v>25</v>
      </c>
      <c r="M6" s="19"/>
      <c r="N6" s="19"/>
    </row>
    <row r="7" spans="1:17" outlineLevel="1" x14ac:dyDescent="0.25">
      <c r="A7" t="s">
        <v>19</v>
      </c>
      <c r="B7" s="8" t="s">
        <v>16</v>
      </c>
      <c r="C7" s="9">
        <v>0.71199999999999997</v>
      </c>
      <c r="D7" s="9">
        <v>0.73699999999999999</v>
      </c>
      <c r="E7" s="9">
        <v>0.67200000000000004</v>
      </c>
      <c r="F7" s="9">
        <v>0.751</v>
      </c>
      <c r="G7" s="9">
        <v>0.79400000000000004</v>
      </c>
      <c r="H7" s="9">
        <v>0.70499999999999996</v>
      </c>
      <c r="I7" s="9">
        <v>0.73799999999999999</v>
      </c>
      <c r="J7" s="9">
        <v>0.78900000000000003</v>
      </c>
      <c r="K7" s="9">
        <v>0.67200000000000004</v>
      </c>
      <c r="L7" s="9"/>
      <c r="M7" s="9"/>
      <c r="N7" s="9"/>
    </row>
    <row r="8" spans="1:17" x14ac:dyDescent="0.25">
      <c r="B8" s="54" t="s">
        <v>6</v>
      </c>
      <c r="C8" s="10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7" ht="16.5" x14ac:dyDescent="0.3">
      <c r="B9" s="55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7" outlineLevel="1" x14ac:dyDescent="0.25">
      <c r="A10" t="s">
        <v>6</v>
      </c>
      <c r="B10" s="8" t="s">
        <v>15</v>
      </c>
      <c r="C10" s="30">
        <v>5</v>
      </c>
      <c r="D10" s="28">
        <v>0</v>
      </c>
      <c r="E10" s="28">
        <v>2</v>
      </c>
      <c r="F10" s="28">
        <v>3</v>
      </c>
      <c r="G10" s="28">
        <v>5</v>
      </c>
      <c r="H10" s="28">
        <v>3</v>
      </c>
      <c r="I10" s="28">
        <v>3</v>
      </c>
      <c r="J10" s="28">
        <v>5</v>
      </c>
      <c r="K10" s="28">
        <v>1</v>
      </c>
      <c r="L10" s="28">
        <v>0</v>
      </c>
      <c r="M10" s="22"/>
      <c r="N10" s="22"/>
    </row>
    <row r="11" spans="1:17" outlineLevel="1" x14ac:dyDescent="0.25">
      <c r="A11" t="s">
        <v>6</v>
      </c>
      <c r="B11" s="8" t="s">
        <v>13</v>
      </c>
      <c r="C11" s="28">
        <v>26</v>
      </c>
      <c r="D11" s="28">
        <v>17</v>
      </c>
      <c r="E11" s="28">
        <v>17</v>
      </c>
      <c r="F11" s="28">
        <v>19</v>
      </c>
      <c r="G11" s="28">
        <v>16</v>
      </c>
      <c r="H11" s="28">
        <v>17</v>
      </c>
      <c r="I11" s="28">
        <v>47</v>
      </c>
      <c r="J11" s="28">
        <v>63</v>
      </c>
      <c r="K11" s="28">
        <v>42</v>
      </c>
      <c r="L11" s="28">
        <v>38</v>
      </c>
      <c r="M11" s="19"/>
      <c r="N11" s="19"/>
    </row>
    <row r="12" spans="1:17" outlineLevel="1" x14ac:dyDescent="0.25">
      <c r="A12" t="s">
        <v>6</v>
      </c>
      <c r="B12" s="8" t="s">
        <v>14</v>
      </c>
      <c r="C12" s="28">
        <v>1</v>
      </c>
      <c r="D12" s="30">
        <v>2</v>
      </c>
      <c r="E12" s="28">
        <v>0</v>
      </c>
      <c r="F12" s="28">
        <v>3</v>
      </c>
      <c r="G12" s="28">
        <v>1</v>
      </c>
      <c r="H12" s="28">
        <v>1</v>
      </c>
      <c r="I12" s="28">
        <v>0</v>
      </c>
      <c r="J12" s="28">
        <v>4</v>
      </c>
      <c r="K12" s="28">
        <v>2</v>
      </c>
      <c r="L12" s="28">
        <v>2</v>
      </c>
      <c r="M12" s="19"/>
      <c r="N12" s="19"/>
    </row>
    <row r="13" spans="1:17" outlineLevel="1" x14ac:dyDescent="0.25">
      <c r="A13" t="s">
        <v>6</v>
      </c>
      <c r="B13" s="8" t="s">
        <v>16</v>
      </c>
      <c r="C13" s="16">
        <v>0.42599999999999999</v>
      </c>
      <c r="D13" s="16">
        <v>0.33300000000000002</v>
      </c>
      <c r="E13" s="16">
        <v>0.42</v>
      </c>
      <c r="F13" s="16">
        <v>0.48</v>
      </c>
      <c r="G13" s="16">
        <v>0.5</v>
      </c>
      <c r="H13" s="16">
        <v>0.59</v>
      </c>
      <c r="I13" s="16">
        <v>0.76</v>
      </c>
      <c r="J13" s="25"/>
      <c r="K13" s="25"/>
      <c r="L13" s="25"/>
      <c r="M13" s="16"/>
      <c r="N13" s="16"/>
    </row>
    <row r="14" spans="1:17" x14ac:dyDescent="0.25">
      <c r="B14" s="54" t="s">
        <v>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7" ht="16.5" x14ac:dyDescent="0.3">
      <c r="B15" s="55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7" s="14" customFormat="1" outlineLevel="1" x14ac:dyDescent="0.25">
      <c r="B16" t="s">
        <v>0</v>
      </c>
      <c r="C16" s="26">
        <v>4417</v>
      </c>
      <c r="D16" s="27">
        <v>4197</v>
      </c>
      <c r="E16" s="27">
        <v>4431</v>
      </c>
      <c r="F16" s="26">
        <v>4244</v>
      </c>
      <c r="G16" s="27">
        <v>4251</v>
      </c>
      <c r="H16" s="27">
        <v>3767</v>
      </c>
      <c r="I16" s="26">
        <v>3812</v>
      </c>
      <c r="J16" s="26">
        <v>3949</v>
      </c>
      <c r="K16" s="26">
        <v>3948</v>
      </c>
      <c r="L16" s="26">
        <v>4145</v>
      </c>
      <c r="M16" s="5"/>
      <c r="N16" s="4"/>
      <c r="O16" s="36">
        <f>SUM(C16:N16)</f>
        <v>41161</v>
      </c>
      <c r="P16" s="37">
        <v>41161</v>
      </c>
      <c r="Q16" s="36">
        <f>O16-P16</f>
        <v>0</v>
      </c>
    </row>
    <row r="17" spans="2:17" s="14" customFormat="1" outlineLevel="1" x14ac:dyDescent="0.25">
      <c r="B17" t="s">
        <v>1</v>
      </c>
      <c r="C17" s="26">
        <v>7</v>
      </c>
      <c r="D17" s="27">
        <v>7</v>
      </c>
      <c r="E17" s="27">
        <v>6</v>
      </c>
      <c r="F17" s="26">
        <v>6</v>
      </c>
      <c r="G17" s="27">
        <v>5</v>
      </c>
      <c r="H17" s="27">
        <v>5</v>
      </c>
      <c r="I17" s="26">
        <v>4</v>
      </c>
      <c r="J17" s="26">
        <v>5</v>
      </c>
      <c r="K17" s="26">
        <v>5</v>
      </c>
      <c r="L17" s="26">
        <v>4</v>
      </c>
      <c r="M17" s="7"/>
      <c r="N17" s="6"/>
    </row>
    <row r="18" spans="2:17" s="14" customFormat="1" outlineLevel="1" x14ac:dyDescent="0.25">
      <c r="B18" t="s">
        <v>2</v>
      </c>
      <c r="C18" s="26">
        <v>492</v>
      </c>
      <c r="D18" s="27">
        <v>435</v>
      </c>
      <c r="E18" s="27">
        <v>462</v>
      </c>
      <c r="F18" s="26">
        <v>564</v>
      </c>
      <c r="G18" s="27">
        <v>464</v>
      </c>
      <c r="H18" s="27">
        <v>508</v>
      </c>
      <c r="I18" s="26">
        <v>603</v>
      </c>
      <c r="J18" s="26">
        <v>497</v>
      </c>
      <c r="K18" s="26">
        <v>623</v>
      </c>
      <c r="L18" s="26">
        <v>694</v>
      </c>
      <c r="M18" s="5"/>
      <c r="N18" s="4"/>
    </row>
    <row r="19" spans="2:17" s="14" customFormat="1" outlineLevel="1" x14ac:dyDescent="0.25">
      <c r="B19" t="s">
        <v>3</v>
      </c>
      <c r="C19" s="26">
        <v>590</v>
      </c>
      <c r="D19" s="27">
        <v>635</v>
      </c>
      <c r="E19" s="27">
        <v>623</v>
      </c>
      <c r="F19" s="26">
        <v>575</v>
      </c>
      <c r="G19" s="27">
        <v>555</v>
      </c>
      <c r="H19" s="27">
        <v>560</v>
      </c>
      <c r="I19" s="26">
        <v>508</v>
      </c>
      <c r="J19" s="26">
        <v>595</v>
      </c>
      <c r="K19" s="26">
        <v>419</v>
      </c>
      <c r="L19" s="26">
        <v>503</v>
      </c>
      <c r="M19" s="7"/>
      <c r="N19" s="6"/>
    </row>
    <row r="20" spans="2:17" s="14" customFormat="1" outlineLevel="1" x14ac:dyDescent="0.25">
      <c r="B20" s="14" t="s">
        <v>4</v>
      </c>
      <c r="C20" s="27">
        <v>3742</v>
      </c>
      <c r="D20" s="27">
        <v>3558</v>
      </c>
      <c r="E20" s="27">
        <v>3712</v>
      </c>
      <c r="F20" s="27">
        <v>3498</v>
      </c>
      <c r="G20" s="27">
        <v>3596</v>
      </c>
      <c r="H20" s="27">
        <v>3076</v>
      </c>
      <c r="I20" s="27">
        <v>3085</v>
      </c>
      <c r="J20" s="27">
        <v>3201</v>
      </c>
      <c r="K20" s="27">
        <v>3308</v>
      </c>
      <c r="L20" s="27">
        <v>3431</v>
      </c>
      <c r="M20" s="5"/>
      <c r="N20" s="5"/>
    </row>
    <row r="21" spans="2:17" s="14" customFormat="1" outlineLevel="1" x14ac:dyDescent="0.25">
      <c r="B21" t="s">
        <v>18</v>
      </c>
      <c r="C21" s="26">
        <v>138</v>
      </c>
      <c r="D21" s="27">
        <v>144</v>
      </c>
      <c r="E21" s="27">
        <v>141</v>
      </c>
      <c r="F21" s="26">
        <v>149</v>
      </c>
      <c r="G21" s="27">
        <v>134</v>
      </c>
      <c r="H21" s="27">
        <v>134</v>
      </c>
      <c r="I21" s="26">
        <v>130</v>
      </c>
      <c r="J21" s="26">
        <v>128</v>
      </c>
      <c r="K21" s="26">
        <v>137</v>
      </c>
      <c r="L21" s="26">
        <v>127</v>
      </c>
      <c r="M21" s="7"/>
      <c r="N21" s="6"/>
    </row>
    <row r="22" spans="2:17" s="14" customFormat="1" outlineLevel="1" x14ac:dyDescent="0.25">
      <c r="B22" t="s">
        <v>17</v>
      </c>
      <c r="C22" s="26">
        <v>46</v>
      </c>
      <c r="D22" s="27">
        <v>65</v>
      </c>
      <c r="E22" s="27">
        <v>56</v>
      </c>
      <c r="F22" s="26">
        <v>57</v>
      </c>
      <c r="G22" s="27">
        <v>47</v>
      </c>
      <c r="H22" s="27">
        <v>27</v>
      </c>
      <c r="I22" s="26">
        <v>21</v>
      </c>
      <c r="J22" s="26">
        <v>24</v>
      </c>
      <c r="K22" s="26">
        <v>17</v>
      </c>
      <c r="L22" s="26">
        <v>20</v>
      </c>
      <c r="M22" s="5"/>
      <c r="N22" s="5"/>
    </row>
    <row r="23" spans="2:17" s="14" customFormat="1" outlineLevel="1" x14ac:dyDescent="0.25">
      <c r="B23" s="8" t="s">
        <v>5</v>
      </c>
      <c r="C23" s="26">
        <v>119</v>
      </c>
      <c r="D23" s="27">
        <v>105</v>
      </c>
      <c r="E23" s="27">
        <v>85</v>
      </c>
      <c r="F23" s="26">
        <v>115</v>
      </c>
      <c r="G23" s="27">
        <v>86</v>
      </c>
      <c r="H23" s="27">
        <v>61</v>
      </c>
      <c r="I23" s="26">
        <v>64</v>
      </c>
      <c r="J23" s="26">
        <v>72</v>
      </c>
      <c r="K23" s="26">
        <v>81</v>
      </c>
      <c r="L23" s="26">
        <v>66</v>
      </c>
      <c r="M23" s="5"/>
      <c r="N23" s="4"/>
    </row>
    <row r="24" spans="2:17" s="14" customFormat="1" outlineLevel="1" x14ac:dyDescent="0.25">
      <c r="B24" s="8" t="s">
        <v>15</v>
      </c>
      <c r="C24" s="28">
        <v>1</v>
      </c>
      <c r="D24" s="28">
        <v>2</v>
      </c>
      <c r="E24" s="28">
        <v>0</v>
      </c>
      <c r="F24" s="28">
        <v>2</v>
      </c>
      <c r="G24" s="28">
        <v>1</v>
      </c>
      <c r="H24" s="28">
        <v>1</v>
      </c>
      <c r="I24" s="28">
        <v>0</v>
      </c>
      <c r="J24" s="28">
        <v>1</v>
      </c>
      <c r="K24" s="28">
        <v>1</v>
      </c>
      <c r="L24" s="28">
        <v>0</v>
      </c>
      <c r="M24" s="19"/>
      <c r="N24" s="19"/>
    </row>
    <row r="25" spans="2:17" s="14" customFormat="1" outlineLevel="1" x14ac:dyDescent="0.25">
      <c r="B25" s="8" t="s">
        <v>13</v>
      </c>
      <c r="C25" s="28">
        <v>20</v>
      </c>
      <c r="D25" s="28">
        <v>27</v>
      </c>
      <c r="E25" s="28">
        <v>21</v>
      </c>
      <c r="F25" s="28">
        <v>14</v>
      </c>
      <c r="G25" s="28">
        <v>30</v>
      </c>
      <c r="H25" s="28">
        <v>20</v>
      </c>
      <c r="I25" s="28">
        <v>35</v>
      </c>
      <c r="J25" s="28">
        <v>43</v>
      </c>
      <c r="K25" s="28">
        <v>60</v>
      </c>
      <c r="L25" s="28">
        <v>57</v>
      </c>
      <c r="M25" s="19"/>
      <c r="N25" s="19"/>
    </row>
    <row r="26" spans="2:17" s="14" customFormat="1" outlineLevel="1" x14ac:dyDescent="0.25">
      <c r="B26" s="8" t="s">
        <v>14</v>
      </c>
      <c r="C26" s="28">
        <v>1</v>
      </c>
      <c r="D26" s="30">
        <v>8</v>
      </c>
      <c r="E26" s="28">
        <v>3</v>
      </c>
      <c r="F26" s="28">
        <v>0</v>
      </c>
      <c r="G26" s="28">
        <v>1</v>
      </c>
      <c r="H26" s="28">
        <v>0</v>
      </c>
      <c r="I26" s="28">
        <v>2</v>
      </c>
      <c r="J26" s="28">
        <v>4</v>
      </c>
      <c r="K26" s="28">
        <v>1</v>
      </c>
      <c r="L26" s="28">
        <v>6</v>
      </c>
      <c r="M26" s="19"/>
      <c r="N26" s="19"/>
    </row>
    <row r="27" spans="2:17" s="14" customFormat="1" outlineLevel="1" x14ac:dyDescent="0.25">
      <c r="B27" s="8" t="s">
        <v>16</v>
      </c>
      <c r="C27" s="16">
        <v>0.56399999999999995</v>
      </c>
      <c r="D27" s="16">
        <v>0.622</v>
      </c>
      <c r="E27" s="16">
        <v>0.64300000000000002</v>
      </c>
      <c r="F27" s="16">
        <v>0.58099999999999996</v>
      </c>
      <c r="G27" s="25"/>
      <c r="H27" s="16">
        <v>0.55100000000000005</v>
      </c>
      <c r="I27" s="16">
        <v>0.64</v>
      </c>
      <c r="J27" s="25"/>
      <c r="K27" s="25"/>
      <c r="L27" s="25"/>
      <c r="M27" s="16"/>
      <c r="N27" s="16"/>
    </row>
    <row r="28" spans="2:17" s="14" customFormat="1" ht="14.45" customHeight="1" x14ac:dyDescent="0.25">
      <c r="B28" s="54" t="s">
        <v>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2:17" s="14" customFormat="1" ht="14.45" customHeight="1" x14ac:dyDescent="0.3">
      <c r="B29" s="55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2:17" s="14" customFormat="1" outlineLevel="1" x14ac:dyDescent="0.25">
      <c r="B30" t="s">
        <v>0</v>
      </c>
      <c r="C30" s="26">
        <v>1652</v>
      </c>
      <c r="D30" s="27">
        <v>1764</v>
      </c>
      <c r="E30" s="27">
        <v>1921</v>
      </c>
      <c r="F30" s="26">
        <v>1895</v>
      </c>
      <c r="G30" s="27">
        <v>1810</v>
      </c>
      <c r="H30" s="27">
        <v>1765</v>
      </c>
      <c r="I30" s="26">
        <v>1850</v>
      </c>
      <c r="J30" s="26">
        <v>2165</v>
      </c>
      <c r="K30" s="26">
        <v>1950</v>
      </c>
      <c r="L30" s="38">
        <v>2213</v>
      </c>
      <c r="M30" s="5"/>
      <c r="N30" s="4"/>
      <c r="O30" s="36">
        <f>SUM(C30:N30)</f>
        <v>18985</v>
      </c>
      <c r="P30" s="37">
        <v>19006</v>
      </c>
      <c r="Q30" s="36">
        <f>O30-P30</f>
        <v>-21</v>
      </c>
    </row>
    <row r="31" spans="2:17" s="14" customFormat="1" outlineLevel="1" x14ac:dyDescent="0.25">
      <c r="B31" t="s">
        <v>1</v>
      </c>
      <c r="C31" s="26">
        <v>9</v>
      </c>
      <c r="D31" s="27">
        <v>11</v>
      </c>
      <c r="E31" s="27">
        <v>13</v>
      </c>
      <c r="F31" s="26">
        <v>8</v>
      </c>
      <c r="G31" s="27">
        <v>8</v>
      </c>
      <c r="H31" s="27">
        <v>5</v>
      </c>
      <c r="I31" s="26">
        <v>7</v>
      </c>
      <c r="J31" s="26">
        <v>6</v>
      </c>
      <c r="K31" s="26">
        <v>5</v>
      </c>
      <c r="L31" s="26">
        <v>6</v>
      </c>
      <c r="M31" s="7"/>
      <c r="N31" s="6"/>
    </row>
    <row r="32" spans="2:17" s="14" customFormat="1" outlineLevel="1" x14ac:dyDescent="0.25">
      <c r="B32" t="s">
        <v>2</v>
      </c>
      <c r="C32" s="26">
        <v>90</v>
      </c>
      <c r="D32" s="27">
        <v>85</v>
      </c>
      <c r="E32" s="27">
        <v>110</v>
      </c>
      <c r="F32" s="26">
        <v>94</v>
      </c>
      <c r="G32" s="27">
        <v>93</v>
      </c>
      <c r="H32" s="27">
        <v>106</v>
      </c>
      <c r="I32" s="26">
        <v>41</v>
      </c>
      <c r="J32" s="26">
        <v>143</v>
      </c>
      <c r="K32" s="26">
        <v>136</v>
      </c>
      <c r="L32" s="26">
        <v>154</v>
      </c>
      <c r="M32" s="5"/>
      <c r="N32" s="4"/>
    </row>
    <row r="33" spans="2:17" s="14" customFormat="1" outlineLevel="1" x14ac:dyDescent="0.25">
      <c r="B33" t="s">
        <v>3</v>
      </c>
      <c r="C33" s="26">
        <v>351</v>
      </c>
      <c r="D33" s="27">
        <v>427</v>
      </c>
      <c r="E33" s="27">
        <v>452</v>
      </c>
      <c r="F33" s="26">
        <v>350</v>
      </c>
      <c r="G33" s="27">
        <v>362</v>
      </c>
      <c r="H33" s="27">
        <v>344</v>
      </c>
      <c r="I33" s="26">
        <v>402</v>
      </c>
      <c r="J33" s="26">
        <v>371</v>
      </c>
      <c r="K33" s="26">
        <v>283</v>
      </c>
      <c r="L33" s="26">
        <v>307</v>
      </c>
      <c r="M33" s="7"/>
      <c r="N33" s="6"/>
    </row>
    <row r="34" spans="2:17" s="14" customFormat="1" outlineLevel="1" x14ac:dyDescent="0.25">
      <c r="B34" s="14" t="s">
        <v>4</v>
      </c>
      <c r="C34" s="27">
        <v>1560</v>
      </c>
      <c r="D34" s="27">
        <v>1677</v>
      </c>
      <c r="E34" s="27">
        <v>1808</v>
      </c>
      <c r="F34" s="27">
        <v>1795</v>
      </c>
      <c r="G34" s="27">
        <v>1714</v>
      </c>
      <c r="H34" s="27">
        <v>1628</v>
      </c>
      <c r="I34" s="27">
        <v>1699</v>
      </c>
      <c r="J34" s="27">
        <v>2001</v>
      </c>
      <c r="K34" s="27">
        <v>1806</v>
      </c>
      <c r="L34" s="27">
        <v>2060</v>
      </c>
      <c r="M34" s="5"/>
      <c r="N34" s="5"/>
    </row>
    <row r="35" spans="2:17" s="14" customFormat="1" outlineLevel="1" x14ac:dyDescent="0.25">
      <c r="B35" t="s">
        <v>18</v>
      </c>
      <c r="C35" s="26">
        <v>120</v>
      </c>
      <c r="D35" s="27">
        <v>137</v>
      </c>
      <c r="E35" s="27">
        <v>131</v>
      </c>
      <c r="F35" s="26">
        <v>120</v>
      </c>
      <c r="G35" s="27">
        <v>114</v>
      </c>
      <c r="H35" s="27">
        <v>108</v>
      </c>
      <c r="I35" s="26">
        <v>110</v>
      </c>
      <c r="J35" s="26">
        <v>108</v>
      </c>
      <c r="K35" s="26">
        <v>103</v>
      </c>
      <c r="L35" s="26">
        <v>115</v>
      </c>
      <c r="M35" s="7"/>
      <c r="N35" s="6"/>
    </row>
    <row r="36" spans="2:17" s="14" customFormat="1" outlineLevel="1" x14ac:dyDescent="0.25">
      <c r="B36" t="s">
        <v>17</v>
      </c>
      <c r="C36" s="26">
        <v>18</v>
      </c>
      <c r="D36" s="27">
        <v>58</v>
      </c>
      <c r="E36" s="27">
        <v>50</v>
      </c>
      <c r="F36" s="26">
        <v>14</v>
      </c>
      <c r="G36" s="27">
        <v>11</v>
      </c>
      <c r="H36" s="27">
        <v>13</v>
      </c>
      <c r="I36" s="26">
        <v>9</v>
      </c>
      <c r="J36" s="26">
        <v>17</v>
      </c>
      <c r="K36" s="26">
        <v>8</v>
      </c>
      <c r="L36" s="26">
        <v>20</v>
      </c>
      <c r="M36" s="5"/>
      <c r="N36" s="5"/>
    </row>
    <row r="37" spans="2:17" s="14" customFormat="1" outlineLevel="1" x14ac:dyDescent="0.25">
      <c r="B37" s="8" t="s">
        <v>5</v>
      </c>
      <c r="C37" s="26">
        <v>38</v>
      </c>
      <c r="D37" s="27">
        <v>43</v>
      </c>
      <c r="E37" s="27">
        <v>30</v>
      </c>
      <c r="F37" s="26">
        <v>27</v>
      </c>
      <c r="G37" s="27">
        <v>21</v>
      </c>
      <c r="H37" s="27">
        <v>14</v>
      </c>
      <c r="I37" s="26">
        <v>25</v>
      </c>
      <c r="J37" s="26">
        <v>23</v>
      </c>
      <c r="K37" s="26">
        <v>25</v>
      </c>
      <c r="L37" s="26">
        <v>27</v>
      </c>
      <c r="M37" s="5"/>
      <c r="N37" s="4"/>
    </row>
    <row r="38" spans="2:17" s="14" customFormat="1" outlineLevel="1" x14ac:dyDescent="0.25">
      <c r="B38" s="8" t="s">
        <v>15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1</v>
      </c>
      <c r="I38" s="28">
        <v>1</v>
      </c>
      <c r="J38" s="28">
        <v>2</v>
      </c>
      <c r="K38" s="28">
        <v>0</v>
      </c>
      <c r="L38" s="28">
        <v>0</v>
      </c>
      <c r="M38" s="19"/>
      <c r="N38" s="19"/>
    </row>
    <row r="39" spans="2:17" s="14" customFormat="1" outlineLevel="1" x14ac:dyDescent="0.25">
      <c r="B39" s="8" t="s">
        <v>13</v>
      </c>
      <c r="C39" s="28">
        <v>2</v>
      </c>
      <c r="D39" s="28">
        <v>4</v>
      </c>
      <c r="E39" s="28">
        <v>8</v>
      </c>
      <c r="F39" s="28">
        <v>5</v>
      </c>
      <c r="G39" s="28">
        <v>3</v>
      </c>
      <c r="H39" s="28">
        <v>10</v>
      </c>
      <c r="I39" s="28">
        <v>13</v>
      </c>
      <c r="J39" s="28">
        <v>0</v>
      </c>
      <c r="K39" s="28">
        <v>0</v>
      </c>
      <c r="L39" s="28">
        <v>35</v>
      </c>
      <c r="M39" s="19"/>
      <c r="N39" s="19"/>
    </row>
    <row r="40" spans="2:17" s="14" customFormat="1" outlineLevel="1" x14ac:dyDescent="0.25">
      <c r="B40" s="8" t="s">
        <v>14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19"/>
      <c r="N40" s="19"/>
    </row>
    <row r="41" spans="2:17" s="14" customFormat="1" outlineLevel="1" x14ac:dyDescent="0.25">
      <c r="B41" s="8" t="s">
        <v>16</v>
      </c>
      <c r="C41" s="16">
        <v>0.73</v>
      </c>
      <c r="D41" s="16">
        <v>0.81599999999999995</v>
      </c>
      <c r="E41" s="16">
        <v>0.67300000000000004</v>
      </c>
      <c r="F41" s="16">
        <v>0.72199999999999998</v>
      </c>
      <c r="G41" s="25"/>
      <c r="H41" s="16">
        <v>0.81100000000000005</v>
      </c>
      <c r="I41" s="16">
        <v>0.72</v>
      </c>
      <c r="J41" s="25"/>
      <c r="K41" s="25"/>
      <c r="L41" s="25"/>
      <c r="M41" s="16"/>
      <c r="N41" s="16"/>
    </row>
    <row r="42" spans="2:17" x14ac:dyDescent="0.25">
      <c r="B42" s="56" t="s">
        <v>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2:17" ht="16.5" x14ac:dyDescent="0.3">
      <c r="B43" s="57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2:17" outlineLevel="1" x14ac:dyDescent="0.25">
      <c r="B44" t="s">
        <v>0</v>
      </c>
      <c r="C44" s="26">
        <v>3587</v>
      </c>
      <c r="D44" s="26">
        <v>3392</v>
      </c>
      <c r="E44" s="26">
        <v>3720</v>
      </c>
      <c r="F44" s="27">
        <v>3420</v>
      </c>
      <c r="G44" s="27">
        <v>3300</v>
      </c>
      <c r="H44" s="27">
        <v>2958</v>
      </c>
      <c r="I44" s="26">
        <v>3045</v>
      </c>
      <c r="J44" s="26">
        <v>2989</v>
      </c>
      <c r="K44" s="26">
        <v>3072</v>
      </c>
      <c r="L44" s="26">
        <v>3027</v>
      </c>
      <c r="M44" s="5"/>
      <c r="N44" s="4"/>
      <c r="O44" s="36">
        <f>SUM(C44:N44)</f>
        <v>32510</v>
      </c>
      <c r="P44" s="37">
        <v>0</v>
      </c>
      <c r="Q44" s="36">
        <f>O44-P44</f>
        <v>32510</v>
      </c>
    </row>
    <row r="45" spans="2:17" outlineLevel="1" x14ac:dyDescent="0.25">
      <c r="B45" t="s">
        <v>1</v>
      </c>
      <c r="C45" s="26">
        <v>14</v>
      </c>
      <c r="D45" s="26">
        <v>19</v>
      </c>
      <c r="E45" s="26">
        <v>19</v>
      </c>
      <c r="F45" s="27">
        <v>14</v>
      </c>
      <c r="G45" s="27">
        <v>13</v>
      </c>
      <c r="H45" s="27">
        <v>8</v>
      </c>
      <c r="I45" s="26">
        <v>20</v>
      </c>
      <c r="J45" s="26">
        <v>10</v>
      </c>
      <c r="K45" s="26">
        <v>12</v>
      </c>
      <c r="L45" s="26">
        <v>11</v>
      </c>
      <c r="M45" s="7"/>
      <c r="N45" s="6"/>
    </row>
    <row r="46" spans="2:17" outlineLevel="1" x14ac:dyDescent="0.25">
      <c r="B46" t="s">
        <v>2</v>
      </c>
      <c r="C46" s="26">
        <v>744</v>
      </c>
      <c r="D46" s="26">
        <v>651</v>
      </c>
      <c r="E46" s="26">
        <v>729</v>
      </c>
      <c r="F46" s="27">
        <v>911</v>
      </c>
      <c r="G46" s="27">
        <v>627</v>
      </c>
      <c r="H46" s="27">
        <v>565</v>
      </c>
      <c r="I46" s="26">
        <v>817</v>
      </c>
      <c r="J46" s="26">
        <v>806</v>
      </c>
      <c r="K46" s="26">
        <v>760</v>
      </c>
      <c r="L46" s="26">
        <v>777</v>
      </c>
      <c r="M46" s="5"/>
      <c r="N46" s="4"/>
    </row>
    <row r="47" spans="2:17" outlineLevel="1" x14ac:dyDescent="0.25">
      <c r="B47" t="s">
        <v>3</v>
      </c>
      <c r="C47" s="26">
        <v>355</v>
      </c>
      <c r="D47" s="26">
        <v>391</v>
      </c>
      <c r="E47" s="26">
        <v>400</v>
      </c>
      <c r="F47" s="27">
        <v>311</v>
      </c>
      <c r="G47" s="27">
        <v>277</v>
      </c>
      <c r="H47" s="27">
        <v>304</v>
      </c>
      <c r="I47" s="27">
        <v>286</v>
      </c>
      <c r="J47" s="27">
        <v>280</v>
      </c>
      <c r="K47" s="26">
        <v>327</v>
      </c>
      <c r="L47" s="26">
        <v>290</v>
      </c>
      <c r="M47" s="7"/>
      <c r="N47" s="6"/>
    </row>
    <row r="48" spans="2:17" outlineLevel="1" x14ac:dyDescent="0.25">
      <c r="B48" s="14" t="s">
        <v>4</v>
      </c>
      <c r="C48" s="27">
        <v>2807</v>
      </c>
      <c r="D48" s="27">
        <v>2651</v>
      </c>
      <c r="E48" s="27">
        <v>3196</v>
      </c>
      <c r="F48" s="27">
        <v>2921</v>
      </c>
      <c r="G48" s="27">
        <f>G44-G46</f>
        <v>2673</v>
      </c>
      <c r="H48" s="27">
        <f>H44-H46</f>
        <v>2393</v>
      </c>
      <c r="I48" s="27">
        <f>I44-I46</f>
        <v>2228</v>
      </c>
      <c r="J48" s="27">
        <f>J44-J46</f>
        <v>2183</v>
      </c>
      <c r="K48" s="27">
        <f>K44-K46</f>
        <v>2312</v>
      </c>
      <c r="L48" s="27">
        <v>2250</v>
      </c>
      <c r="M48" s="5"/>
      <c r="N48" s="5"/>
    </row>
    <row r="49" spans="2:17" outlineLevel="1" x14ac:dyDescent="0.25">
      <c r="B49" t="s">
        <v>18</v>
      </c>
      <c r="C49" s="26">
        <v>154</v>
      </c>
      <c r="D49" s="26">
        <v>188</v>
      </c>
      <c r="E49" s="26">
        <v>175</v>
      </c>
      <c r="F49" s="27">
        <v>198</v>
      </c>
      <c r="G49" s="27">
        <v>155</v>
      </c>
      <c r="H49" s="27">
        <v>137</v>
      </c>
      <c r="I49" s="27">
        <v>153</v>
      </c>
      <c r="J49" s="27">
        <v>154</v>
      </c>
      <c r="K49" s="26">
        <v>155</v>
      </c>
      <c r="L49" s="26">
        <v>152</v>
      </c>
      <c r="M49" s="7"/>
      <c r="N49" s="6"/>
    </row>
    <row r="50" spans="2:17" outlineLevel="1" x14ac:dyDescent="0.25">
      <c r="B50" t="s">
        <v>17</v>
      </c>
      <c r="C50" s="26">
        <v>23</v>
      </c>
      <c r="D50" s="26">
        <v>16</v>
      </c>
      <c r="E50" s="26">
        <v>35</v>
      </c>
      <c r="F50" s="26">
        <v>16</v>
      </c>
      <c r="G50" s="27">
        <v>7</v>
      </c>
      <c r="H50" s="27">
        <v>16</v>
      </c>
      <c r="I50" s="26">
        <v>12</v>
      </c>
      <c r="J50" s="26">
        <v>19</v>
      </c>
      <c r="K50" s="26">
        <v>19</v>
      </c>
      <c r="L50" s="26">
        <v>13</v>
      </c>
      <c r="M50" s="5"/>
      <c r="N50" s="5"/>
    </row>
    <row r="51" spans="2:17" outlineLevel="1" x14ac:dyDescent="0.25">
      <c r="B51" s="8" t="s">
        <v>5</v>
      </c>
      <c r="C51" s="26">
        <v>44</v>
      </c>
      <c r="D51" s="26">
        <v>43</v>
      </c>
      <c r="E51" s="26">
        <v>35</v>
      </c>
      <c r="F51" s="26">
        <v>32</v>
      </c>
      <c r="G51" s="27">
        <v>54</v>
      </c>
      <c r="H51" s="27">
        <v>40</v>
      </c>
      <c r="I51" s="27">
        <v>31</v>
      </c>
      <c r="J51" s="26">
        <v>57</v>
      </c>
      <c r="K51" s="26">
        <v>39</v>
      </c>
      <c r="L51" s="26">
        <v>49</v>
      </c>
      <c r="M51" s="5"/>
      <c r="N51" s="4"/>
    </row>
    <row r="52" spans="2:17" ht="15" customHeight="1" outlineLevel="1" x14ac:dyDescent="0.25">
      <c r="B52" s="8" t="s">
        <v>15</v>
      </c>
      <c r="C52" s="31">
        <v>7</v>
      </c>
      <c r="D52" s="31">
        <v>0</v>
      </c>
      <c r="E52" s="31">
        <v>6</v>
      </c>
      <c r="F52" s="31">
        <v>0</v>
      </c>
      <c r="G52" s="31">
        <v>0</v>
      </c>
      <c r="H52" s="31">
        <v>0</v>
      </c>
      <c r="I52" s="32">
        <v>3</v>
      </c>
      <c r="J52" s="32">
        <v>4</v>
      </c>
      <c r="K52" s="33">
        <v>0</v>
      </c>
      <c r="L52" s="31">
        <v>3</v>
      </c>
      <c r="M52" s="23"/>
      <c r="N52" s="23"/>
    </row>
    <row r="53" spans="2:17" outlineLevel="1" x14ac:dyDescent="0.25">
      <c r="B53" s="8" t="s">
        <v>13</v>
      </c>
      <c r="C53" s="28">
        <v>74</v>
      </c>
      <c r="D53" s="28">
        <v>64</v>
      </c>
      <c r="E53" s="28">
        <v>79</v>
      </c>
      <c r="F53" s="28">
        <v>70</v>
      </c>
      <c r="G53" s="28">
        <v>74</v>
      </c>
      <c r="H53" s="28">
        <v>78</v>
      </c>
      <c r="I53" s="28">
        <v>72</v>
      </c>
      <c r="J53" s="28">
        <v>81</v>
      </c>
      <c r="K53" s="28">
        <v>53</v>
      </c>
      <c r="L53" s="28">
        <v>60</v>
      </c>
      <c r="M53" s="19"/>
      <c r="N53" s="19"/>
    </row>
    <row r="54" spans="2:17" outlineLevel="1" x14ac:dyDescent="0.25">
      <c r="B54" s="8" t="s">
        <v>14</v>
      </c>
      <c r="C54" s="28">
        <v>29</v>
      </c>
      <c r="D54" s="28">
        <v>24</v>
      </c>
      <c r="E54" s="28">
        <v>29</v>
      </c>
      <c r="F54" s="28">
        <v>29</v>
      </c>
      <c r="G54" s="28">
        <v>24</v>
      </c>
      <c r="H54" s="28">
        <v>31</v>
      </c>
      <c r="I54" s="28">
        <v>31</v>
      </c>
      <c r="J54" s="28">
        <v>33</v>
      </c>
      <c r="K54" s="28">
        <v>25</v>
      </c>
      <c r="L54" s="28">
        <v>21</v>
      </c>
      <c r="M54" s="19"/>
      <c r="N54" s="19"/>
    </row>
    <row r="55" spans="2:17" outlineLevel="1" x14ac:dyDescent="0.25">
      <c r="B55" s="8" t="s">
        <v>16</v>
      </c>
      <c r="C55" s="9">
        <v>0.89429999999999998</v>
      </c>
      <c r="D55" s="9">
        <v>0.85499999999999998</v>
      </c>
      <c r="E55" s="9">
        <v>0.66900000000000004</v>
      </c>
      <c r="F55" s="9">
        <v>0.7</v>
      </c>
      <c r="G55" s="9">
        <v>0.81399999999999995</v>
      </c>
      <c r="H55" s="9">
        <v>0.70299999999999996</v>
      </c>
      <c r="I55" s="9">
        <v>0.61699999999999999</v>
      </c>
      <c r="J55" s="9">
        <v>0.80500000000000005</v>
      </c>
      <c r="K55" s="24"/>
      <c r="L55" s="24"/>
      <c r="M55" s="19"/>
      <c r="N55" s="19"/>
    </row>
    <row r="56" spans="2:17" x14ac:dyDescent="0.25">
      <c r="B56" s="56" t="s">
        <v>10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2:17" ht="16.5" x14ac:dyDescent="0.3">
      <c r="B57" s="57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spans="2:17" outlineLevel="1" x14ac:dyDescent="0.25">
      <c r="B58" t="s">
        <v>0</v>
      </c>
      <c r="C58" s="34">
        <v>848</v>
      </c>
      <c r="D58" s="34">
        <v>757</v>
      </c>
      <c r="E58" s="34">
        <v>802</v>
      </c>
      <c r="F58" s="35">
        <v>725</v>
      </c>
      <c r="G58" s="34">
        <v>765</v>
      </c>
      <c r="H58" s="35">
        <v>748</v>
      </c>
      <c r="I58" s="35">
        <v>834</v>
      </c>
      <c r="J58" s="35">
        <v>813</v>
      </c>
      <c r="K58" s="35">
        <v>800</v>
      </c>
      <c r="L58" s="35">
        <v>824</v>
      </c>
      <c r="M58" s="39"/>
      <c r="N58" s="40"/>
      <c r="O58" s="36">
        <f>SUM(C58:N58)</f>
        <v>7916</v>
      </c>
      <c r="P58" s="37">
        <v>0</v>
      </c>
      <c r="Q58" s="36">
        <f>O58-P58</f>
        <v>7916</v>
      </c>
    </row>
    <row r="59" spans="2:17" outlineLevel="1" x14ac:dyDescent="0.25">
      <c r="B59" t="s">
        <v>1</v>
      </c>
      <c r="C59" s="34">
        <v>24.47</v>
      </c>
      <c r="D59" s="41">
        <v>24.13</v>
      </c>
      <c r="E59" s="34">
        <v>22</v>
      </c>
      <c r="F59" s="41">
        <v>21.39</v>
      </c>
      <c r="G59" s="41">
        <v>20.7</v>
      </c>
      <c r="H59" s="34">
        <v>24.29</v>
      </c>
      <c r="I59" s="35">
        <v>25.16</v>
      </c>
      <c r="J59" s="35">
        <v>25.6</v>
      </c>
      <c r="K59" s="35">
        <v>29.36</v>
      </c>
      <c r="L59" s="35">
        <v>21.05</v>
      </c>
      <c r="M59" s="42"/>
      <c r="N59" s="43"/>
    </row>
    <row r="60" spans="2:17" outlineLevel="1" x14ac:dyDescent="0.25">
      <c r="B60" t="s">
        <v>2</v>
      </c>
      <c r="C60" s="34">
        <v>432</v>
      </c>
      <c r="D60" s="41">
        <v>384</v>
      </c>
      <c r="E60" s="34">
        <v>412</v>
      </c>
      <c r="F60" s="35">
        <v>383</v>
      </c>
      <c r="G60" s="34">
        <v>385</v>
      </c>
      <c r="H60" s="35">
        <v>420</v>
      </c>
      <c r="I60" s="35">
        <v>447</v>
      </c>
      <c r="J60" s="35">
        <v>455</v>
      </c>
      <c r="K60" s="35">
        <v>377</v>
      </c>
      <c r="L60" s="35">
        <v>406</v>
      </c>
      <c r="M60" s="39"/>
      <c r="N60" s="40"/>
    </row>
    <row r="61" spans="2:17" ht="13.9" customHeight="1" outlineLevel="1" x14ac:dyDescent="0.25">
      <c r="B61" t="s">
        <v>3</v>
      </c>
      <c r="C61" s="34">
        <v>305</v>
      </c>
      <c r="D61" s="41">
        <v>304</v>
      </c>
      <c r="E61" s="34">
        <v>327</v>
      </c>
      <c r="F61" s="41">
        <v>316</v>
      </c>
      <c r="G61" s="41">
        <v>339</v>
      </c>
      <c r="H61" s="35">
        <v>341</v>
      </c>
      <c r="I61" s="35">
        <v>384</v>
      </c>
      <c r="J61" s="35">
        <v>342</v>
      </c>
      <c r="K61" s="35">
        <v>375</v>
      </c>
      <c r="L61" s="35">
        <v>359</v>
      </c>
      <c r="M61" s="42"/>
      <c r="N61" s="43"/>
    </row>
    <row r="62" spans="2:17" outlineLevel="1" x14ac:dyDescent="0.25">
      <c r="B62" s="14" t="s">
        <v>4</v>
      </c>
      <c r="C62" s="34">
        <v>366</v>
      </c>
      <c r="D62" s="34">
        <v>324</v>
      </c>
      <c r="E62" s="34">
        <v>353</v>
      </c>
      <c r="F62" s="34">
        <v>302</v>
      </c>
      <c r="G62" s="34">
        <v>325</v>
      </c>
      <c r="H62" s="34">
        <v>296</v>
      </c>
      <c r="I62" s="34">
        <v>347</v>
      </c>
      <c r="J62" s="34">
        <v>311</v>
      </c>
      <c r="K62" s="34">
        <v>379</v>
      </c>
      <c r="L62" s="34">
        <v>378</v>
      </c>
      <c r="M62" s="39"/>
      <c r="N62" s="39"/>
    </row>
    <row r="63" spans="2:17" outlineLevel="1" x14ac:dyDescent="0.25">
      <c r="B63" t="s">
        <v>18</v>
      </c>
      <c r="C63" s="34">
        <v>191</v>
      </c>
      <c r="D63" s="41">
        <v>197</v>
      </c>
      <c r="E63" s="34">
        <v>225</v>
      </c>
      <c r="F63" s="35">
        <v>199</v>
      </c>
      <c r="G63" s="34">
        <v>198</v>
      </c>
      <c r="H63" s="35">
        <v>204</v>
      </c>
      <c r="I63" s="35">
        <v>239</v>
      </c>
      <c r="J63" s="35">
        <v>231</v>
      </c>
      <c r="K63" s="35">
        <v>224</v>
      </c>
      <c r="L63" s="35">
        <v>227</v>
      </c>
      <c r="M63" s="42"/>
      <c r="N63" s="43"/>
    </row>
    <row r="64" spans="2:17" outlineLevel="1" x14ac:dyDescent="0.25">
      <c r="B64" t="s">
        <v>17</v>
      </c>
      <c r="C64" s="34">
        <v>2</v>
      </c>
      <c r="D64" s="41">
        <v>1</v>
      </c>
      <c r="E64" s="34">
        <v>1</v>
      </c>
      <c r="F64" s="35">
        <v>2</v>
      </c>
      <c r="G64" s="34">
        <v>4</v>
      </c>
      <c r="H64" s="35">
        <v>2</v>
      </c>
      <c r="I64" s="35">
        <v>1</v>
      </c>
      <c r="J64" s="35">
        <v>0</v>
      </c>
      <c r="K64" s="35">
        <v>2</v>
      </c>
      <c r="L64" s="35">
        <v>3</v>
      </c>
      <c r="M64" s="39"/>
      <c r="N64" s="39"/>
    </row>
    <row r="65" spans="2:17" outlineLevel="1" x14ac:dyDescent="0.25">
      <c r="B65" s="8" t="s">
        <v>5</v>
      </c>
      <c r="C65" s="34">
        <v>10</v>
      </c>
      <c r="D65" s="41">
        <v>10</v>
      </c>
      <c r="E65" s="34">
        <v>14</v>
      </c>
      <c r="F65" s="35">
        <v>9</v>
      </c>
      <c r="G65" s="34">
        <v>9</v>
      </c>
      <c r="H65" s="35">
        <v>7</v>
      </c>
      <c r="I65" s="35">
        <v>17</v>
      </c>
      <c r="J65" s="35">
        <v>10</v>
      </c>
      <c r="K65" s="35">
        <v>12</v>
      </c>
      <c r="L65" s="35">
        <v>15</v>
      </c>
      <c r="M65" s="39"/>
      <c r="N65" s="40"/>
    </row>
    <row r="66" spans="2:17" outlineLevel="1" x14ac:dyDescent="0.25">
      <c r="B66" s="8" t="s">
        <v>15</v>
      </c>
      <c r="C66" s="34">
        <v>0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9"/>
      <c r="N66" s="39"/>
    </row>
    <row r="67" spans="2:17" outlineLevel="1" x14ac:dyDescent="0.25">
      <c r="B67" s="8" t="s">
        <v>13</v>
      </c>
      <c r="C67" s="28">
        <v>30</v>
      </c>
      <c r="D67" s="28">
        <v>19</v>
      </c>
      <c r="E67" s="28">
        <v>15</v>
      </c>
      <c r="F67" s="28">
        <v>22</v>
      </c>
      <c r="G67" s="28">
        <v>16</v>
      </c>
      <c r="H67" s="28">
        <v>17</v>
      </c>
      <c r="I67" s="28">
        <v>23</v>
      </c>
      <c r="J67" s="28">
        <v>13</v>
      </c>
      <c r="K67" s="28">
        <v>19</v>
      </c>
      <c r="L67" s="28">
        <v>21</v>
      </c>
      <c r="M67" s="19"/>
      <c r="N67" s="19"/>
    </row>
    <row r="68" spans="2:17" outlineLevel="1" x14ac:dyDescent="0.25">
      <c r="B68" s="8" t="s">
        <v>14</v>
      </c>
      <c r="C68" s="28">
        <v>10</v>
      </c>
      <c r="D68" s="28">
        <v>8</v>
      </c>
      <c r="E68" s="28">
        <v>4</v>
      </c>
      <c r="F68" s="28">
        <v>4</v>
      </c>
      <c r="G68" s="28">
        <v>3</v>
      </c>
      <c r="H68" s="28">
        <v>6</v>
      </c>
      <c r="I68" s="28">
        <v>10</v>
      </c>
      <c r="J68" s="28">
        <v>2</v>
      </c>
      <c r="K68" s="28">
        <v>7</v>
      </c>
      <c r="L68" s="28">
        <v>8</v>
      </c>
      <c r="M68" s="19"/>
      <c r="N68" s="19"/>
    </row>
    <row r="69" spans="2:17" x14ac:dyDescent="0.25">
      <c r="B69" s="56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2:17" ht="16.5" x14ac:dyDescent="0.3">
      <c r="B70" s="57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2:17" s="14" customFormat="1" outlineLevel="1" x14ac:dyDescent="0.25">
      <c r="B71" t="s">
        <v>0</v>
      </c>
      <c r="C71" s="35">
        <v>7289</v>
      </c>
      <c r="D71" s="34">
        <v>6663</v>
      </c>
      <c r="E71" s="34">
        <v>7419</v>
      </c>
      <c r="F71" s="35">
        <v>6834</v>
      </c>
      <c r="G71" s="34">
        <v>7399</v>
      </c>
      <c r="H71" s="34">
        <v>7042</v>
      </c>
      <c r="I71" s="34">
        <v>7347</v>
      </c>
      <c r="J71" s="34">
        <v>7298</v>
      </c>
      <c r="K71" s="34">
        <v>6982</v>
      </c>
      <c r="L71" s="34"/>
      <c r="M71" s="39"/>
      <c r="N71" s="40"/>
      <c r="O71" s="36">
        <f>SUM(C71:N71)</f>
        <v>64273</v>
      </c>
      <c r="P71" s="37">
        <v>0</v>
      </c>
      <c r="Q71" s="36">
        <f>O71-P71</f>
        <v>64273</v>
      </c>
    </row>
    <row r="72" spans="2:17" s="14" customFormat="1" outlineLevel="1" x14ac:dyDescent="0.25">
      <c r="B72" t="s">
        <v>1</v>
      </c>
      <c r="C72" s="44"/>
      <c r="D72" s="44"/>
      <c r="E72" s="34">
        <v>109</v>
      </c>
      <c r="F72" s="35">
        <v>109</v>
      </c>
      <c r="G72" s="34">
        <v>93</v>
      </c>
      <c r="H72" s="34">
        <v>76.2</v>
      </c>
      <c r="I72" s="34">
        <v>57</v>
      </c>
      <c r="J72" s="34">
        <v>67.67</v>
      </c>
      <c r="K72" s="34">
        <v>77.5</v>
      </c>
      <c r="L72" s="34"/>
      <c r="M72" s="42"/>
      <c r="N72" s="43"/>
    </row>
    <row r="73" spans="2:17" s="14" customFormat="1" outlineLevel="1" x14ac:dyDescent="0.25">
      <c r="B73" t="s">
        <v>2</v>
      </c>
      <c r="C73" s="44"/>
      <c r="D73" s="44"/>
      <c r="E73" s="34">
        <v>2893</v>
      </c>
      <c r="F73" s="34">
        <v>2734</v>
      </c>
      <c r="G73" s="34">
        <v>2886</v>
      </c>
      <c r="H73" s="44"/>
      <c r="I73" s="44"/>
      <c r="J73" s="44"/>
      <c r="K73" s="44"/>
      <c r="L73" s="35"/>
      <c r="M73" s="39"/>
      <c r="N73" s="40"/>
    </row>
    <row r="74" spans="2:17" s="14" customFormat="1" outlineLevel="1" x14ac:dyDescent="0.25">
      <c r="B74" t="s">
        <v>3</v>
      </c>
      <c r="C74" s="34">
        <v>495</v>
      </c>
      <c r="D74" s="34">
        <v>449</v>
      </c>
      <c r="E74" s="41">
        <v>416</v>
      </c>
      <c r="F74" s="35">
        <v>426</v>
      </c>
      <c r="G74" s="34">
        <v>398</v>
      </c>
      <c r="H74" s="34">
        <v>432</v>
      </c>
      <c r="I74" s="34">
        <v>360</v>
      </c>
      <c r="J74" s="35">
        <v>417.6</v>
      </c>
      <c r="K74" s="35">
        <v>469</v>
      </c>
      <c r="L74" s="35"/>
      <c r="M74" s="42"/>
      <c r="N74" s="43"/>
    </row>
    <row r="75" spans="2:17" s="14" customFormat="1" outlineLevel="1" x14ac:dyDescent="0.25">
      <c r="B75" s="14" t="s">
        <v>4</v>
      </c>
      <c r="C75" s="34"/>
      <c r="D75" s="34"/>
      <c r="E75" s="34">
        <f>E71-E73</f>
        <v>4526</v>
      </c>
      <c r="F75" s="34">
        <f>F71-F73</f>
        <v>4100</v>
      </c>
      <c r="G75" s="34">
        <f>G71-G73</f>
        <v>4513</v>
      </c>
      <c r="H75" s="34"/>
      <c r="I75" s="34"/>
      <c r="J75" s="34"/>
      <c r="K75" s="34"/>
      <c r="L75" s="34"/>
      <c r="M75" s="39"/>
      <c r="N75" s="39"/>
    </row>
    <row r="76" spans="2:17" s="14" customFormat="1" outlineLevel="1" x14ac:dyDescent="0.25">
      <c r="B76" t="s">
        <v>18</v>
      </c>
      <c r="C76" s="34">
        <v>8.26</v>
      </c>
      <c r="D76" s="34">
        <v>7</v>
      </c>
      <c r="E76" s="34">
        <v>314</v>
      </c>
      <c r="F76" s="35">
        <v>315</v>
      </c>
      <c r="G76" s="34">
        <v>299</v>
      </c>
      <c r="H76" s="44"/>
      <c r="I76" s="44"/>
      <c r="J76" s="44"/>
      <c r="K76" s="44"/>
      <c r="L76" s="35"/>
      <c r="M76" s="42"/>
      <c r="N76" s="43"/>
    </row>
    <row r="77" spans="2:17" s="14" customFormat="1" outlineLevel="1" x14ac:dyDescent="0.25">
      <c r="B77" t="s">
        <v>17</v>
      </c>
      <c r="C77" s="35">
        <v>373</v>
      </c>
      <c r="D77" s="34">
        <v>214</v>
      </c>
      <c r="E77" s="34">
        <v>212</v>
      </c>
      <c r="F77" s="35">
        <v>188</v>
      </c>
      <c r="G77" s="34">
        <v>174</v>
      </c>
      <c r="H77" s="34">
        <v>153</v>
      </c>
      <c r="I77" s="34">
        <v>62</v>
      </c>
      <c r="J77" s="35">
        <v>107</v>
      </c>
      <c r="K77" s="35">
        <v>135</v>
      </c>
      <c r="L77" s="34"/>
      <c r="M77" s="39"/>
      <c r="N77" s="39"/>
    </row>
    <row r="78" spans="2:17" s="14" customFormat="1" outlineLevel="1" x14ac:dyDescent="0.25">
      <c r="B78" s="8" t="s">
        <v>5</v>
      </c>
      <c r="C78" s="35">
        <v>71</v>
      </c>
      <c r="D78" s="34">
        <v>44</v>
      </c>
      <c r="E78" s="34">
        <v>41</v>
      </c>
      <c r="F78" s="34">
        <v>45</v>
      </c>
      <c r="G78" s="34">
        <v>66</v>
      </c>
      <c r="H78" s="34">
        <v>45</v>
      </c>
      <c r="I78" s="34">
        <v>42</v>
      </c>
      <c r="J78" s="35">
        <v>45</v>
      </c>
      <c r="K78" s="35">
        <v>67</v>
      </c>
      <c r="L78" s="34"/>
      <c r="M78" s="39"/>
      <c r="N78" s="40"/>
    </row>
    <row r="79" spans="2:17" outlineLevel="1" x14ac:dyDescent="0.25">
      <c r="B79" s="8" t="s">
        <v>15</v>
      </c>
      <c r="C79" s="45"/>
      <c r="D79" s="45"/>
      <c r="E79" s="46"/>
      <c r="F79" s="46"/>
      <c r="G79" s="46"/>
      <c r="H79" s="45"/>
      <c r="I79" s="46"/>
      <c r="J79" s="46"/>
      <c r="K79" s="46"/>
      <c r="L79" s="46"/>
      <c r="M79" s="15"/>
      <c r="N79" s="15"/>
    </row>
    <row r="80" spans="2:17" outlineLevel="1" x14ac:dyDescent="0.25">
      <c r="B80" s="8" t="s">
        <v>13</v>
      </c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20"/>
      <c r="N80" s="20"/>
    </row>
    <row r="81" spans="2:17" outlineLevel="1" x14ac:dyDescent="0.25">
      <c r="B81" s="8" t="s">
        <v>14</v>
      </c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20"/>
      <c r="N81" s="20"/>
    </row>
    <row r="82" spans="2:17" outlineLevel="1" x14ac:dyDescent="0.25">
      <c r="B82" s="8" t="s">
        <v>16</v>
      </c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21"/>
      <c r="N82" s="21"/>
    </row>
    <row r="83" spans="2:17" ht="15" customHeight="1" x14ac:dyDescent="0.25">
      <c r="B83" s="56" t="s">
        <v>12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2:17" ht="15" customHeight="1" x14ac:dyDescent="0.3">
      <c r="B84" s="57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spans="2:17" ht="15" customHeight="1" outlineLevel="1" x14ac:dyDescent="0.25">
      <c r="B85" s="51" t="s">
        <v>0</v>
      </c>
      <c r="C85" s="49">
        <v>1719</v>
      </c>
      <c r="D85" s="49">
        <v>1458</v>
      </c>
      <c r="E85" s="34">
        <v>1578</v>
      </c>
      <c r="F85" s="34">
        <v>1526</v>
      </c>
      <c r="G85" s="34">
        <v>1698</v>
      </c>
      <c r="H85" s="34">
        <v>1625</v>
      </c>
      <c r="I85" s="35">
        <v>1519</v>
      </c>
      <c r="J85" s="35">
        <v>1581</v>
      </c>
      <c r="K85" s="35">
        <v>1453</v>
      </c>
      <c r="L85" s="35">
        <v>1605</v>
      </c>
      <c r="M85" s="39"/>
      <c r="N85" s="40"/>
      <c r="O85" s="36">
        <f>SUM(C85:N85)</f>
        <v>15762</v>
      </c>
      <c r="P85" s="37">
        <v>0</v>
      </c>
      <c r="Q85" s="36">
        <f>O85-P85</f>
        <v>15762</v>
      </c>
    </row>
    <row r="86" spans="2:17" ht="15" customHeight="1" outlineLevel="1" x14ac:dyDescent="0.25">
      <c r="B86" s="51" t="s">
        <v>1</v>
      </c>
      <c r="C86" s="49">
        <v>19</v>
      </c>
      <c r="D86" s="49">
        <v>16</v>
      </c>
      <c r="E86" s="35">
        <v>19</v>
      </c>
      <c r="F86" s="34">
        <v>14</v>
      </c>
      <c r="G86" s="34">
        <v>14</v>
      </c>
      <c r="H86" s="34">
        <v>17</v>
      </c>
      <c r="I86" s="35">
        <v>12</v>
      </c>
      <c r="J86" s="35">
        <v>13</v>
      </c>
      <c r="K86" s="35">
        <v>12</v>
      </c>
      <c r="L86" s="35">
        <v>14</v>
      </c>
      <c r="M86" s="42"/>
      <c r="N86" s="43"/>
    </row>
    <row r="87" spans="2:17" ht="15" customHeight="1" outlineLevel="1" x14ac:dyDescent="0.25">
      <c r="B87" s="51" t="s">
        <v>2</v>
      </c>
      <c r="C87" s="49">
        <v>355</v>
      </c>
      <c r="D87" s="49">
        <v>293</v>
      </c>
      <c r="E87" s="41">
        <v>288</v>
      </c>
      <c r="F87" s="34">
        <v>307</v>
      </c>
      <c r="G87" s="34">
        <v>308</v>
      </c>
      <c r="H87" s="34">
        <v>296</v>
      </c>
      <c r="I87" s="35">
        <v>266</v>
      </c>
      <c r="J87" s="35">
        <v>337</v>
      </c>
      <c r="K87" s="35">
        <v>263</v>
      </c>
      <c r="L87" s="35">
        <v>268</v>
      </c>
      <c r="M87" s="39"/>
      <c r="N87" s="40"/>
    </row>
    <row r="88" spans="2:17" outlineLevel="1" x14ac:dyDescent="0.25">
      <c r="B88" s="51" t="s">
        <v>3</v>
      </c>
      <c r="C88" s="49">
        <v>242</v>
      </c>
      <c r="D88" s="49">
        <v>221</v>
      </c>
      <c r="E88" s="41">
        <v>212</v>
      </c>
      <c r="F88" s="34">
        <v>217</v>
      </c>
      <c r="G88" s="34">
        <v>214</v>
      </c>
      <c r="H88" s="34">
        <v>219</v>
      </c>
      <c r="I88" s="35">
        <v>201</v>
      </c>
      <c r="J88" s="35">
        <v>219</v>
      </c>
      <c r="K88" s="35">
        <v>214</v>
      </c>
      <c r="L88" s="35">
        <v>225</v>
      </c>
      <c r="M88" s="42"/>
      <c r="N88" s="43"/>
    </row>
    <row r="89" spans="2:17" s="14" customFormat="1" outlineLevel="1" x14ac:dyDescent="0.25">
      <c r="B89" s="52" t="s">
        <v>4</v>
      </c>
      <c r="C89" s="34">
        <v>1342</v>
      </c>
      <c r="D89" s="34">
        <v>1142</v>
      </c>
      <c r="E89" s="34">
        <v>1258</v>
      </c>
      <c r="F89" s="34">
        <v>1199</v>
      </c>
      <c r="G89" s="34">
        <v>1374</v>
      </c>
      <c r="H89" s="34">
        <v>1308</v>
      </c>
      <c r="I89" s="34">
        <v>1229</v>
      </c>
      <c r="J89" s="34">
        <v>1228</v>
      </c>
      <c r="K89" s="34">
        <v>1182</v>
      </c>
      <c r="L89" s="34">
        <v>1316</v>
      </c>
      <c r="M89" s="39"/>
      <c r="N89" s="39"/>
    </row>
    <row r="90" spans="2:17" s="14" customFormat="1" outlineLevel="1" x14ac:dyDescent="0.25">
      <c r="B90" s="51" t="s">
        <v>18</v>
      </c>
      <c r="C90" s="49">
        <v>146</v>
      </c>
      <c r="D90" s="49">
        <v>137</v>
      </c>
      <c r="E90" s="41">
        <v>135</v>
      </c>
      <c r="F90" s="34">
        <v>129</v>
      </c>
      <c r="G90" s="34">
        <v>128</v>
      </c>
      <c r="H90" s="34">
        <v>139</v>
      </c>
      <c r="I90" s="35">
        <v>123</v>
      </c>
      <c r="J90" s="35">
        <v>131</v>
      </c>
      <c r="K90" s="35">
        <v>127</v>
      </c>
      <c r="L90" s="35">
        <v>125</v>
      </c>
      <c r="M90" s="42"/>
      <c r="N90" s="43"/>
    </row>
    <row r="91" spans="2:17" s="14" customFormat="1" outlineLevel="1" x14ac:dyDescent="0.25">
      <c r="B91" s="51" t="s">
        <v>17</v>
      </c>
      <c r="C91" s="49">
        <v>8</v>
      </c>
      <c r="D91" s="49">
        <v>10</v>
      </c>
      <c r="E91" s="41">
        <v>13</v>
      </c>
      <c r="F91" s="34">
        <v>10</v>
      </c>
      <c r="G91" s="34">
        <v>6</v>
      </c>
      <c r="H91" s="34">
        <v>9</v>
      </c>
      <c r="I91" s="35">
        <v>16</v>
      </c>
      <c r="J91" s="35">
        <v>8</v>
      </c>
      <c r="K91" s="35">
        <v>10</v>
      </c>
      <c r="L91" s="35">
        <v>11</v>
      </c>
      <c r="M91" s="39"/>
      <c r="N91" s="39"/>
    </row>
    <row r="92" spans="2:17" s="14" customFormat="1" outlineLevel="1" x14ac:dyDescent="0.25">
      <c r="B92" s="53" t="s">
        <v>5</v>
      </c>
      <c r="C92" s="35">
        <v>7</v>
      </c>
      <c r="D92" s="35">
        <v>9</v>
      </c>
      <c r="E92" s="35">
        <v>5</v>
      </c>
      <c r="F92" s="34">
        <v>6</v>
      </c>
      <c r="G92" s="34">
        <v>8</v>
      </c>
      <c r="H92" s="34">
        <v>10</v>
      </c>
      <c r="I92" s="35">
        <v>6</v>
      </c>
      <c r="J92" s="35">
        <v>5</v>
      </c>
      <c r="K92" s="35">
        <v>4</v>
      </c>
      <c r="L92" s="35">
        <v>7</v>
      </c>
      <c r="M92" s="39"/>
      <c r="N92" s="40"/>
    </row>
    <row r="93" spans="2:17" s="14" customFormat="1" outlineLevel="1" x14ac:dyDescent="0.25">
      <c r="B93" s="53" t="s">
        <v>15</v>
      </c>
      <c r="C93" s="50">
        <v>0</v>
      </c>
      <c r="D93" s="50">
        <v>4</v>
      </c>
      <c r="E93" s="50">
        <v>2</v>
      </c>
      <c r="F93" s="50">
        <v>4</v>
      </c>
      <c r="G93" s="50">
        <v>2</v>
      </c>
      <c r="H93" s="50">
        <v>2</v>
      </c>
      <c r="I93" s="50">
        <v>2</v>
      </c>
      <c r="J93" s="50">
        <v>3</v>
      </c>
      <c r="K93" s="50">
        <v>3</v>
      </c>
      <c r="L93" s="50">
        <v>3</v>
      </c>
      <c r="M93" s="21"/>
      <c r="N93" s="21"/>
    </row>
    <row r="94" spans="2:17" s="14" customFormat="1" outlineLevel="1" x14ac:dyDescent="0.25">
      <c r="B94" s="8" t="s">
        <v>13</v>
      </c>
      <c r="C94" s="28">
        <v>63</v>
      </c>
      <c r="D94" s="28">
        <v>61</v>
      </c>
      <c r="E94" s="28">
        <v>46</v>
      </c>
      <c r="F94" s="28">
        <v>48</v>
      </c>
      <c r="G94" s="28">
        <v>56</v>
      </c>
      <c r="H94" s="28">
        <v>75</v>
      </c>
      <c r="I94" s="28">
        <v>69</v>
      </c>
      <c r="J94" s="28">
        <v>52</v>
      </c>
      <c r="K94" s="28">
        <v>61</v>
      </c>
      <c r="L94" s="28">
        <v>64</v>
      </c>
      <c r="M94" s="19"/>
      <c r="N94" s="19"/>
    </row>
    <row r="95" spans="2:17" s="14" customFormat="1" outlineLevel="1" x14ac:dyDescent="0.25">
      <c r="B95" s="8" t="s">
        <v>14</v>
      </c>
      <c r="C95" s="28">
        <v>14</v>
      </c>
      <c r="D95" s="30">
        <v>13</v>
      </c>
      <c r="E95" s="28">
        <v>8</v>
      </c>
      <c r="F95" s="28">
        <v>12</v>
      </c>
      <c r="G95" s="28">
        <v>9</v>
      </c>
      <c r="H95" s="28">
        <v>19</v>
      </c>
      <c r="I95" s="28">
        <v>12</v>
      </c>
      <c r="J95" s="28">
        <v>12</v>
      </c>
      <c r="K95" s="28">
        <v>9</v>
      </c>
      <c r="L95" s="28">
        <v>7</v>
      </c>
      <c r="M95" s="19"/>
      <c r="N95" s="19"/>
    </row>
    <row r="96" spans="2:17" s="14" customFormat="1" outlineLevel="1" x14ac:dyDescent="0.25">
      <c r="B96" s="8" t="s">
        <v>16</v>
      </c>
      <c r="C96" s="13">
        <v>0.91600000000000004</v>
      </c>
      <c r="D96" s="13">
        <v>0.871</v>
      </c>
      <c r="E96" s="13">
        <v>0.89800000000000002</v>
      </c>
      <c r="F96" s="9">
        <v>0.79</v>
      </c>
      <c r="G96" s="9">
        <v>0.76300000000000001</v>
      </c>
      <c r="H96" s="9">
        <v>0.70199999999999996</v>
      </c>
      <c r="I96" s="9">
        <v>0.77700000000000002</v>
      </c>
      <c r="J96" s="9">
        <v>0.84799999999999998</v>
      </c>
      <c r="K96" s="16"/>
      <c r="L96" s="16"/>
      <c r="M96" s="16"/>
      <c r="N96" s="16"/>
    </row>
    <row r="97" spans="12:22" x14ac:dyDescent="0.25"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118" spans="2:17" s="18" customFormat="1" x14ac:dyDescent="0.25">
      <c r="B118"/>
      <c r="C118" s="4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20" spans="2:17" s="14" customFormat="1" x14ac:dyDescent="0.25">
      <c r="B120"/>
      <c r="C120" s="4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</row>
  </sheetData>
  <sheetProtection formatCells="0" formatColumns="0" formatRows="0" insertColumns="0" insertRows="0" insertHyperlinks="0" deleteColumns="0" deleteRows="0" sort="0" autoFilter="0" pivotTables="0"/>
  <mergeCells count="8">
    <mergeCell ref="B2:B3"/>
    <mergeCell ref="B8:B9"/>
    <mergeCell ref="B83:B84"/>
    <mergeCell ref="B14:B15"/>
    <mergeCell ref="B28:B29"/>
    <mergeCell ref="B42:B43"/>
    <mergeCell ref="B56:B57"/>
    <mergeCell ref="B69:B70"/>
  </mergeCells>
  <printOptions horizontalCentered="1"/>
  <pageMargins left="0" right="0" top="0.25" bottom="0" header="0.3" footer="0.3"/>
  <pageSetup scale="54" fitToHeight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FACILITIES</vt:lpstr>
      <vt:lpstr>FACILITIES!Print_Area</vt:lpstr>
    </vt:vector>
  </TitlesOfParts>
  <Company>Sheridan Healthcorp,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Adeife, Abby</dc:creator>
  <cp:lastModifiedBy>Baumgarten, Allen</cp:lastModifiedBy>
  <dcterms:created xsi:type="dcterms:W3CDTF">2017-11-30T17:31:28Z</dcterms:created>
  <dcterms:modified xsi:type="dcterms:W3CDTF">2017-12-26T20:43:36Z</dcterms:modified>
</cp:coreProperties>
</file>