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Patient Satisfaction\San Ramon\"/>
    </mc:Choice>
  </mc:AlternateContent>
  <bookViews>
    <workbookView xWindow="0" yWindow="0" windowWidth="28800" windowHeight="13020"/>
  </bookViews>
  <sheets>
    <sheet name="Doctor_Satisfaction" sheetId="2" r:id="rId1"/>
    <sheet name="Data" sheetId="1" r:id="rId2"/>
  </sheets>
  <definedNames>
    <definedName name="_xlnm._FilterDatabase" localSheetId="1" hidden="1">Data!$A$1:$H$284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  <c r="C7" i="2"/>
  <c r="C8" i="2"/>
  <c r="C9" i="2"/>
  <c r="C10" i="2"/>
  <c r="C11" i="2"/>
  <c r="C12" i="2"/>
  <c r="C5" i="2"/>
  <c r="C4" i="2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8" i="1"/>
  <c r="J7" i="1"/>
  <c r="J6" i="1"/>
  <c r="J5" i="1"/>
  <c r="J4" i="1"/>
  <c r="J3" i="1"/>
  <c r="J2" i="1"/>
  <c r="H59" i="1"/>
  <c r="H58" i="1"/>
  <c r="H57" i="1"/>
  <c r="H35" i="1"/>
  <c r="H34" i="1"/>
  <c r="H33" i="1"/>
  <c r="H11" i="1"/>
  <c r="H10" i="1"/>
  <c r="H9" i="1"/>
  <c r="H178" i="1"/>
  <c r="H177" i="1"/>
  <c r="H176" i="1"/>
  <c r="H175" i="1"/>
  <c r="H274" i="1"/>
  <c r="H273" i="1"/>
  <c r="H272" i="1"/>
  <c r="H271" i="1"/>
  <c r="H270" i="1"/>
  <c r="H269" i="1"/>
  <c r="H239" i="1"/>
  <c r="H238" i="1"/>
  <c r="H237" i="1"/>
  <c r="H236" i="1"/>
  <c r="H235" i="1"/>
  <c r="H234" i="1"/>
  <c r="H204" i="1"/>
  <c r="H203" i="1"/>
  <c r="H202" i="1"/>
  <c r="H201" i="1"/>
  <c r="H200" i="1"/>
  <c r="H199" i="1"/>
  <c r="H169" i="1"/>
  <c r="H168" i="1"/>
  <c r="H167" i="1"/>
  <c r="H166" i="1"/>
  <c r="H165" i="1"/>
  <c r="H164" i="1"/>
  <c r="H134" i="1"/>
  <c r="H133" i="1"/>
  <c r="H132" i="1"/>
  <c r="H131" i="1"/>
  <c r="H130" i="1"/>
  <c r="H129" i="1"/>
  <c r="H99" i="1"/>
  <c r="H98" i="1"/>
  <c r="H97" i="1"/>
  <c r="H96" i="1"/>
  <c r="H95" i="1"/>
  <c r="H94" i="1"/>
  <c r="H284" i="1"/>
  <c r="H283" i="1"/>
  <c r="H282" i="1"/>
  <c r="H281" i="1"/>
  <c r="H280" i="1"/>
  <c r="H279" i="1"/>
  <c r="H278" i="1"/>
  <c r="H277" i="1"/>
  <c r="H276" i="1"/>
  <c r="H275" i="1"/>
  <c r="H268" i="1"/>
  <c r="H267" i="1"/>
  <c r="H266" i="1"/>
  <c r="H265" i="1"/>
  <c r="H264" i="1"/>
  <c r="H253" i="1"/>
  <c r="H252" i="1"/>
  <c r="H251" i="1"/>
  <c r="H250" i="1"/>
  <c r="H249" i="1"/>
  <c r="H244" i="1"/>
  <c r="H243" i="1"/>
  <c r="H242" i="1"/>
  <c r="H241" i="1"/>
  <c r="H240" i="1"/>
  <c r="H233" i="1"/>
  <c r="H232" i="1"/>
  <c r="H231" i="1"/>
  <c r="H230" i="1"/>
  <c r="H229" i="1"/>
  <c r="H218" i="1"/>
  <c r="H217" i="1"/>
  <c r="H216" i="1"/>
  <c r="H215" i="1"/>
  <c r="H214" i="1"/>
  <c r="H209" i="1"/>
  <c r="H208" i="1"/>
  <c r="H207" i="1"/>
  <c r="H206" i="1"/>
  <c r="H205" i="1"/>
  <c r="H198" i="1"/>
  <c r="H197" i="1"/>
  <c r="H196" i="1"/>
  <c r="H195" i="1"/>
  <c r="H194" i="1"/>
  <c r="H183" i="1"/>
  <c r="H182" i="1"/>
  <c r="H181" i="1"/>
  <c r="H180" i="1"/>
  <c r="H179" i="1"/>
  <c r="H174" i="1"/>
  <c r="H173" i="1"/>
  <c r="H172" i="1"/>
  <c r="H171" i="1"/>
  <c r="H170" i="1"/>
  <c r="H163" i="1"/>
  <c r="H162" i="1"/>
  <c r="H161" i="1"/>
  <c r="H160" i="1"/>
  <c r="H159" i="1"/>
  <c r="H148" i="1"/>
  <c r="H147" i="1"/>
  <c r="H146" i="1"/>
  <c r="H145" i="1"/>
  <c r="H144" i="1"/>
  <c r="H139" i="1"/>
  <c r="H138" i="1"/>
  <c r="H137" i="1"/>
  <c r="H136" i="1"/>
  <c r="H135" i="1"/>
  <c r="H128" i="1"/>
  <c r="H127" i="1"/>
  <c r="H126" i="1"/>
  <c r="H125" i="1"/>
  <c r="H124" i="1"/>
  <c r="H113" i="1"/>
  <c r="H112" i="1"/>
  <c r="H111" i="1"/>
  <c r="H110" i="1"/>
  <c r="H109" i="1"/>
  <c r="H104" i="1"/>
  <c r="H103" i="1"/>
  <c r="H102" i="1"/>
  <c r="H101" i="1"/>
  <c r="H100" i="1"/>
  <c r="H93" i="1"/>
  <c r="H92" i="1"/>
  <c r="H91" i="1"/>
  <c r="H90" i="1"/>
  <c r="H89" i="1"/>
  <c r="H78" i="1"/>
  <c r="H77" i="1"/>
  <c r="H76" i="1"/>
  <c r="H75" i="1"/>
  <c r="H74" i="1"/>
  <c r="H248" i="1"/>
  <c r="H247" i="1"/>
  <c r="H246" i="1"/>
  <c r="H245" i="1"/>
  <c r="H213" i="1"/>
  <c r="H212" i="1"/>
  <c r="H211" i="1"/>
  <c r="H210" i="1"/>
  <c r="H143" i="1"/>
  <c r="H142" i="1"/>
  <c r="H141" i="1"/>
  <c r="H140" i="1"/>
  <c r="H108" i="1"/>
  <c r="H107" i="1"/>
  <c r="H106" i="1"/>
  <c r="H105" i="1"/>
  <c r="H73" i="1"/>
  <c r="H72" i="1"/>
  <c r="H71" i="1"/>
  <c r="H70" i="1"/>
  <c r="H49" i="1"/>
  <c r="H48" i="1"/>
  <c r="H47" i="1"/>
  <c r="H46" i="1"/>
  <c r="H25" i="1"/>
  <c r="H24" i="1"/>
  <c r="H23" i="1"/>
  <c r="H22" i="1"/>
  <c r="H69" i="1"/>
  <c r="H68" i="1"/>
  <c r="H45" i="1"/>
  <c r="H44" i="1"/>
  <c r="H21" i="1"/>
  <c r="H20" i="1"/>
  <c r="H67" i="1"/>
  <c r="H66" i="1"/>
  <c r="H65" i="1"/>
  <c r="H64" i="1"/>
  <c r="H63" i="1"/>
  <c r="H62" i="1"/>
  <c r="H61" i="1"/>
  <c r="H60" i="1"/>
  <c r="H43" i="1"/>
  <c r="H42" i="1"/>
  <c r="H41" i="1"/>
  <c r="H40" i="1"/>
  <c r="H39" i="1"/>
  <c r="H38" i="1"/>
  <c r="H37" i="1"/>
  <c r="H36" i="1"/>
  <c r="H19" i="1"/>
  <c r="H18" i="1"/>
  <c r="H17" i="1"/>
  <c r="H16" i="1"/>
  <c r="H15" i="1"/>
  <c r="H14" i="1"/>
  <c r="H13" i="1"/>
  <c r="H12" i="1"/>
  <c r="H84" i="1"/>
  <c r="H83" i="1"/>
  <c r="H82" i="1"/>
  <c r="H81" i="1"/>
  <c r="H80" i="1"/>
  <c r="H79" i="1"/>
  <c r="H259" i="1"/>
  <c r="H258" i="1"/>
  <c r="H257" i="1"/>
  <c r="H256" i="1"/>
  <c r="H255" i="1"/>
  <c r="H254" i="1"/>
  <c r="H224" i="1"/>
  <c r="H223" i="1"/>
  <c r="H222" i="1"/>
  <c r="H221" i="1"/>
  <c r="H220" i="1"/>
  <c r="H219" i="1"/>
  <c r="H189" i="1"/>
  <c r="H188" i="1"/>
  <c r="H187" i="1"/>
  <c r="H186" i="1"/>
  <c r="H185" i="1"/>
  <c r="H184" i="1"/>
  <c r="H154" i="1"/>
  <c r="H153" i="1"/>
  <c r="H152" i="1"/>
  <c r="H151" i="1"/>
  <c r="H150" i="1"/>
  <c r="H149" i="1"/>
  <c r="H119" i="1"/>
  <c r="H118" i="1"/>
  <c r="H117" i="1"/>
  <c r="H116" i="1"/>
  <c r="H115" i="1"/>
  <c r="H114" i="1"/>
  <c r="H53" i="1"/>
  <c r="H52" i="1"/>
  <c r="H51" i="1"/>
  <c r="H50" i="1"/>
  <c r="H29" i="1"/>
  <c r="H28" i="1"/>
  <c r="H27" i="1"/>
  <c r="H26" i="1"/>
  <c r="H5" i="1"/>
  <c r="H4" i="1"/>
  <c r="H3" i="1"/>
  <c r="H2" i="1" l="1"/>
  <c r="H261" i="1" l="1"/>
  <c r="H262" i="1"/>
  <c r="H263" i="1"/>
  <c r="H260" i="1"/>
  <c r="H226" i="1"/>
  <c r="H227" i="1"/>
  <c r="H228" i="1"/>
  <c r="H225" i="1"/>
  <c r="H191" i="1"/>
  <c r="H192" i="1"/>
  <c r="H193" i="1"/>
  <c r="H190" i="1"/>
  <c r="H156" i="1"/>
  <c r="H157" i="1"/>
  <c r="H158" i="1"/>
  <c r="H155" i="1"/>
  <c r="H123" i="1"/>
  <c r="H122" i="1"/>
  <c r="H121" i="1"/>
  <c r="H120" i="1"/>
  <c r="H88" i="1" l="1"/>
  <c r="H87" i="1"/>
  <c r="H86" i="1"/>
  <c r="H85" i="1"/>
  <c r="H56" i="1"/>
  <c r="H55" i="1"/>
  <c r="H54" i="1"/>
  <c r="H32" i="1"/>
  <c r="H31" i="1"/>
  <c r="H30" i="1"/>
  <c r="H8" i="1"/>
  <c r="H7" i="1"/>
  <c r="H6" i="1"/>
</calcChain>
</file>

<file path=xl/sharedStrings.xml><?xml version="1.0" encoding="utf-8"?>
<sst xmlns="http://schemas.openxmlformats.org/spreadsheetml/2006/main" count="1155" uniqueCount="104">
  <si>
    <t xml:space="preserve">Site </t>
  </si>
  <si>
    <t>Year</t>
  </si>
  <si>
    <t xml:space="preserve">Question </t>
  </si>
  <si>
    <t>Nursing Communication</t>
  </si>
  <si>
    <t>Nurses</t>
  </si>
  <si>
    <t>Nurses courtesy and respect</t>
  </si>
  <si>
    <t>Nurses listened carefully</t>
  </si>
  <si>
    <t>Nurses explanations clear</t>
  </si>
  <si>
    <t>Nurses helped patients feel at ease</t>
  </si>
  <si>
    <t>San Ramon</t>
  </si>
  <si>
    <t>Doctor Communication</t>
  </si>
  <si>
    <t>Doctors</t>
  </si>
  <si>
    <t>Doctors courtesy and respect</t>
  </si>
  <si>
    <t>Doctors listened carefully</t>
  </si>
  <si>
    <t>Doctors explanations clear</t>
  </si>
  <si>
    <t>N</t>
  </si>
  <si>
    <t>Patient Access</t>
  </si>
  <si>
    <t>Staff clearly explained financial/insurance matters</t>
  </si>
  <si>
    <t>Did staff clearly explain financial/insurance matters</t>
  </si>
  <si>
    <t>Admissions staff courtesy and respect</t>
  </si>
  <si>
    <t>Wait Time</t>
  </si>
  <si>
    <t>Amount of time before taken to treatment room</t>
  </si>
  <si>
    <t>Amount of time waited before seeing doctor</t>
  </si>
  <si>
    <t>Pain Management</t>
  </si>
  <si>
    <t>Pain well controlled</t>
  </si>
  <si>
    <t>Staff helped patient with pain</t>
  </si>
  <si>
    <t>Communication about Medications</t>
  </si>
  <si>
    <t>Staff explained medicine</t>
  </si>
  <si>
    <t>Staff clearly described side effects</t>
  </si>
  <si>
    <t>Discharge Information</t>
  </si>
  <si>
    <t>Staff discussed discharge help</t>
  </si>
  <si>
    <t>Written symptoms/health info provided</t>
  </si>
  <si>
    <t>Hospital Rating Question</t>
  </si>
  <si>
    <t>Willing to Recommend</t>
  </si>
  <si>
    <t>Tenet Custom</t>
  </si>
  <si>
    <t>Staff provided safe patient care</t>
  </si>
  <si>
    <t>Staff sensitive to families' needs</t>
  </si>
  <si>
    <t>Staff worked together as a team</t>
  </si>
  <si>
    <t>Staff respected patient privacy</t>
  </si>
  <si>
    <t xml:space="preserve">January </t>
  </si>
  <si>
    <t>February</t>
  </si>
  <si>
    <t>March</t>
  </si>
  <si>
    <t>April</t>
  </si>
  <si>
    <t>May</t>
  </si>
  <si>
    <t>Arrival</t>
  </si>
  <si>
    <t>Waiting time before noticed arrival</t>
  </si>
  <si>
    <t>Helpfulness of first person</t>
  </si>
  <si>
    <t>Comfort of waiting area</t>
  </si>
  <si>
    <t>Waiting time to treatment area</t>
  </si>
  <si>
    <t>Waiting time to see doctor</t>
  </si>
  <si>
    <t>Nurses courtesy</t>
  </si>
  <si>
    <t>Nurse took time to listen</t>
  </si>
  <si>
    <t>Nurses attention to your needs</t>
  </si>
  <si>
    <t>Nurses informative re treatments</t>
  </si>
  <si>
    <t>Nurses concern for privacy</t>
  </si>
  <si>
    <t>Extent to which nurse checked ID</t>
  </si>
  <si>
    <t>Doctors courtesy</t>
  </si>
  <si>
    <t>Doctor took time to listen</t>
  </si>
  <si>
    <t>Doctor informative re treatment</t>
  </si>
  <si>
    <t>Doctors concern for comfort</t>
  </si>
  <si>
    <t>Tests</t>
  </si>
  <si>
    <t>Courtesy of person who took blood</t>
  </si>
  <si>
    <t>Concern blood draw comfort</t>
  </si>
  <si>
    <t>Waiting time for radiology test</t>
  </si>
  <si>
    <t>Courtesy of radiology staff</t>
  </si>
  <si>
    <t>Concern for comfort radiology test</t>
  </si>
  <si>
    <t>Family or Friends</t>
  </si>
  <si>
    <t>Courtesy shown family/friends</t>
  </si>
  <si>
    <t>Adequacy of info to family/friends</t>
  </si>
  <si>
    <t>Let family/friend be with you</t>
  </si>
  <si>
    <t>Personal/Insurance Info</t>
  </si>
  <si>
    <t>Courtesy during pers/insur info</t>
  </si>
  <si>
    <t>Privacy during pers/insur info</t>
  </si>
  <si>
    <t>Ease giving pers/insur info</t>
  </si>
  <si>
    <t>Personal Issues</t>
  </si>
  <si>
    <t>Informed about delays</t>
  </si>
  <si>
    <t>Staff cared about you as person</t>
  </si>
  <si>
    <t>How well pain was controlled</t>
  </si>
  <si>
    <t>Information about home care</t>
  </si>
  <si>
    <t>Staff treated you w/respect/dignity</t>
  </si>
  <si>
    <t>Overall Assessment</t>
  </si>
  <si>
    <t>Overall rating ER care</t>
  </si>
  <si>
    <t>Likelihood of recommending</t>
  </si>
  <si>
    <t>Deg hosp staff worked as a team</t>
  </si>
  <si>
    <t>Extent staff washed their hands</t>
  </si>
  <si>
    <t>Jun</t>
  </si>
  <si>
    <t>Jul</t>
  </si>
  <si>
    <t>Aug</t>
  </si>
  <si>
    <t>Sep</t>
  </si>
  <si>
    <t>Cleanliness of ER/ED</t>
  </si>
  <si>
    <t>Period</t>
  </si>
  <si>
    <t>Satisfaction_Category</t>
  </si>
  <si>
    <t>Question_Score</t>
  </si>
  <si>
    <t>Category_Score</t>
  </si>
  <si>
    <t>Category_Weights</t>
  </si>
  <si>
    <t>Overall_Score</t>
  </si>
  <si>
    <t>Satisfaction Scores (Doctors)</t>
  </si>
  <si>
    <t>Jan</t>
  </si>
  <si>
    <t>Feb</t>
  </si>
  <si>
    <t>Mar</t>
  </si>
  <si>
    <t>Apr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</si>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</sst>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70" formatCode="0.000"/>
    <numFmt numFmtId="171" formatCode="###.0;\(###.0\);\-"/>
    <numFmt numFmtId="172" formatCode="###.000;\(###.000\);\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theme="0" tint="-0.24994659260841701"/>
      </top>
      <bottom style="thick">
        <color theme="0" tint="-0.24994659260841701"/>
      </bottom>
      <diagonal/>
    </border>
    <border>
      <left/>
      <right/>
      <top style="thick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1" applyFont="1" applyFill="1" applyBorder="1" applyAlignment="1">
      <alignment horizontal="left"/>
    </xf>
    <xf numFmtId="43" fontId="0" fillId="0" borderId="0" xfId="2" applyFont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3" borderId="3" xfId="0" applyFill="1" applyBorder="1"/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3" borderId="5" xfId="0" applyFill="1" applyBorder="1"/>
    <xf numFmtId="0" fontId="0" fillId="3" borderId="5" xfId="0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3" xfId="0" applyFill="1" applyBorder="1" applyAlignment="1">
      <alignment horizontal="left"/>
    </xf>
    <xf numFmtId="0" fontId="0" fillId="0" borderId="3" xfId="0" applyFill="1" applyBorder="1"/>
    <xf numFmtId="0" fontId="0" fillId="0" borderId="5" xfId="0" applyFill="1" applyBorder="1" applyAlignment="1">
      <alignment horizontal="left"/>
    </xf>
    <xf numFmtId="0" fontId="0" fillId="0" borderId="2" xfId="0" applyFill="1" applyBorder="1"/>
    <xf numFmtId="0" fontId="0" fillId="0" borderId="2" xfId="0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4" xfId="0" applyFill="1" applyBorder="1"/>
    <xf numFmtId="0" fontId="0" fillId="0" borderId="4" xfId="0" applyFill="1" applyBorder="1" applyAlignment="1">
      <alignment horizontal="left"/>
    </xf>
    <xf numFmtId="171" fontId="0" fillId="0" borderId="5" xfId="0" applyNumberFormat="1" applyFill="1" applyBorder="1" applyAlignment="1">
      <alignment horizontal="center"/>
    </xf>
    <xf numFmtId="171" fontId="0" fillId="0" borderId="2" xfId="2" applyNumberFormat="1" applyFont="1" applyFill="1" applyBorder="1" applyAlignment="1">
      <alignment horizontal="center"/>
    </xf>
    <xf numFmtId="171" fontId="0" fillId="0" borderId="0" xfId="2" applyNumberFormat="1" applyFont="1" applyFill="1" applyBorder="1" applyAlignment="1">
      <alignment horizontal="center"/>
    </xf>
    <xf numFmtId="171" fontId="0" fillId="0" borderId="3" xfId="2" applyNumberFormat="1" applyFont="1" applyFill="1" applyBorder="1" applyAlignment="1">
      <alignment horizontal="center"/>
    </xf>
    <xf numFmtId="171" fontId="0" fillId="3" borderId="5" xfId="2" applyNumberFormat="1" applyFont="1" applyFill="1" applyBorder="1" applyAlignment="1">
      <alignment horizontal="center"/>
    </xf>
    <xf numFmtId="171" fontId="0" fillId="3" borderId="0" xfId="2" applyNumberFormat="1" applyFont="1" applyFill="1" applyBorder="1" applyAlignment="1">
      <alignment horizontal="center"/>
    </xf>
    <xf numFmtId="171" fontId="0" fillId="3" borderId="3" xfId="2" applyNumberFormat="1" applyFont="1" applyFill="1" applyBorder="1" applyAlignment="1">
      <alignment horizontal="center"/>
    </xf>
    <xf numFmtId="171" fontId="0" fillId="0" borderId="5" xfId="2" applyNumberFormat="1" applyFont="1" applyFill="1" applyBorder="1" applyAlignment="1">
      <alignment horizontal="center"/>
    </xf>
    <xf numFmtId="171" fontId="0" fillId="0" borderId="4" xfId="2" applyNumberFormat="1" applyFont="1" applyFill="1" applyBorder="1" applyAlignment="1">
      <alignment horizontal="center"/>
    </xf>
    <xf numFmtId="171" fontId="0" fillId="0" borderId="2" xfId="0" applyNumberFormat="1" applyFill="1" applyBorder="1" applyAlignment="1">
      <alignment horizontal="center"/>
    </xf>
    <xf numFmtId="171" fontId="0" fillId="0" borderId="0" xfId="0" applyNumberFormat="1" applyFill="1" applyBorder="1" applyAlignment="1">
      <alignment horizontal="center"/>
    </xf>
    <xf numFmtId="171" fontId="0" fillId="0" borderId="3" xfId="0" applyNumberFormat="1" applyFill="1" applyBorder="1" applyAlignment="1">
      <alignment horizontal="center"/>
    </xf>
    <xf numFmtId="171" fontId="0" fillId="3" borderId="5" xfId="0" applyNumberFormat="1" applyFill="1" applyBorder="1" applyAlignment="1">
      <alignment horizontal="center"/>
    </xf>
    <xf numFmtId="171" fontId="0" fillId="3" borderId="0" xfId="0" applyNumberFormat="1" applyFill="1" applyBorder="1" applyAlignment="1">
      <alignment horizontal="center"/>
    </xf>
    <xf numFmtId="171" fontId="0" fillId="3" borderId="3" xfId="0" applyNumberFormat="1" applyFill="1" applyBorder="1" applyAlignment="1">
      <alignment horizontal="center"/>
    </xf>
    <xf numFmtId="171" fontId="0" fillId="0" borderId="4" xfId="0" applyNumberFormat="1" applyFill="1" applyBorder="1" applyAlignment="1">
      <alignment horizontal="center"/>
    </xf>
    <xf numFmtId="171" fontId="0" fillId="0" borderId="5" xfId="0" applyNumberFormat="1" applyBorder="1" applyAlignment="1">
      <alignment horizontal="center"/>
    </xf>
    <xf numFmtId="171" fontId="0" fillId="0" borderId="0" xfId="0" applyNumberFormat="1" applyBorder="1" applyAlignment="1">
      <alignment horizontal="center"/>
    </xf>
    <xf numFmtId="171" fontId="0" fillId="0" borderId="3" xfId="0" applyNumberFormat="1" applyBorder="1" applyAlignment="1">
      <alignment horizontal="center"/>
    </xf>
    <xf numFmtId="172" fontId="0" fillId="0" borderId="2" xfId="2" applyNumberFormat="1" applyFont="1" applyFill="1" applyBorder="1" applyAlignment="1">
      <alignment horizontal="center"/>
    </xf>
    <xf numFmtId="172" fontId="0" fillId="0" borderId="0" xfId="2" applyNumberFormat="1" applyFont="1" applyFill="1" applyBorder="1" applyAlignment="1">
      <alignment horizontal="center"/>
    </xf>
    <xf numFmtId="172" fontId="0" fillId="0" borderId="3" xfId="2" applyNumberFormat="1" applyFont="1" applyFill="1" applyBorder="1" applyAlignment="1">
      <alignment horizontal="center"/>
    </xf>
    <xf numFmtId="172" fontId="0" fillId="3" borderId="5" xfId="2" applyNumberFormat="1" applyFont="1" applyFill="1" applyBorder="1" applyAlignment="1">
      <alignment horizontal="center"/>
    </xf>
    <xf numFmtId="172" fontId="0" fillId="3" borderId="0" xfId="2" applyNumberFormat="1" applyFont="1" applyFill="1" applyBorder="1" applyAlignment="1">
      <alignment horizontal="center"/>
    </xf>
    <xf numFmtId="172" fontId="0" fillId="3" borderId="3" xfId="2" applyNumberFormat="1" applyFont="1" applyFill="1" applyBorder="1" applyAlignment="1">
      <alignment horizontal="center"/>
    </xf>
    <xf numFmtId="172" fontId="0" fillId="0" borderId="5" xfId="2" applyNumberFormat="1" applyFont="1" applyFill="1" applyBorder="1" applyAlignment="1">
      <alignment horizontal="center"/>
    </xf>
    <xf numFmtId="172" fontId="0" fillId="0" borderId="4" xfId="2" applyNumberFormat="1" applyFont="1" applyFill="1" applyBorder="1" applyAlignment="1">
      <alignment horizontal="center"/>
    </xf>
    <xf numFmtId="0" fontId="3" fillId="0" borderId="0" xfId="0" applyFont="1"/>
    <xf numFmtId="170" fontId="0" fillId="0" borderId="0" xfId="0" applyNumberFormat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G9" sqref="G9"/>
    </sheetView>
  </sheetViews>
  <sheetFormatPr defaultRowHeight="15" x14ac:dyDescent="0.25"/>
  <cols>
    <col min="1" max="1" width="4.7109375" customWidth="1"/>
    <col min="2" max="2" width="5.42578125" customWidth="1"/>
  </cols>
  <sheetData>
    <row r="1" spans="1:12" x14ac:dyDescent="0.25">
      <c r="A1" s="68" t="s">
        <v>96</v>
      </c>
      <c r="D1" s="1"/>
      <c r="F1" s="1"/>
    </row>
    <row r="2" spans="1:12" x14ac:dyDescent="0.25">
      <c r="F2" s="1"/>
      <c r="H2" s="1"/>
    </row>
    <row r="3" spans="1:12" x14ac:dyDescent="0.25">
      <c r="E3" s="1"/>
      <c r="G3" s="1"/>
    </row>
    <row r="4" spans="1:12" x14ac:dyDescent="0.25">
      <c r="B4" s="5" t="s">
        <v>97</v>
      </c>
      <c r="C4" s="69">
        <f>SUM(Data!I6:I8)</f>
        <v>0.91633333333333322</v>
      </c>
      <c r="E4" s="1"/>
      <c r="G4" s="1"/>
    </row>
    <row r="5" spans="1:12" x14ac:dyDescent="0.25">
      <c r="B5" s="5" t="s">
        <v>98</v>
      </c>
      <c r="C5">
        <f>SUM(Data!I30:I32)</f>
        <v>0.871</v>
      </c>
      <c r="H5" s="1"/>
      <c r="J5" s="1"/>
    </row>
    <row r="6" spans="1:12" x14ac:dyDescent="0.25">
      <c r="B6" s="5" t="s">
        <v>99</v>
      </c>
      <c r="C6" s="69">
        <f>SUM(Data!I54:I56)</f>
        <v>0.89833333333333321</v>
      </c>
      <c r="D6" s="1"/>
      <c r="F6" s="1"/>
    </row>
    <row r="7" spans="1:12" x14ac:dyDescent="0.25">
      <c r="B7" s="5" t="s">
        <v>100</v>
      </c>
      <c r="C7" s="69">
        <f>SUM(Data!I85:I88)</f>
        <v>0.7898403361344537</v>
      </c>
      <c r="F7" s="1"/>
      <c r="H7" s="1"/>
    </row>
    <row r="8" spans="1:12" x14ac:dyDescent="0.25">
      <c r="B8" s="5" t="s">
        <v>43</v>
      </c>
      <c r="C8" s="69">
        <f>SUM(Data!I120:I123)</f>
        <v>0.7608694316436253</v>
      </c>
      <c r="E8" s="1"/>
      <c r="G8" s="1"/>
    </row>
    <row r="9" spans="1:12" x14ac:dyDescent="0.25">
      <c r="B9" s="5" t="s">
        <v>85</v>
      </c>
      <c r="C9" s="69">
        <f>SUM(Data!I155:I158)</f>
        <v>0.7019676375404531</v>
      </c>
      <c r="E9" s="1"/>
      <c r="G9" s="1"/>
    </row>
    <row r="10" spans="1:12" x14ac:dyDescent="0.25">
      <c r="B10" s="5" t="s">
        <v>86</v>
      </c>
      <c r="C10" s="69">
        <f>SUM(Data!I190:I193)</f>
        <v>0.77736861313868622</v>
      </c>
      <c r="D10" s="1"/>
      <c r="F10" s="1"/>
    </row>
    <row r="11" spans="1:12" x14ac:dyDescent="0.25">
      <c r="B11" s="5" t="s">
        <v>87</v>
      </c>
      <c r="C11" s="69">
        <f>SUM(Data!I225:I228)</f>
        <v>0.84860990712074302</v>
      </c>
    </row>
    <row r="12" spans="1:12" x14ac:dyDescent="0.25">
      <c r="B12" s="5" t="s">
        <v>88</v>
      </c>
      <c r="C12" s="69">
        <f>SUM(Data!I260:I263)</f>
        <v>0.79791582491582491</v>
      </c>
      <c r="H12" s="1"/>
      <c r="J12" s="1"/>
    </row>
    <row r="13" spans="1:12" x14ac:dyDescent="0.25">
      <c r="B13" s="5" t="s">
        <v>101</v>
      </c>
      <c r="C13" s="69"/>
      <c r="G13" s="1"/>
      <c r="I13" s="1"/>
    </row>
    <row r="14" spans="1:12" x14ac:dyDescent="0.25">
      <c r="B14" s="5" t="s">
        <v>102</v>
      </c>
      <c r="C14" s="69"/>
      <c r="D14" s="1"/>
      <c r="F14" s="1"/>
    </row>
    <row r="15" spans="1:12" x14ac:dyDescent="0.25">
      <c r="B15" s="5" t="s">
        <v>103</v>
      </c>
      <c r="C15" s="69"/>
      <c r="J15" s="1"/>
      <c r="L15" s="1"/>
    </row>
    <row r="16" spans="1:12" x14ac:dyDescent="0.25">
      <c r="I16" s="1"/>
      <c r="K16" s="1"/>
    </row>
    <row r="17" spans="4:10" x14ac:dyDescent="0.25">
      <c r="D17" s="1"/>
      <c r="F17" s="1"/>
    </row>
    <row r="18" spans="4:10" x14ac:dyDescent="0.25">
      <c r="E18" s="1"/>
      <c r="G18" s="1"/>
    </row>
    <row r="19" spans="4:10" x14ac:dyDescent="0.25">
      <c r="G19" s="1"/>
      <c r="I19" s="1"/>
    </row>
    <row r="20" spans="4:10" x14ac:dyDescent="0.25">
      <c r="E20" s="1"/>
      <c r="G20" s="1"/>
    </row>
    <row r="21" spans="4:10" x14ac:dyDescent="0.25">
      <c r="E21" s="1"/>
      <c r="G21" s="1"/>
    </row>
    <row r="22" spans="4:10" x14ac:dyDescent="0.25">
      <c r="G22" s="1"/>
      <c r="I22" s="1"/>
    </row>
    <row r="23" spans="4:10" x14ac:dyDescent="0.25">
      <c r="D23" s="1"/>
      <c r="F23" s="1"/>
    </row>
    <row r="24" spans="4:10" x14ac:dyDescent="0.25">
      <c r="F24" s="1"/>
      <c r="H24" s="1"/>
    </row>
    <row r="25" spans="4:10" x14ac:dyDescent="0.25">
      <c r="F25" s="1"/>
      <c r="H25" s="1"/>
    </row>
    <row r="26" spans="4:10" x14ac:dyDescent="0.25">
      <c r="E26" s="1"/>
      <c r="G26" s="1"/>
    </row>
    <row r="27" spans="4:10" x14ac:dyDescent="0.25">
      <c r="E27" s="1"/>
      <c r="G27" s="1"/>
    </row>
    <row r="28" spans="4:10" x14ac:dyDescent="0.25">
      <c r="D28" s="1"/>
      <c r="F28" s="1"/>
    </row>
    <row r="29" spans="4:10" x14ac:dyDescent="0.25">
      <c r="G29" s="1"/>
      <c r="I29" s="1"/>
    </row>
    <row r="30" spans="4:10" x14ac:dyDescent="0.25">
      <c r="G30" s="1"/>
      <c r="I30" s="1"/>
    </row>
    <row r="31" spans="4:10" x14ac:dyDescent="0.25">
      <c r="H31" s="1"/>
      <c r="J31" s="1"/>
    </row>
    <row r="32" spans="4:10" x14ac:dyDescent="0.25">
      <c r="F32" s="1"/>
      <c r="H32" s="1"/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4"/>
  <sheetViews>
    <sheetView showGridLines="0" zoomScale="80" zoomScaleNormal="80" workbookViewId="0">
      <pane ySplit="1" topLeftCell="A257" activePane="bottomLeft" state="frozen"/>
      <selection pane="bottomLeft" activeCell="I155" sqref="I155:I158"/>
    </sheetView>
  </sheetViews>
  <sheetFormatPr defaultRowHeight="15" x14ac:dyDescent="0.25"/>
  <cols>
    <col min="1" max="1" width="14.7109375" customWidth="1"/>
    <col min="2" max="2" width="13.28515625" style="5" customWidth="1"/>
    <col min="3" max="3" width="9.140625" style="5"/>
    <col min="4" max="4" width="39.140625" customWidth="1"/>
    <col min="5" max="5" width="56.42578125" customWidth="1"/>
    <col min="6" max="6" width="9.140625" style="2"/>
    <col min="7" max="7" width="15.140625" style="2" bestFit="1" customWidth="1"/>
    <col min="8" max="10" width="18.140625" style="7" customWidth="1"/>
  </cols>
  <sheetData>
    <row r="1" spans="1:10" ht="16.5" thickTop="1" thickBot="1" x14ac:dyDescent="0.3">
      <c r="A1" s="4" t="s">
        <v>0</v>
      </c>
      <c r="B1" s="4" t="s">
        <v>90</v>
      </c>
      <c r="C1" s="4" t="s">
        <v>1</v>
      </c>
      <c r="D1" s="6" t="s">
        <v>91</v>
      </c>
      <c r="E1" s="6" t="s">
        <v>2</v>
      </c>
      <c r="F1" s="3" t="s">
        <v>15</v>
      </c>
      <c r="G1" s="3" t="s">
        <v>92</v>
      </c>
      <c r="H1" s="3" t="s">
        <v>94</v>
      </c>
      <c r="I1" s="3" t="s">
        <v>93</v>
      </c>
      <c r="J1" s="3" t="s">
        <v>95</v>
      </c>
    </row>
    <row r="2" spans="1:10" ht="15.75" thickTop="1" x14ac:dyDescent="0.25">
      <c r="A2" s="36" t="s">
        <v>9</v>
      </c>
      <c r="B2" s="37" t="s">
        <v>39</v>
      </c>
      <c r="C2" s="37">
        <v>2017</v>
      </c>
      <c r="D2" s="36" t="s">
        <v>3</v>
      </c>
      <c r="E2" s="36" t="s">
        <v>5</v>
      </c>
      <c r="F2" s="38">
        <v>50</v>
      </c>
      <c r="G2" s="50">
        <v>91.5</v>
      </c>
      <c r="H2" s="42">
        <f>G2*(F2/SUM($F$2:$F$5))</f>
        <v>22.875</v>
      </c>
      <c r="I2" s="60">
        <f>H2/100</f>
        <v>0.22875000000000001</v>
      </c>
      <c r="J2" s="42">
        <f>G2*(F2/(SUM($F$2:$F$8)+SUM($F$10:$F$25)))</f>
        <v>3.9782608695652173</v>
      </c>
    </row>
    <row r="3" spans="1:10" x14ac:dyDescent="0.25">
      <c r="A3" s="32" t="s">
        <v>9</v>
      </c>
      <c r="B3" s="31" t="s">
        <v>39</v>
      </c>
      <c r="C3" s="31">
        <v>2017</v>
      </c>
      <c r="D3" s="32" t="s">
        <v>3</v>
      </c>
      <c r="E3" s="32" t="s">
        <v>6</v>
      </c>
      <c r="F3" s="29">
        <v>50</v>
      </c>
      <c r="G3" s="51">
        <v>90</v>
      </c>
      <c r="H3" s="43">
        <f t="shared" ref="H3:H5" si="0">G3*(F3/SUM($F$2:$F$5))</f>
        <v>22.5</v>
      </c>
      <c r="I3" s="61">
        <f t="shared" ref="I3:I66" si="1">H3/100</f>
        <v>0.22500000000000001</v>
      </c>
      <c r="J3" s="43">
        <f>G3*(F3/(SUM($F$2:$F$8)+SUM($F$10:$F$25)))</f>
        <v>3.9130434782608696</v>
      </c>
    </row>
    <row r="4" spans="1:10" x14ac:dyDescent="0.25">
      <c r="A4" s="32" t="s">
        <v>9</v>
      </c>
      <c r="B4" s="31" t="s">
        <v>39</v>
      </c>
      <c r="C4" s="31">
        <v>2017</v>
      </c>
      <c r="D4" s="32" t="s">
        <v>3</v>
      </c>
      <c r="E4" s="32" t="s">
        <v>7</v>
      </c>
      <c r="F4" s="29">
        <v>50</v>
      </c>
      <c r="G4" s="51">
        <v>87.8</v>
      </c>
      <c r="H4" s="43">
        <f t="shared" si="0"/>
        <v>21.95</v>
      </c>
      <c r="I4" s="61">
        <f t="shared" si="1"/>
        <v>0.2195</v>
      </c>
      <c r="J4" s="43">
        <f>G4*(F4/(SUM($F$2:$F$8)+SUM($F$10:$F$25)))</f>
        <v>3.8173913043478258</v>
      </c>
    </row>
    <row r="5" spans="1:10" x14ac:dyDescent="0.25">
      <c r="A5" s="34" t="s">
        <v>9</v>
      </c>
      <c r="B5" s="33" t="s">
        <v>39</v>
      </c>
      <c r="C5" s="33">
        <v>2017</v>
      </c>
      <c r="D5" s="34" t="s">
        <v>3</v>
      </c>
      <c r="E5" s="34" t="s">
        <v>8</v>
      </c>
      <c r="F5" s="27">
        <v>50</v>
      </c>
      <c r="G5" s="52">
        <v>87.8</v>
      </c>
      <c r="H5" s="44">
        <f t="shared" si="0"/>
        <v>21.95</v>
      </c>
      <c r="I5" s="62">
        <f t="shared" si="1"/>
        <v>0.2195</v>
      </c>
      <c r="J5" s="44">
        <f>G5*(F5/(SUM($F$2:$F$8)+SUM($F$10:$F$25)))</f>
        <v>3.8173913043478258</v>
      </c>
    </row>
    <row r="6" spans="1:10" x14ac:dyDescent="0.25">
      <c r="A6" s="23" t="s">
        <v>9</v>
      </c>
      <c r="B6" s="24" t="s">
        <v>39</v>
      </c>
      <c r="C6" s="24">
        <v>2017</v>
      </c>
      <c r="D6" s="23" t="s">
        <v>10</v>
      </c>
      <c r="E6" s="23" t="s">
        <v>12</v>
      </c>
      <c r="F6" s="25">
        <v>50</v>
      </c>
      <c r="G6" s="53">
        <v>93.6</v>
      </c>
      <c r="H6" s="45">
        <f>G6*(F6/SUM($F$6:$F$8))</f>
        <v>31.199999999999996</v>
      </c>
      <c r="I6" s="63">
        <f t="shared" si="1"/>
        <v>0.31199999999999994</v>
      </c>
      <c r="J6" s="45">
        <f>G6*(F6/(SUM($F$2:$F$8)+SUM($F$10:$F$25)))</f>
        <v>4.0695652173913039</v>
      </c>
    </row>
    <row r="7" spans="1:10" x14ac:dyDescent="0.25">
      <c r="A7" s="8" t="s">
        <v>9</v>
      </c>
      <c r="B7" s="9" t="s">
        <v>39</v>
      </c>
      <c r="C7" s="9">
        <v>2017</v>
      </c>
      <c r="D7" s="8" t="s">
        <v>10</v>
      </c>
      <c r="E7" s="8" t="s">
        <v>13</v>
      </c>
      <c r="F7" s="10">
        <v>50</v>
      </c>
      <c r="G7" s="54">
        <v>91.7</v>
      </c>
      <c r="H7" s="46">
        <f>G7*(F7/SUM($F$6:$F$8))</f>
        <v>30.566666666666666</v>
      </c>
      <c r="I7" s="64">
        <f t="shared" si="1"/>
        <v>0.30566666666666664</v>
      </c>
      <c r="J7" s="46">
        <f>G7*(F7/(SUM($F$2:$F$8)+SUM($F$10:$F$25)))</f>
        <v>3.9869565217391303</v>
      </c>
    </row>
    <row r="8" spans="1:10" x14ac:dyDescent="0.25">
      <c r="A8" s="11" t="s">
        <v>9</v>
      </c>
      <c r="B8" s="12" t="s">
        <v>39</v>
      </c>
      <c r="C8" s="12">
        <v>2017</v>
      </c>
      <c r="D8" s="11" t="s">
        <v>10</v>
      </c>
      <c r="E8" s="11" t="s">
        <v>14</v>
      </c>
      <c r="F8" s="13">
        <v>50</v>
      </c>
      <c r="G8" s="55">
        <v>89.6</v>
      </c>
      <c r="H8" s="47">
        <f>G8*(F8/SUM($F$6:$F$8))</f>
        <v>29.866666666666664</v>
      </c>
      <c r="I8" s="65">
        <f t="shared" si="1"/>
        <v>0.29866666666666664</v>
      </c>
      <c r="J8" s="47">
        <f>G8*(F8/(SUM($F$2:$F$8)+SUM($F$10:$F$25)))</f>
        <v>3.8956521739130432</v>
      </c>
    </row>
    <row r="9" spans="1:10" x14ac:dyDescent="0.25">
      <c r="A9" s="30" t="s">
        <v>9</v>
      </c>
      <c r="B9" s="35" t="s">
        <v>39</v>
      </c>
      <c r="C9" s="35">
        <v>2017</v>
      </c>
      <c r="D9" s="30" t="s">
        <v>16</v>
      </c>
      <c r="E9" s="30" t="s">
        <v>17</v>
      </c>
      <c r="F9" s="26">
        <v>50</v>
      </c>
      <c r="G9" s="41">
        <v>0</v>
      </c>
      <c r="H9" s="48">
        <f>G9*(F9/SUM($F10:$F11))</f>
        <v>0</v>
      </c>
      <c r="I9" s="66">
        <f t="shared" si="1"/>
        <v>0</v>
      </c>
      <c r="J9" s="48">
        <v>0</v>
      </c>
    </row>
    <row r="10" spans="1:10" x14ac:dyDescent="0.25">
      <c r="A10" s="32" t="s">
        <v>9</v>
      </c>
      <c r="B10" s="31" t="s">
        <v>39</v>
      </c>
      <c r="C10" s="31">
        <v>2017</v>
      </c>
      <c r="D10" s="32" t="s">
        <v>16</v>
      </c>
      <c r="E10" s="32" t="s">
        <v>18</v>
      </c>
      <c r="F10" s="29">
        <v>50</v>
      </c>
      <c r="G10" s="51">
        <v>62.5</v>
      </c>
      <c r="H10" s="43">
        <f>G10*(F10/SUM($F10:$F11))</f>
        <v>31.25</v>
      </c>
      <c r="I10" s="61">
        <f t="shared" si="1"/>
        <v>0.3125</v>
      </c>
      <c r="J10" s="43">
        <f>G10*(F10/(SUM($F$2:$F$8)+SUM($F$10:$F$25)))</f>
        <v>2.7173913043478262</v>
      </c>
    </row>
    <row r="11" spans="1:10" x14ac:dyDescent="0.25">
      <c r="A11" s="34" t="s">
        <v>9</v>
      </c>
      <c r="B11" s="33" t="s">
        <v>39</v>
      </c>
      <c r="C11" s="33">
        <v>2017</v>
      </c>
      <c r="D11" s="34" t="s">
        <v>16</v>
      </c>
      <c r="E11" s="34" t="s">
        <v>19</v>
      </c>
      <c r="F11" s="27">
        <v>50</v>
      </c>
      <c r="G11" s="52">
        <v>79.599999999999994</v>
      </c>
      <c r="H11" s="44">
        <f>G11*(F11/SUM($F10:$F11))</f>
        <v>39.799999999999997</v>
      </c>
      <c r="I11" s="62">
        <f t="shared" si="1"/>
        <v>0.39799999999999996</v>
      </c>
      <c r="J11" s="44">
        <f>G11*(F11/(SUM($F$2:$F$8)+SUM($F$10:$F$25)))</f>
        <v>3.4608695652173909</v>
      </c>
    </row>
    <row r="12" spans="1:10" x14ac:dyDescent="0.25">
      <c r="A12" s="30" t="s">
        <v>9</v>
      </c>
      <c r="B12" s="35" t="s">
        <v>39</v>
      </c>
      <c r="C12" s="35">
        <v>2017</v>
      </c>
      <c r="D12" s="30" t="s">
        <v>20</v>
      </c>
      <c r="E12" s="30" t="s">
        <v>21</v>
      </c>
      <c r="F12" s="26">
        <v>50</v>
      </c>
      <c r="G12" s="41">
        <v>72.900000000000006</v>
      </c>
      <c r="H12" s="48">
        <f>G12*(F12/SUM($F12:$F13))</f>
        <v>36.450000000000003</v>
      </c>
      <c r="I12" s="66">
        <f t="shared" si="1"/>
        <v>0.36450000000000005</v>
      </c>
      <c r="J12" s="48">
        <f>G12*(F12/(SUM($F$2:$F$8)+SUM($F$10:$F$25)))</f>
        <v>3.1695652173913045</v>
      </c>
    </row>
    <row r="13" spans="1:10" x14ac:dyDescent="0.25">
      <c r="A13" s="34" t="s">
        <v>9</v>
      </c>
      <c r="B13" s="33" t="s">
        <v>39</v>
      </c>
      <c r="C13" s="33">
        <v>2017</v>
      </c>
      <c r="D13" s="34" t="s">
        <v>20</v>
      </c>
      <c r="E13" s="34" t="s">
        <v>22</v>
      </c>
      <c r="F13" s="27">
        <v>50</v>
      </c>
      <c r="G13" s="52">
        <v>71.400000000000006</v>
      </c>
      <c r="H13" s="43">
        <f>G13*(F13/SUM($F12:$F13))</f>
        <v>35.700000000000003</v>
      </c>
      <c r="I13" s="61">
        <f t="shared" si="1"/>
        <v>0.35700000000000004</v>
      </c>
      <c r="J13" s="43">
        <f>G13*(F13/(SUM($F$2:$F$8)+SUM($F$10:$F$25)))</f>
        <v>3.1043478260869568</v>
      </c>
    </row>
    <row r="14" spans="1:10" x14ac:dyDescent="0.25">
      <c r="A14" s="30" t="s">
        <v>9</v>
      </c>
      <c r="B14" s="35" t="s">
        <v>39</v>
      </c>
      <c r="C14" s="35">
        <v>2017</v>
      </c>
      <c r="D14" s="30" t="s">
        <v>23</v>
      </c>
      <c r="E14" s="30" t="s">
        <v>24</v>
      </c>
      <c r="F14" s="26">
        <v>50</v>
      </c>
      <c r="G14" s="41">
        <v>65</v>
      </c>
      <c r="H14" s="48">
        <f>G14*(F14/SUM($F14:$F15))</f>
        <v>32.5</v>
      </c>
      <c r="I14" s="66">
        <f t="shared" si="1"/>
        <v>0.32500000000000001</v>
      </c>
      <c r="J14" s="48">
        <f>G14*(F14/(SUM($F$2:$F$8)+SUM($F$10:$F$25)))</f>
        <v>2.8260869565217392</v>
      </c>
    </row>
    <row r="15" spans="1:10" x14ac:dyDescent="0.25">
      <c r="A15" s="34" t="s">
        <v>9</v>
      </c>
      <c r="B15" s="33" t="s">
        <v>39</v>
      </c>
      <c r="C15" s="33">
        <v>2017</v>
      </c>
      <c r="D15" s="34" t="s">
        <v>23</v>
      </c>
      <c r="E15" s="34" t="s">
        <v>25</v>
      </c>
      <c r="F15" s="27">
        <v>50</v>
      </c>
      <c r="G15" s="52">
        <v>86.4</v>
      </c>
      <c r="H15" s="43">
        <f>G15*(F15/SUM($F14:$F15))</f>
        <v>43.2</v>
      </c>
      <c r="I15" s="61">
        <f t="shared" si="1"/>
        <v>0.43200000000000005</v>
      </c>
      <c r="J15" s="43">
        <f>G15*(F15/(SUM($F$2:$F$8)+SUM($F$10:$F$25)))</f>
        <v>3.7565217391304349</v>
      </c>
    </row>
    <row r="16" spans="1:10" x14ac:dyDescent="0.25">
      <c r="A16" s="30" t="s">
        <v>9</v>
      </c>
      <c r="B16" s="35" t="s">
        <v>39</v>
      </c>
      <c r="C16" s="35">
        <v>2017</v>
      </c>
      <c r="D16" s="30" t="s">
        <v>26</v>
      </c>
      <c r="E16" s="30" t="s">
        <v>27</v>
      </c>
      <c r="F16" s="26">
        <v>50</v>
      </c>
      <c r="G16" s="41">
        <v>100</v>
      </c>
      <c r="H16" s="48">
        <f>G16*(F16/SUM($F16:$F17))</f>
        <v>50</v>
      </c>
      <c r="I16" s="66">
        <f t="shared" si="1"/>
        <v>0.5</v>
      </c>
      <c r="J16" s="48">
        <f>G16*(F16/(SUM($F$2:$F$8)+SUM($F$10:$F$25)))</f>
        <v>4.3478260869565215</v>
      </c>
    </row>
    <row r="17" spans="1:10" x14ac:dyDescent="0.25">
      <c r="A17" s="34" t="s">
        <v>9</v>
      </c>
      <c r="B17" s="33" t="s">
        <v>39</v>
      </c>
      <c r="C17" s="33">
        <v>2017</v>
      </c>
      <c r="D17" s="34" t="s">
        <v>26</v>
      </c>
      <c r="E17" s="34" t="s">
        <v>28</v>
      </c>
      <c r="F17" s="27">
        <v>50</v>
      </c>
      <c r="G17" s="52">
        <v>84.6</v>
      </c>
      <c r="H17" s="43">
        <f>G17*(F17/SUM($F16:$F17))</f>
        <v>42.3</v>
      </c>
      <c r="I17" s="61">
        <f t="shared" si="1"/>
        <v>0.42299999999999999</v>
      </c>
      <c r="J17" s="43">
        <f>G17*(F17/(SUM($F$2:$F$8)+SUM($F$10:$F$25)))</f>
        <v>3.678260869565217</v>
      </c>
    </row>
    <row r="18" spans="1:10" x14ac:dyDescent="0.25">
      <c r="A18" s="30" t="s">
        <v>9</v>
      </c>
      <c r="B18" s="35" t="s">
        <v>39</v>
      </c>
      <c r="C18" s="35">
        <v>2017</v>
      </c>
      <c r="D18" s="30" t="s">
        <v>29</v>
      </c>
      <c r="E18" s="30" t="s">
        <v>30</v>
      </c>
      <c r="F18" s="26">
        <v>50</v>
      </c>
      <c r="G18" s="41">
        <v>68.3</v>
      </c>
      <c r="H18" s="48">
        <f>G18*(F18/SUM($F18:$F19))</f>
        <v>34.15</v>
      </c>
      <c r="I18" s="66">
        <f t="shared" si="1"/>
        <v>0.34149999999999997</v>
      </c>
      <c r="J18" s="48">
        <f>G18*(F18/(SUM($F$2:$F$8)+SUM($F$10:$F$25)))</f>
        <v>2.9695652173913043</v>
      </c>
    </row>
    <row r="19" spans="1:10" x14ac:dyDescent="0.25">
      <c r="A19" s="34" t="s">
        <v>9</v>
      </c>
      <c r="B19" s="33" t="s">
        <v>39</v>
      </c>
      <c r="C19" s="33">
        <v>2017</v>
      </c>
      <c r="D19" s="34" t="s">
        <v>29</v>
      </c>
      <c r="E19" s="34" t="s">
        <v>31</v>
      </c>
      <c r="F19" s="27">
        <v>50</v>
      </c>
      <c r="G19" s="52">
        <v>93.6</v>
      </c>
      <c r="H19" s="43">
        <f>G19*(F19/SUM($F18:$F19))</f>
        <v>46.8</v>
      </c>
      <c r="I19" s="61">
        <f t="shared" si="1"/>
        <v>0.46799999999999997</v>
      </c>
      <c r="J19" s="43">
        <f>G19*(F19/(SUM($F$2:$F$8)+SUM($F$10:$F$25)))</f>
        <v>4.0695652173913039</v>
      </c>
    </row>
    <row r="20" spans="1:10" x14ac:dyDescent="0.25">
      <c r="A20" s="39" t="s">
        <v>9</v>
      </c>
      <c r="B20" s="40" t="s">
        <v>39</v>
      </c>
      <c r="C20" s="40">
        <v>2017</v>
      </c>
      <c r="D20" s="39" t="s">
        <v>32</v>
      </c>
      <c r="E20" s="39" t="s">
        <v>32</v>
      </c>
      <c r="F20" s="28">
        <v>50</v>
      </c>
      <c r="G20" s="56">
        <v>83.3</v>
      </c>
      <c r="H20" s="49">
        <f>G20</f>
        <v>83.3</v>
      </c>
      <c r="I20" s="67">
        <f t="shared" si="1"/>
        <v>0.83299999999999996</v>
      </c>
      <c r="J20" s="49">
        <f>G20*(F20/(SUM($F$2:$F$8)+SUM($F$10:$F$25)))</f>
        <v>3.6217391304347823</v>
      </c>
    </row>
    <row r="21" spans="1:10" x14ac:dyDescent="0.25">
      <c r="A21" s="39" t="s">
        <v>9</v>
      </c>
      <c r="B21" s="40" t="s">
        <v>39</v>
      </c>
      <c r="C21" s="40">
        <v>2017</v>
      </c>
      <c r="D21" s="39" t="s">
        <v>33</v>
      </c>
      <c r="E21" s="39" t="s">
        <v>33</v>
      </c>
      <c r="F21" s="28">
        <v>50</v>
      </c>
      <c r="G21" s="56">
        <v>89.4</v>
      </c>
      <c r="H21" s="49">
        <f>G21</f>
        <v>89.4</v>
      </c>
      <c r="I21" s="67">
        <f t="shared" si="1"/>
        <v>0.89400000000000002</v>
      </c>
      <c r="J21" s="49">
        <f>G21*(F21/(SUM($F$2:$F$8)+SUM($F$10:$F$25)))</f>
        <v>3.8869565217391306</v>
      </c>
    </row>
    <row r="22" spans="1:10" x14ac:dyDescent="0.25">
      <c r="A22" s="30" t="s">
        <v>9</v>
      </c>
      <c r="B22" s="35" t="s">
        <v>39</v>
      </c>
      <c r="C22" s="35">
        <v>2017</v>
      </c>
      <c r="D22" s="30" t="s">
        <v>34</v>
      </c>
      <c r="E22" s="30" t="s">
        <v>35</v>
      </c>
      <c r="F22" s="26">
        <v>50</v>
      </c>
      <c r="G22" s="41">
        <v>85.1</v>
      </c>
      <c r="H22" s="48">
        <f>G22*(F22/SUM($F22:$F25))</f>
        <v>21.274999999999999</v>
      </c>
      <c r="I22" s="66">
        <f t="shared" si="1"/>
        <v>0.21274999999999999</v>
      </c>
      <c r="J22" s="48">
        <f>G22*(F22/(SUM($F$2:$F$8)+SUM($F$10:$F$25)))</f>
        <v>3.6999999999999997</v>
      </c>
    </row>
    <row r="23" spans="1:10" x14ac:dyDescent="0.25">
      <c r="A23" s="32" t="s">
        <v>9</v>
      </c>
      <c r="B23" s="31" t="s">
        <v>39</v>
      </c>
      <c r="C23" s="31">
        <v>2017</v>
      </c>
      <c r="D23" s="32" t="s">
        <v>34</v>
      </c>
      <c r="E23" s="32" t="s">
        <v>36</v>
      </c>
      <c r="F23" s="29">
        <v>50</v>
      </c>
      <c r="G23" s="51">
        <v>87.2</v>
      </c>
      <c r="H23" s="43">
        <f>G23*(F23/SUM($F22:$F25))</f>
        <v>21.8</v>
      </c>
      <c r="I23" s="61">
        <f t="shared" si="1"/>
        <v>0.218</v>
      </c>
      <c r="J23" s="43">
        <f>G23*(F23/(SUM($F$2:$F$8)+SUM($F$10:$F$25)))</f>
        <v>3.7913043478260868</v>
      </c>
    </row>
    <row r="24" spans="1:10" x14ac:dyDescent="0.25">
      <c r="A24" s="32" t="s">
        <v>9</v>
      </c>
      <c r="B24" s="31" t="s">
        <v>39</v>
      </c>
      <c r="C24" s="31">
        <v>2017</v>
      </c>
      <c r="D24" s="32" t="s">
        <v>34</v>
      </c>
      <c r="E24" s="32" t="s">
        <v>37</v>
      </c>
      <c r="F24" s="29">
        <v>50</v>
      </c>
      <c r="G24" s="51">
        <v>79.599999999999994</v>
      </c>
      <c r="H24" s="43">
        <f>G24*(F24/SUM($F22:$F25))</f>
        <v>19.899999999999999</v>
      </c>
      <c r="I24" s="61">
        <f t="shared" si="1"/>
        <v>0.19899999999999998</v>
      </c>
      <c r="J24" s="43">
        <f>G24*(F24/(SUM($F$2:$F$8)+SUM($F$10:$F$25)))</f>
        <v>3.4608695652173909</v>
      </c>
    </row>
    <row r="25" spans="1:10" x14ac:dyDescent="0.25">
      <c r="A25" s="34" t="s">
        <v>9</v>
      </c>
      <c r="B25" s="33" t="s">
        <v>39</v>
      </c>
      <c r="C25" s="33">
        <v>2017</v>
      </c>
      <c r="D25" s="34" t="s">
        <v>34</v>
      </c>
      <c r="E25" s="34" t="s">
        <v>38</v>
      </c>
      <c r="F25" s="27">
        <v>50</v>
      </c>
      <c r="G25" s="52">
        <v>93.9</v>
      </c>
      <c r="H25" s="44">
        <f>G25*(F25/SUM($F22:$F25))</f>
        <v>23.475000000000001</v>
      </c>
      <c r="I25" s="62">
        <f t="shared" si="1"/>
        <v>0.23475000000000001</v>
      </c>
      <c r="J25" s="44">
        <f>G25*(F25/(SUM($F$2:$F$8)+SUM($F$10:$F$25)))</f>
        <v>4.0826086956521737</v>
      </c>
    </row>
    <row r="26" spans="1:10" x14ac:dyDescent="0.25">
      <c r="A26" s="30" t="s">
        <v>9</v>
      </c>
      <c r="B26" s="35" t="s">
        <v>40</v>
      </c>
      <c r="C26" s="35">
        <v>2017</v>
      </c>
      <c r="D26" s="30" t="s">
        <v>3</v>
      </c>
      <c r="E26" s="30" t="s">
        <v>5</v>
      </c>
      <c r="F26" s="26">
        <v>50</v>
      </c>
      <c r="G26" s="41">
        <v>89.6</v>
      </c>
      <c r="H26" s="48">
        <f>G26*(F26/SUM($F$26:$F$29))</f>
        <v>22.4</v>
      </c>
      <c r="I26" s="66">
        <f t="shared" si="1"/>
        <v>0.22399999999999998</v>
      </c>
      <c r="J26" s="48"/>
    </row>
    <row r="27" spans="1:10" x14ac:dyDescent="0.25">
      <c r="A27" s="32" t="s">
        <v>9</v>
      </c>
      <c r="B27" s="31" t="s">
        <v>40</v>
      </c>
      <c r="C27" s="31">
        <v>2017</v>
      </c>
      <c r="D27" s="32" t="s">
        <v>3</v>
      </c>
      <c r="E27" s="32" t="s">
        <v>6</v>
      </c>
      <c r="F27" s="29">
        <v>50</v>
      </c>
      <c r="G27" s="51">
        <v>87.5</v>
      </c>
      <c r="H27" s="43">
        <f t="shared" ref="H27:H29" si="2">G27*(F27/SUM($F$26:$F$29))</f>
        <v>21.875</v>
      </c>
      <c r="I27" s="61">
        <f t="shared" si="1"/>
        <v>0.21875</v>
      </c>
      <c r="J27" s="43"/>
    </row>
    <row r="28" spans="1:10" x14ac:dyDescent="0.25">
      <c r="A28" s="32" t="s">
        <v>9</v>
      </c>
      <c r="B28" s="31" t="s">
        <v>40</v>
      </c>
      <c r="C28" s="31">
        <v>2017</v>
      </c>
      <c r="D28" s="32" t="s">
        <v>3</v>
      </c>
      <c r="E28" s="32" t="s">
        <v>7</v>
      </c>
      <c r="F28" s="29">
        <v>50</v>
      </c>
      <c r="G28" s="51">
        <v>88</v>
      </c>
      <c r="H28" s="43">
        <f t="shared" si="2"/>
        <v>22</v>
      </c>
      <c r="I28" s="61">
        <f t="shared" si="1"/>
        <v>0.22</v>
      </c>
      <c r="J28" s="43"/>
    </row>
    <row r="29" spans="1:10" x14ac:dyDescent="0.25">
      <c r="A29" s="34" t="s">
        <v>9</v>
      </c>
      <c r="B29" s="33" t="s">
        <v>40</v>
      </c>
      <c r="C29" s="33">
        <v>2017</v>
      </c>
      <c r="D29" s="34" t="s">
        <v>3</v>
      </c>
      <c r="E29" s="34" t="s">
        <v>8</v>
      </c>
      <c r="F29" s="27">
        <v>50</v>
      </c>
      <c r="G29" s="52">
        <v>86</v>
      </c>
      <c r="H29" s="44">
        <f t="shared" si="2"/>
        <v>21.5</v>
      </c>
      <c r="I29" s="62">
        <f t="shared" si="1"/>
        <v>0.215</v>
      </c>
      <c r="J29" s="44"/>
    </row>
    <row r="30" spans="1:10" x14ac:dyDescent="0.25">
      <c r="A30" s="23" t="s">
        <v>9</v>
      </c>
      <c r="B30" s="24" t="s">
        <v>40</v>
      </c>
      <c r="C30" s="24">
        <v>2017</v>
      </c>
      <c r="D30" s="23" t="s">
        <v>10</v>
      </c>
      <c r="E30" s="23" t="s">
        <v>12</v>
      </c>
      <c r="F30" s="25">
        <v>50</v>
      </c>
      <c r="G30" s="53">
        <v>84</v>
      </c>
      <c r="H30" s="45">
        <f>G30*(F30/SUM($F$30:$F$32))</f>
        <v>28</v>
      </c>
      <c r="I30" s="63">
        <f t="shared" si="1"/>
        <v>0.28000000000000003</v>
      </c>
      <c r="J30" s="45"/>
    </row>
    <row r="31" spans="1:10" x14ac:dyDescent="0.25">
      <c r="A31" s="8" t="s">
        <v>9</v>
      </c>
      <c r="B31" s="9" t="s">
        <v>40</v>
      </c>
      <c r="C31" s="9">
        <v>2017</v>
      </c>
      <c r="D31" s="8" t="s">
        <v>10</v>
      </c>
      <c r="E31" s="8" t="s">
        <v>13</v>
      </c>
      <c r="F31" s="10">
        <v>50</v>
      </c>
      <c r="G31" s="54">
        <v>87.5</v>
      </c>
      <c r="H31" s="46">
        <f>G31*(F31/SUM($F$30:$F$32))</f>
        <v>29.166666666666664</v>
      </c>
      <c r="I31" s="64">
        <f t="shared" si="1"/>
        <v>0.29166666666666663</v>
      </c>
      <c r="J31" s="46"/>
    </row>
    <row r="32" spans="1:10" x14ac:dyDescent="0.25">
      <c r="A32" s="11" t="s">
        <v>9</v>
      </c>
      <c r="B32" s="12" t="s">
        <v>40</v>
      </c>
      <c r="C32" s="12">
        <v>2017</v>
      </c>
      <c r="D32" s="11" t="s">
        <v>10</v>
      </c>
      <c r="E32" s="11" t="s">
        <v>14</v>
      </c>
      <c r="F32" s="13">
        <v>50</v>
      </c>
      <c r="G32" s="55">
        <v>89.8</v>
      </c>
      <c r="H32" s="47">
        <f>G32*(F32/SUM($F$30:$F$32))</f>
        <v>29.93333333333333</v>
      </c>
      <c r="I32" s="65">
        <f t="shared" si="1"/>
        <v>0.29933333333333328</v>
      </c>
      <c r="J32" s="47"/>
    </row>
    <row r="33" spans="1:10" x14ac:dyDescent="0.25">
      <c r="A33" s="30" t="s">
        <v>9</v>
      </c>
      <c r="B33" s="35" t="s">
        <v>40</v>
      </c>
      <c r="C33" s="35">
        <v>2017</v>
      </c>
      <c r="D33" s="30" t="s">
        <v>16</v>
      </c>
      <c r="E33" s="30" t="s">
        <v>17</v>
      </c>
      <c r="F33" s="26">
        <v>50</v>
      </c>
      <c r="G33" s="41">
        <v>0</v>
      </c>
      <c r="H33" s="48">
        <f>G33*(F33/SUM($F34:$F35))</f>
        <v>0</v>
      </c>
      <c r="I33" s="66">
        <f t="shared" si="1"/>
        <v>0</v>
      </c>
      <c r="J33" s="48"/>
    </row>
    <row r="34" spans="1:10" x14ac:dyDescent="0.25">
      <c r="A34" s="32" t="s">
        <v>9</v>
      </c>
      <c r="B34" s="31" t="s">
        <v>40</v>
      </c>
      <c r="C34" s="31">
        <v>2017</v>
      </c>
      <c r="D34" s="32" t="s">
        <v>16</v>
      </c>
      <c r="E34" s="32" t="s">
        <v>18</v>
      </c>
      <c r="F34" s="29">
        <v>50</v>
      </c>
      <c r="G34" s="51">
        <v>58.1</v>
      </c>
      <c r="H34" s="43">
        <f>G34*(F34/SUM($F34:$F35))</f>
        <v>29.05</v>
      </c>
      <c r="I34" s="61">
        <f t="shared" si="1"/>
        <v>0.29049999999999998</v>
      </c>
      <c r="J34" s="43"/>
    </row>
    <row r="35" spans="1:10" x14ac:dyDescent="0.25">
      <c r="A35" s="34" t="s">
        <v>9</v>
      </c>
      <c r="B35" s="33" t="s">
        <v>40</v>
      </c>
      <c r="C35" s="33">
        <v>2017</v>
      </c>
      <c r="D35" s="34" t="s">
        <v>16</v>
      </c>
      <c r="E35" s="34" t="s">
        <v>19</v>
      </c>
      <c r="F35" s="27">
        <v>50</v>
      </c>
      <c r="G35" s="52">
        <v>84</v>
      </c>
      <c r="H35" s="44">
        <f>G35*(F35/SUM($F34:$F35))</f>
        <v>42</v>
      </c>
      <c r="I35" s="62">
        <f t="shared" si="1"/>
        <v>0.42</v>
      </c>
      <c r="J35" s="44"/>
    </row>
    <row r="36" spans="1:10" x14ac:dyDescent="0.25">
      <c r="A36" s="30" t="s">
        <v>9</v>
      </c>
      <c r="B36" s="35" t="s">
        <v>40</v>
      </c>
      <c r="C36" s="35">
        <v>2017</v>
      </c>
      <c r="D36" s="30" t="s">
        <v>20</v>
      </c>
      <c r="E36" s="30" t="s">
        <v>21</v>
      </c>
      <c r="F36" s="26">
        <v>50</v>
      </c>
      <c r="G36" s="41">
        <v>78</v>
      </c>
      <c r="H36" s="48">
        <f>G36*(F36/SUM($F36:$F37))</f>
        <v>39</v>
      </c>
      <c r="I36" s="66">
        <f t="shared" si="1"/>
        <v>0.39</v>
      </c>
      <c r="J36" s="48"/>
    </row>
    <row r="37" spans="1:10" x14ac:dyDescent="0.25">
      <c r="A37" s="34" t="s">
        <v>9</v>
      </c>
      <c r="B37" s="33" t="s">
        <v>40</v>
      </c>
      <c r="C37" s="33">
        <v>2017</v>
      </c>
      <c r="D37" s="34" t="s">
        <v>20</v>
      </c>
      <c r="E37" s="34" t="s">
        <v>22</v>
      </c>
      <c r="F37" s="27">
        <v>50</v>
      </c>
      <c r="G37" s="52">
        <v>56</v>
      </c>
      <c r="H37" s="43">
        <f>G37*(F37/SUM($F36:$F37))</f>
        <v>28</v>
      </c>
      <c r="I37" s="61">
        <f t="shared" si="1"/>
        <v>0.28000000000000003</v>
      </c>
      <c r="J37" s="43"/>
    </row>
    <row r="38" spans="1:10" x14ac:dyDescent="0.25">
      <c r="A38" s="30" t="s">
        <v>9</v>
      </c>
      <c r="B38" s="35" t="s">
        <v>40</v>
      </c>
      <c r="C38" s="35">
        <v>2017</v>
      </c>
      <c r="D38" s="30" t="s">
        <v>23</v>
      </c>
      <c r="E38" s="30" t="s">
        <v>24</v>
      </c>
      <c r="F38" s="26">
        <v>50</v>
      </c>
      <c r="G38" s="41">
        <v>75</v>
      </c>
      <c r="H38" s="48">
        <f>G38*(F38/SUM($F38:$F39))</f>
        <v>37.5</v>
      </c>
      <c r="I38" s="66">
        <f t="shared" si="1"/>
        <v>0.375</v>
      </c>
      <c r="J38" s="48"/>
    </row>
    <row r="39" spans="1:10" x14ac:dyDescent="0.25">
      <c r="A39" s="34" t="s">
        <v>9</v>
      </c>
      <c r="B39" s="33" t="s">
        <v>40</v>
      </c>
      <c r="C39" s="33">
        <v>2017</v>
      </c>
      <c r="D39" s="34" t="s">
        <v>23</v>
      </c>
      <c r="E39" s="34" t="s">
        <v>25</v>
      </c>
      <c r="F39" s="27">
        <v>50</v>
      </c>
      <c r="G39" s="52">
        <v>79.2</v>
      </c>
      <c r="H39" s="43">
        <f>G39*(F39/SUM($F38:$F39))</f>
        <v>39.6</v>
      </c>
      <c r="I39" s="61">
        <f t="shared" si="1"/>
        <v>0.39600000000000002</v>
      </c>
      <c r="J39" s="43"/>
    </row>
    <row r="40" spans="1:10" x14ac:dyDescent="0.25">
      <c r="A40" s="30" t="s">
        <v>9</v>
      </c>
      <c r="B40" s="35" t="s">
        <v>40</v>
      </c>
      <c r="C40" s="35">
        <v>2017</v>
      </c>
      <c r="D40" s="30" t="s">
        <v>26</v>
      </c>
      <c r="E40" s="30" t="s">
        <v>27</v>
      </c>
      <c r="F40" s="26">
        <v>50</v>
      </c>
      <c r="G40" s="41">
        <v>93.3</v>
      </c>
      <c r="H40" s="48">
        <f>G40*(F40/SUM($F40:$F41))</f>
        <v>46.65</v>
      </c>
      <c r="I40" s="66">
        <f t="shared" si="1"/>
        <v>0.46649999999999997</v>
      </c>
      <c r="J40" s="48"/>
    </row>
    <row r="41" spans="1:10" x14ac:dyDescent="0.25">
      <c r="A41" s="34" t="s">
        <v>9</v>
      </c>
      <c r="B41" s="33" t="s">
        <v>40</v>
      </c>
      <c r="C41" s="33">
        <v>2017</v>
      </c>
      <c r="D41" s="34" t="s">
        <v>26</v>
      </c>
      <c r="E41" s="34" t="s">
        <v>28</v>
      </c>
      <c r="F41" s="27">
        <v>50</v>
      </c>
      <c r="G41" s="52">
        <v>78.599999999999994</v>
      </c>
      <c r="H41" s="43">
        <f>G41*(F41/SUM($F40:$F41))</f>
        <v>39.299999999999997</v>
      </c>
      <c r="I41" s="61">
        <f t="shared" si="1"/>
        <v>0.39299999999999996</v>
      </c>
      <c r="J41" s="43"/>
    </row>
    <row r="42" spans="1:10" x14ac:dyDescent="0.25">
      <c r="A42" s="30" t="s">
        <v>9</v>
      </c>
      <c r="B42" s="35" t="s">
        <v>40</v>
      </c>
      <c r="C42" s="35">
        <v>2017</v>
      </c>
      <c r="D42" s="30" t="s">
        <v>29</v>
      </c>
      <c r="E42" s="30" t="s">
        <v>30</v>
      </c>
      <c r="F42" s="26">
        <v>50</v>
      </c>
      <c r="G42" s="41">
        <v>75.7</v>
      </c>
      <c r="H42" s="48">
        <f>G42*(F42/SUM($F42:$F43))</f>
        <v>37.85</v>
      </c>
      <c r="I42" s="66">
        <f t="shared" si="1"/>
        <v>0.3785</v>
      </c>
      <c r="J42" s="48"/>
    </row>
    <row r="43" spans="1:10" x14ac:dyDescent="0.25">
      <c r="A43" s="34" t="s">
        <v>9</v>
      </c>
      <c r="B43" s="33" t="s">
        <v>40</v>
      </c>
      <c r="C43" s="33">
        <v>2017</v>
      </c>
      <c r="D43" s="34" t="s">
        <v>29</v>
      </c>
      <c r="E43" s="34" t="s">
        <v>31</v>
      </c>
      <c r="F43" s="27">
        <v>50</v>
      </c>
      <c r="G43" s="52">
        <v>95.2</v>
      </c>
      <c r="H43" s="43">
        <f>G43*(F43/SUM($F42:$F43))</f>
        <v>47.6</v>
      </c>
      <c r="I43" s="61">
        <f t="shared" si="1"/>
        <v>0.47600000000000003</v>
      </c>
      <c r="J43" s="43"/>
    </row>
    <row r="44" spans="1:10" x14ac:dyDescent="0.25">
      <c r="A44" s="39" t="s">
        <v>9</v>
      </c>
      <c r="B44" s="40" t="s">
        <v>40</v>
      </c>
      <c r="C44" s="40">
        <v>2017</v>
      </c>
      <c r="D44" s="39" t="s">
        <v>32</v>
      </c>
      <c r="E44" s="39" t="s">
        <v>32</v>
      </c>
      <c r="F44" s="28">
        <v>50</v>
      </c>
      <c r="G44" s="56">
        <v>86.7</v>
      </c>
      <c r="H44" s="49">
        <f>G44</f>
        <v>86.7</v>
      </c>
      <c r="I44" s="67">
        <f t="shared" si="1"/>
        <v>0.86699999999999999</v>
      </c>
      <c r="J44" s="49"/>
    </row>
    <row r="45" spans="1:10" x14ac:dyDescent="0.25">
      <c r="A45" s="39" t="s">
        <v>9</v>
      </c>
      <c r="B45" s="40" t="s">
        <v>40</v>
      </c>
      <c r="C45" s="40">
        <v>2017</v>
      </c>
      <c r="D45" s="39" t="s">
        <v>33</v>
      </c>
      <c r="E45" s="39" t="s">
        <v>33</v>
      </c>
      <c r="F45" s="28">
        <v>50</v>
      </c>
      <c r="G45" s="56">
        <v>86.4</v>
      </c>
      <c r="H45" s="49">
        <f>G45</f>
        <v>86.4</v>
      </c>
      <c r="I45" s="67">
        <f t="shared" si="1"/>
        <v>0.8640000000000001</v>
      </c>
      <c r="J45" s="49"/>
    </row>
    <row r="46" spans="1:10" x14ac:dyDescent="0.25">
      <c r="A46" s="30" t="s">
        <v>9</v>
      </c>
      <c r="B46" s="35" t="s">
        <v>40</v>
      </c>
      <c r="C46" s="35">
        <v>2017</v>
      </c>
      <c r="D46" s="30" t="s">
        <v>34</v>
      </c>
      <c r="E46" s="30" t="s">
        <v>35</v>
      </c>
      <c r="F46" s="26">
        <v>50</v>
      </c>
      <c r="G46" s="41">
        <v>87.5</v>
      </c>
      <c r="H46" s="48">
        <f>G46*(F46/SUM($F46:$F49))</f>
        <v>21.875</v>
      </c>
      <c r="I46" s="66">
        <f t="shared" si="1"/>
        <v>0.21875</v>
      </c>
      <c r="J46" s="48"/>
    </row>
    <row r="47" spans="1:10" x14ac:dyDescent="0.25">
      <c r="A47" s="32" t="s">
        <v>9</v>
      </c>
      <c r="B47" s="31" t="s">
        <v>40</v>
      </c>
      <c r="C47" s="31">
        <v>2017</v>
      </c>
      <c r="D47" s="32" t="s">
        <v>34</v>
      </c>
      <c r="E47" s="32" t="s">
        <v>36</v>
      </c>
      <c r="F47" s="29">
        <v>50</v>
      </c>
      <c r="G47" s="51">
        <v>84.1</v>
      </c>
      <c r="H47" s="43">
        <f>G47*(F47/SUM($F46:$F49))</f>
        <v>21.024999999999999</v>
      </c>
      <c r="I47" s="61">
        <f t="shared" si="1"/>
        <v>0.21024999999999999</v>
      </c>
      <c r="J47" s="43"/>
    </row>
    <row r="48" spans="1:10" x14ac:dyDescent="0.25">
      <c r="A48" s="32" t="s">
        <v>9</v>
      </c>
      <c r="B48" s="31" t="s">
        <v>40</v>
      </c>
      <c r="C48" s="31">
        <v>2017</v>
      </c>
      <c r="D48" s="32" t="s">
        <v>34</v>
      </c>
      <c r="E48" s="32" t="s">
        <v>37</v>
      </c>
      <c r="F48" s="29">
        <v>50</v>
      </c>
      <c r="G48" s="51">
        <v>85.1</v>
      </c>
      <c r="H48" s="43">
        <f>G48*(F48/SUM($F46:$F49))</f>
        <v>21.274999999999999</v>
      </c>
      <c r="I48" s="61">
        <f t="shared" si="1"/>
        <v>0.21274999999999999</v>
      </c>
      <c r="J48" s="43"/>
    </row>
    <row r="49" spans="1:10" x14ac:dyDescent="0.25">
      <c r="A49" s="34" t="s">
        <v>9</v>
      </c>
      <c r="B49" s="33" t="s">
        <v>40</v>
      </c>
      <c r="C49" s="33">
        <v>2017</v>
      </c>
      <c r="D49" s="34" t="s">
        <v>34</v>
      </c>
      <c r="E49" s="34" t="s">
        <v>38</v>
      </c>
      <c r="F49" s="27">
        <v>50</v>
      </c>
      <c r="G49" s="52">
        <v>91.7</v>
      </c>
      <c r="H49" s="44">
        <f>G49*(F49/SUM($F46:$F49))</f>
        <v>22.925000000000001</v>
      </c>
      <c r="I49" s="62">
        <f t="shared" si="1"/>
        <v>0.22925000000000001</v>
      </c>
      <c r="J49" s="44"/>
    </row>
    <row r="50" spans="1:10" x14ac:dyDescent="0.25">
      <c r="A50" s="30" t="s">
        <v>9</v>
      </c>
      <c r="B50" s="35" t="s">
        <v>41</v>
      </c>
      <c r="C50" s="35">
        <v>2017</v>
      </c>
      <c r="D50" s="30" t="s">
        <v>3</v>
      </c>
      <c r="E50" s="30" t="s">
        <v>5</v>
      </c>
      <c r="F50" s="26">
        <v>50</v>
      </c>
      <c r="G50" s="41">
        <v>89.8</v>
      </c>
      <c r="H50" s="48">
        <f>G50*(F50/SUM($F$50:$F$53))</f>
        <v>22.45</v>
      </c>
      <c r="I50" s="66">
        <f t="shared" si="1"/>
        <v>0.22450000000000001</v>
      </c>
      <c r="J50" s="48"/>
    </row>
    <row r="51" spans="1:10" x14ac:dyDescent="0.25">
      <c r="A51" s="32" t="s">
        <v>9</v>
      </c>
      <c r="B51" s="31" t="s">
        <v>41</v>
      </c>
      <c r="C51" s="31">
        <v>2017</v>
      </c>
      <c r="D51" s="32" t="s">
        <v>3</v>
      </c>
      <c r="E51" s="32" t="s">
        <v>6</v>
      </c>
      <c r="F51" s="29">
        <v>50</v>
      </c>
      <c r="G51" s="51">
        <v>89.8</v>
      </c>
      <c r="H51" s="43">
        <f t="shared" ref="H51:H53" si="3">G51*(F51/SUM($F$50:$F$53))</f>
        <v>22.45</v>
      </c>
      <c r="I51" s="61">
        <f t="shared" si="1"/>
        <v>0.22450000000000001</v>
      </c>
      <c r="J51" s="43"/>
    </row>
    <row r="52" spans="1:10" x14ac:dyDescent="0.25">
      <c r="A52" s="32" t="s">
        <v>9</v>
      </c>
      <c r="B52" s="31" t="s">
        <v>41</v>
      </c>
      <c r="C52" s="31">
        <v>2017</v>
      </c>
      <c r="D52" s="32" t="s">
        <v>3</v>
      </c>
      <c r="E52" s="32" t="s">
        <v>7</v>
      </c>
      <c r="F52" s="29">
        <v>50</v>
      </c>
      <c r="G52" s="51">
        <v>85.4</v>
      </c>
      <c r="H52" s="43">
        <f t="shared" si="3"/>
        <v>21.35</v>
      </c>
      <c r="I52" s="61">
        <f t="shared" si="1"/>
        <v>0.21350000000000002</v>
      </c>
      <c r="J52" s="43"/>
    </row>
    <row r="53" spans="1:10" x14ac:dyDescent="0.25">
      <c r="A53" s="34" t="s">
        <v>9</v>
      </c>
      <c r="B53" s="33" t="s">
        <v>41</v>
      </c>
      <c r="C53" s="33">
        <v>2017</v>
      </c>
      <c r="D53" s="34" t="s">
        <v>3</v>
      </c>
      <c r="E53" s="34" t="s">
        <v>8</v>
      </c>
      <c r="F53" s="27">
        <v>50</v>
      </c>
      <c r="G53" s="52">
        <v>88</v>
      </c>
      <c r="H53" s="44">
        <f t="shared" si="3"/>
        <v>22</v>
      </c>
      <c r="I53" s="62">
        <f t="shared" si="1"/>
        <v>0.22</v>
      </c>
      <c r="J53" s="44"/>
    </row>
    <row r="54" spans="1:10" x14ac:dyDescent="0.25">
      <c r="A54" s="23" t="s">
        <v>9</v>
      </c>
      <c r="B54" s="24" t="s">
        <v>41</v>
      </c>
      <c r="C54" s="24">
        <v>2017</v>
      </c>
      <c r="D54" s="23" t="s">
        <v>10</v>
      </c>
      <c r="E54" s="23" t="s">
        <v>12</v>
      </c>
      <c r="F54" s="25">
        <v>50</v>
      </c>
      <c r="G54" s="53">
        <v>96</v>
      </c>
      <c r="H54" s="45">
        <f>G54*(F54/SUM($F$54:$F$56))</f>
        <v>32</v>
      </c>
      <c r="I54" s="63">
        <f t="shared" si="1"/>
        <v>0.32</v>
      </c>
      <c r="J54" s="45"/>
    </row>
    <row r="55" spans="1:10" x14ac:dyDescent="0.25">
      <c r="A55" s="8" t="s">
        <v>9</v>
      </c>
      <c r="B55" s="9" t="s">
        <v>41</v>
      </c>
      <c r="C55" s="9">
        <v>2017</v>
      </c>
      <c r="D55" s="8" t="s">
        <v>10</v>
      </c>
      <c r="E55" s="8" t="s">
        <v>13</v>
      </c>
      <c r="F55" s="10">
        <v>50</v>
      </c>
      <c r="G55" s="54">
        <v>83.7</v>
      </c>
      <c r="H55" s="46">
        <f>G55*(F55/SUM($F$54:$F$56))</f>
        <v>27.9</v>
      </c>
      <c r="I55" s="64">
        <f t="shared" si="1"/>
        <v>0.27899999999999997</v>
      </c>
      <c r="J55" s="46"/>
    </row>
    <row r="56" spans="1:10" x14ac:dyDescent="0.25">
      <c r="A56" s="11" t="s">
        <v>9</v>
      </c>
      <c r="B56" s="12" t="s">
        <v>41</v>
      </c>
      <c r="C56" s="12">
        <v>2017</v>
      </c>
      <c r="D56" s="11" t="s">
        <v>10</v>
      </c>
      <c r="E56" s="11" t="s">
        <v>14</v>
      </c>
      <c r="F56" s="13">
        <v>50</v>
      </c>
      <c r="G56" s="55">
        <v>89.8</v>
      </c>
      <c r="H56" s="47">
        <f>G56*(F56/SUM($F$54:$F$56))</f>
        <v>29.93333333333333</v>
      </c>
      <c r="I56" s="65">
        <f t="shared" si="1"/>
        <v>0.29933333333333328</v>
      </c>
      <c r="J56" s="47"/>
    </row>
    <row r="57" spans="1:10" x14ac:dyDescent="0.25">
      <c r="A57" s="30" t="s">
        <v>9</v>
      </c>
      <c r="B57" s="35" t="s">
        <v>41</v>
      </c>
      <c r="C57" s="35">
        <v>2017</v>
      </c>
      <c r="D57" s="30" t="s">
        <v>16</v>
      </c>
      <c r="E57" s="30" t="s">
        <v>17</v>
      </c>
      <c r="F57" s="26">
        <v>50</v>
      </c>
      <c r="G57" s="41">
        <v>0</v>
      </c>
      <c r="H57" s="48">
        <f>G57*(F57/SUM($F58:$F59))</f>
        <v>0</v>
      </c>
      <c r="I57" s="66">
        <f t="shared" si="1"/>
        <v>0</v>
      </c>
      <c r="J57" s="48"/>
    </row>
    <row r="58" spans="1:10" x14ac:dyDescent="0.25">
      <c r="A58" s="32" t="s">
        <v>9</v>
      </c>
      <c r="B58" s="31" t="s">
        <v>41</v>
      </c>
      <c r="C58" s="31">
        <v>2017</v>
      </c>
      <c r="D58" s="32" t="s">
        <v>16</v>
      </c>
      <c r="E58" s="32" t="s">
        <v>18</v>
      </c>
      <c r="F58" s="29">
        <v>50</v>
      </c>
      <c r="G58" s="51">
        <v>61.5</v>
      </c>
      <c r="H58" s="43">
        <f>G58*(F58/SUM($F58:$F59))</f>
        <v>30.75</v>
      </c>
      <c r="I58" s="61">
        <f t="shared" si="1"/>
        <v>0.3075</v>
      </c>
      <c r="J58" s="43"/>
    </row>
    <row r="59" spans="1:10" x14ac:dyDescent="0.25">
      <c r="A59" s="34" t="s">
        <v>9</v>
      </c>
      <c r="B59" s="33" t="s">
        <v>41</v>
      </c>
      <c r="C59" s="33">
        <v>2017</v>
      </c>
      <c r="D59" s="34" t="s">
        <v>16</v>
      </c>
      <c r="E59" s="34" t="s">
        <v>19</v>
      </c>
      <c r="F59" s="27">
        <v>50</v>
      </c>
      <c r="G59" s="52">
        <v>74.5</v>
      </c>
      <c r="H59" s="44">
        <f>G59*(F59/SUM($F58:$F59))</f>
        <v>37.25</v>
      </c>
      <c r="I59" s="62">
        <f t="shared" si="1"/>
        <v>0.3725</v>
      </c>
      <c r="J59" s="44"/>
    </row>
    <row r="60" spans="1:10" x14ac:dyDescent="0.25">
      <c r="A60" s="30" t="s">
        <v>9</v>
      </c>
      <c r="B60" s="35" t="s">
        <v>41</v>
      </c>
      <c r="C60" s="35">
        <v>2017</v>
      </c>
      <c r="D60" s="30" t="s">
        <v>20</v>
      </c>
      <c r="E60" s="30" t="s">
        <v>21</v>
      </c>
      <c r="F60" s="26">
        <v>50</v>
      </c>
      <c r="G60" s="41">
        <v>72</v>
      </c>
      <c r="H60" s="48">
        <f>G60*(F60/SUM($F60:$F61))</f>
        <v>36</v>
      </c>
      <c r="I60" s="66">
        <f t="shared" si="1"/>
        <v>0.36</v>
      </c>
      <c r="J60" s="48"/>
    </row>
    <row r="61" spans="1:10" x14ac:dyDescent="0.25">
      <c r="A61" s="34" t="s">
        <v>9</v>
      </c>
      <c r="B61" s="33" t="s">
        <v>41</v>
      </c>
      <c r="C61" s="33">
        <v>2017</v>
      </c>
      <c r="D61" s="34" t="s">
        <v>20</v>
      </c>
      <c r="E61" s="34" t="s">
        <v>22</v>
      </c>
      <c r="F61" s="27">
        <v>50</v>
      </c>
      <c r="G61" s="52">
        <v>62</v>
      </c>
      <c r="H61" s="43">
        <f>G61*(F61/SUM($F60:$F61))</f>
        <v>31</v>
      </c>
      <c r="I61" s="61">
        <f t="shared" si="1"/>
        <v>0.31</v>
      </c>
      <c r="J61" s="43"/>
    </row>
    <row r="62" spans="1:10" x14ac:dyDescent="0.25">
      <c r="A62" s="30" t="s">
        <v>9</v>
      </c>
      <c r="B62" s="35" t="s">
        <v>41</v>
      </c>
      <c r="C62" s="35">
        <v>2017</v>
      </c>
      <c r="D62" s="30" t="s">
        <v>23</v>
      </c>
      <c r="E62" s="30" t="s">
        <v>24</v>
      </c>
      <c r="F62" s="26">
        <v>50</v>
      </c>
      <c r="G62" s="41">
        <v>66.7</v>
      </c>
      <c r="H62" s="48">
        <f>G62*(F62/SUM($F62:$F63))</f>
        <v>33.35</v>
      </c>
      <c r="I62" s="66">
        <f t="shared" si="1"/>
        <v>0.33350000000000002</v>
      </c>
      <c r="J62" s="48"/>
    </row>
    <row r="63" spans="1:10" x14ac:dyDescent="0.25">
      <c r="A63" s="34" t="s">
        <v>9</v>
      </c>
      <c r="B63" s="33" t="s">
        <v>41</v>
      </c>
      <c r="C63" s="33">
        <v>2017</v>
      </c>
      <c r="D63" s="34" t="s">
        <v>23</v>
      </c>
      <c r="E63" s="34" t="s">
        <v>25</v>
      </c>
      <c r="F63" s="27">
        <v>50</v>
      </c>
      <c r="G63" s="52">
        <v>73.900000000000006</v>
      </c>
      <c r="H63" s="43">
        <f>G63*(F63/SUM($F62:$F63))</f>
        <v>36.950000000000003</v>
      </c>
      <c r="I63" s="61">
        <f t="shared" si="1"/>
        <v>0.36950000000000005</v>
      </c>
      <c r="J63" s="43"/>
    </row>
    <row r="64" spans="1:10" x14ac:dyDescent="0.25">
      <c r="A64" s="30" t="s">
        <v>9</v>
      </c>
      <c r="B64" s="35" t="s">
        <v>41</v>
      </c>
      <c r="C64" s="35">
        <v>2017</v>
      </c>
      <c r="D64" s="30" t="s">
        <v>26</v>
      </c>
      <c r="E64" s="30" t="s">
        <v>27</v>
      </c>
      <c r="F64" s="26">
        <v>50</v>
      </c>
      <c r="G64" s="41">
        <v>100</v>
      </c>
      <c r="H64" s="48">
        <f>G64*(F64/SUM($F64:$F65))</f>
        <v>50</v>
      </c>
      <c r="I64" s="66">
        <f t="shared" si="1"/>
        <v>0.5</v>
      </c>
      <c r="J64" s="48"/>
    </row>
    <row r="65" spans="1:10" x14ac:dyDescent="0.25">
      <c r="A65" s="34" t="s">
        <v>9</v>
      </c>
      <c r="B65" s="33" t="s">
        <v>41</v>
      </c>
      <c r="C65" s="33">
        <v>2017</v>
      </c>
      <c r="D65" s="34" t="s">
        <v>26</v>
      </c>
      <c r="E65" s="34" t="s">
        <v>28</v>
      </c>
      <c r="F65" s="27">
        <v>50</v>
      </c>
      <c r="G65" s="52">
        <v>33.299999999999997</v>
      </c>
      <c r="H65" s="43">
        <f>G65*(F65/SUM($F64:$F65))</f>
        <v>16.649999999999999</v>
      </c>
      <c r="I65" s="61">
        <f t="shared" si="1"/>
        <v>0.16649999999999998</v>
      </c>
      <c r="J65" s="43"/>
    </row>
    <row r="66" spans="1:10" x14ac:dyDescent="0.25">
      <c r="A66" s="30" t="s">
        <v>9</v>
      </c>
      <c r="B66" s="35" t="s">
        <v>41</v>
      </c>
      <c r="C66" s="35">
        <v>2017</v>
      </c>
      <c r="D66" s="30" t="s">
        <v>29</v>
      </c>
      <c r="E66" s="30" t="s">
        <v>30</v>
      </c>
      <c r="F66" s="26">
        <v>50</v>
      </c>
      <c r="G66" s="41">
        <v>77.8</v>
      </c>
      <c r="H66" s="48">
        <f>G66*(F66/SUM($F66:$F67))</f>
        <v>38.9</v>
      </c>
      <c r="I66" s="66">
        <f t="shared" si="1"/>
        <v>0.38900000000000001</v>
      </c>
      <c r="J66" s="48"/>
    </row>
    <row r="67" spans="1:10" x14ac:dyDescent="0.25">
      <c r="A67" s="34" t="s">
        <v>9</v>
      </c>
      <c r="B67" s="33" t="s">
        <v>41</v>
      </c>
      <c r="C67" s="33">
        <v>2017</v>
      </c>
      <c r="D67" s="34" t="s">
        <v>29</v>
      </c>
      <c r="E67" s="34" t="s">
        <v>31</v>
      </c>
      <c r="F67" s="27">
        <v>50</v>
      </c>
      <c r="G67" s="52">
        <v>89.7</v>
      </c>
      <c r="H67" s="43">
        <f>G67*(F67/SUM($F66:$F67))</f>
        <v>44.85</v>
      </c>
      <c r="I67" s="61">
        <f t="shared" ref="I67:I130" si="4">H67/100</f>
        <v>0.44850000000000001</v>
      </c>
      <c r="J67" s="43"/>
    </row>
    <row r="68" spans="1:10" x14ac:dyDescent="0.25">
      <c r="A68" s="39" t="s">
        <v>9</v>
      </c>
      <c r="B68" s="40" t="s">
        <v>41</v>
      </c>
      <c r="C68" s="40">
        <v>2017</v>
      </c>
      <c r="D68" s="39" t="s">
        <v>32</v>
      </c>
      <c r="E68" s="39" t="s">
        <v>32</v>
      </c>
      <c r="F68" s="28">
        <v>50</v>
      </c>
      <c r="G68" s="56">
        <v>75</v>
      </c>
      <c r="H68" s="49">
        <f>G68</f>
        <v>75</v>
      </c>
      <c r="I68" s="67">
        <f t="shared" si="4"/>
        <v>0.75</v>
      </c>
      <c r="J68" s="49"/>
    </row>
    <row r="69" spans="1:10" x14ac:dyDescent="0.25">
      <c r="A69" s="39" t="s">
        <v>9</v>
      </c>
      <c r="B69" s="40" t="s">
        <v>41</v>
      </c>
      <c r="C69" s="40">
        <v>2017</v>
      </c>
      <c r="D69" s="39" t="s">
        <v>33</v>
      </c>
      <c r="E69" s="39" t="s">
        <v>33</v>
      </c>
      <c r="F69" s="28">
        <v>50</v>
      </c>
      <c r="G69" s="56">
        <v>79.2</v>
      </c>
      <c r="H69" s="49">
        <f>G69</f>
        <v>79.2</v>
      </c>
      <c r="I69" s="67">
        <f t="shared" si="4"/>
        <v>0.79200000000000004</v>
      </c>
      <c r="J69" s="49"/>
    </row>
    <row r="70" spans="1:10" x14ac:dyDescent="0.25">
      <c r="A70" s="30" t="s">
        <v>9</v>
      </c>
      <c r="B70" s="35" t="s">
        <v>41</v>
      </c>
      <c r="C70" s="35">
        <v>2017</v>
      </c>
      <c r="D70" s="30" t="s">
        <v>34</v>
      </c>
      <c r="E70" s="30" t="s">
        <v>35</v>
      </c>
      <c r="F70" s="26">
        <v>50</v>
      </c>
      <c r="G70" s="41">
        <v>89.8</v>
      </c>
      <c r="H70" s="48">
        <f>G70*(F70/SUM($F70:$F73))</f>
        <v>22.45</v>
      </c>
      <c r="I70" s="66">
        <f t="shared" si="4"/>
        <v>0.22450000000000001</v>
      </c>
      <c r="J70" s="48"/>
    </row>
    <row r="71" spans="1:10" x14ac:dyDescent="0.25">
      <c r="A71" s="32" t="s">
        <v>9</v>
      </c>
      <c r="B71" s="31" t="s">
        <v>41</v>
      </c>
      <c r="C71" s="31">
        <v>2017</v>
      </c>
      <c r="D71" s="32" t="s">
        <v>34</v>
      </c>
      <c r="E71" s="32" t="s">
        <v>36</v>
      </c>
      <c r="F71" s="29">
        <v>50</v>
      </c>
      <c r="G71" s="51">
        <v>86.4</v>
      </c>
      <c r="H71" s="43">
        <f>G71*(F71/SUM($F70:$F73))</f>
        <v>21.6</v>
      </c>
      <c r="I71" s="61">
        <f t="shared" si="4"/>
        <v>0.21600000000000003</v>
      </c>
      <c r="J71" s="43"/>
    </row>
    <row r="72" spans="1:10" x14ac:dyDescent="0.25">
      <c r="A72" s="32" t="s">
        <v>9</v>
      </c>
      <c r="B72" s="31" t="s">
        <v>41</v>
      </c>
      <c r="C72" s="31">
        <v>2017</v>
      </c>
      <c r="D72" s="32" t="s">
        <v>34</v>
      </c>
      <c r="E72" s="32" t="s">
        <v>37</v>
      </c>
      <c r="F72" s="29">
        <v>50</v>
      </c>
      <c r="G72" s="51">
        <v>87.5</v>
      </c>
      <c r="H72" s="43">
        <f>G72*(F72/SUM($F70:$F73))</f>
        <v>21.875</v>
      </c>
      <c r="I72" s="61">
        <f t="shared" si="4"/>
        <v>0.21875</v>
      </c>
      <c r="J72" s="43"/>
    </row>
    <row r="73" spans="1:10" x14ac:dyDescent="0.25">
      <c r="A73" s="34" t="s">
        <v>9</v>
      </c>
      <c r="B73" s="33" t="s">
        <v>41</v>
      </c>
      <c r="C73" s="33">
        <v>2017</v>
      </c>
      <c r="D73" s="34" t="s">
        <v>34</v>
      </c>
      <c r="E73" s="34" t="s">
        <v>38</v>
      </c>
      <c r="F73" s="27">
        <v>50</v>
      </c>
      <c r="G73" s="52">
        <v>93.9</v>
      </c>
      <c r="H73" s="44">
        <f>G73*(F73/SUM($F70:$F73))</f>
        <v>23.475000000000001</v>
      </c>
      <c r="I73" s="62">
        <f t="shared" si="4"/>
        <v>0.23475000000000001</v>
      </c>
      <c r="J73" s="44"/>
    </row>
    <row r="74" spans="1:10" x14ac:dyDescent="0.25">
      <c r="A74" s="30" t="s">
        <v>9</v>
      </c>
      <c r="B74" s="35" t="s">
        <v>42</v>
      </c>
      <c r="C74" s="35">
        <v>2017</v>
      </c>
      <c r="D74" s="30" t="s">
        <v>44</v>
      </c>
      <c r="E74" s="30" t="s">
        <v>45</v>
      </c>
      <c r="F74" s="26">
        <v>91</v>
      </c>
      <c r="G74" s="41">
        <v>86.8</v>
      </c>
      <c r="H74" s="48">
        <f>G74*(F74/SUM($F74:$F78))</f>
        <v>17.830248306997742</v>
      </c>
      <c r="I74" s="66">
        <f t="shared" si="4"/>
        <v>0.17830248306997742</v>
      </c>
      <c r="J74" s="48"/>
    </row>
    <row r="75" spans="1:10" x14ac:dyDescent="0.25">
      <c r="A75" s="32" t="s">
        <v>9</v>
      </c>
      <c r="B75" s="31" t="s">
        <v>42</v>
      </c>
      <c r="C75" s="31">
        <v>2017</v>
      </c>
      <c r="D75" s="32" t="s">
        <v>44</v>
      </c>
      <c r="E75" s="32" t="s">
        <v>46</v>
      </c>
      <c r="F75" s="29">
        <v>90</v>
      </c>
      <c r="G75" s="51">
        <v>82.2</v>
      </c>
      <c r="H75" s="43">
        <f>G75*(F75/SUM($F74:$F78))</f>
        <v>16.69977426636569</v>
      </c>
      <c r="I75" s="61">
        <f t="shared" si="4"/>
        <v>0.16699774266365691</v>
      </c>
      <c r="J75" s="43"/>
    </row>
    <row r="76" spans="1:10" x14ac:dyDescent="0.25">
      <c r="A76" s="32" t="s">
        <v>9</v>
      </c>
      <c r="B76" s="31" t="s">
        <v>42</v>
      </c>
      <c r="C76" s="31">
        <v>2017</v>
      </c>
      <c r="D76" s="32" t="s">
        <v>44</v>
      </c>
      <c r="E76" s="32" t="s">
        <v>47</v>
      </c>
      <c r="F76" s="29">
        <v>86</v>
      </c>
      <c r="G76" s="51">
        <v>68.599999999999994</v>
      </c>
      <c r="H76" s="43">
        <f>G76*(F76/SUM($F74:$F78))</f>
        <v>13.317381489841985</v>
      </c>
      <c r="I76" s="61">
        <f t="shared" si="4"/>
        <v>0.13317381489841984</v>
      </c>
      <c r="J76" s="43"/>
    </row>
    <row r="77" spans="1:10" x14ac:dyDescent="0.25">
      <c r="A77" s="32" t="s">
        <v>9</v>
      </c>
      <c r="B77" s="31" t="s">
        <v>42</v>
      </c>
      <c r="C77" s="31">
        <v>2017</v>
      </c>
      <c r="D77" s="32" t="s">
        <v>44</v>
      </c>
      <c r="E77" s="32" t="s">
        <v>48</v>
      </c>
      <c r="F77" s="29">
        <v>87</v>
      </c>
      <c r="G77" s="51">
        <v>80.5</v>
      </c>
      <c r="H77" s="43">
        <f>G77*(F77/SUM($F74:$F78))</f>
        <v>15.809255079006771</v>
      </c>
      <c r="I77" s="61">
        <f t="shared" si="4"/>
        <v>0.1580925507900677</v>
      </c>
      <c r="J77" s="43"/>
    </row>
    <row r="78" spans="1:10" x14ac:dyDescent="0.25">
      <c r="A78" s="34" t="s">
        <v>9</v>
      </c>
      <c r="B78" s="33" t="s">
        <v>42</v>
      </c>
      <c r="C78" s="33">
        <v>2017</v>
      </c>
      <c r="D78" s="34" t="s">
        <v>44</v>
      </c>
      <c r="E78" s="34" t="s">
        <v>49</v>
      </c>
      <c r="F78" s="27">
        <v>89</v>
      </c>
      <c r="G78" s="52">
        <v>75.3</v>
      </c>
      <c r="H78" s="44">
        <f>G78*(F78/SUM($F74:$F78))</f>
        <v>15.127990970654627</v>
      </c>
      <c r="I78" s="62">
        <f t="shared" si="4"/>
        <v>0.15127990970654628</v>
      </c>
      <c r="J78" s="44"/>
    </row>
    <row r="79" spans="1:10" x14ac:dyDescent="0.25">
      <c r="A79" s="14" t="s">
        <v>9</v>
      </c>
      <c r="B79" s="15" t="s">
        <v>42</v>
      </c>
      <c r="C79" s="35">
        <v>2017</v>
      </c>
      <c r="D79" s="30" t="s">
        <v>4</v>
      </c>
      <c r="E79" s="30" t="s">
        <v>50</v>
      </c>
      <c r="F79" s="16">
        <v>92</v>
      </c>
      <c r="G79" s="57">
        <v>84.8</v>
      </c>
      <c r="H79" s="43">
        <f>G79*(F79/SUM($F$79:$F$84))</f>
        <v>14.447407407407407</v>
      </c>
      <c r="I79" s="61">
        <f t="shared" si="4"/>
        <v>0.14447407407407409</v>
      </c>
      <c r="J79" s="43"/>
    </row>
    <row r="80" spans="1:10" x14ac:dyDescent="0.25">
      <c r="A80" s="32" t="s">
        <v>9</v>
      </c>
      <c r="B80" s="31" t="s">
        <v>42</v>
      </c>
      <c r="C80" s="31">
        <v>2017</v>
      </c>
      <c r="D80" s="32" t="s">
        <v>4</v>
      </c>
      <c r="E80" s="32" t="s">
        <v>51</v>
      </c>
      <c r="F80" s="29">
        <v>91</v>
      </c>
      <c r="G80" s="51">
        <v>83.5</v>
      </c>
      <c r="H80" s="43">
        <f t="shared" ref="H80:H84" si="5">G80*(F80/SUM($F$79:$F$84))</f>
        <v>14.071296296296296</v>
      </c>
      <c r="I80" s="61">
        <f t="shared" si="4"/>
        <v>0.14071296296296296</v>
      </c>
      <c r="J80" s="43"/>
    </row>
    <row r="81" spans="1:10" x14ac:dyDescent="0.25">
      <c r="A81" s="32" t="s">
        <v>9</v>
      </c>
      <c r="B81" s="31" t="s">
        <v>42</v>
      </c>
      <c r="C81" s="31">
        <v>2017</v>
      </c>
      <c r="D81" s="32" t="s">
        <v>4</v>
      </c>
      <c r="E81" s="32" t="s">
        <v>52</v>
      </c>
      <c r="F81" s="29">
        <v>91</v>
      </c>
      <c r="G81" s="51">
        <v>84.6</v>
      </c>
      <c r="H81" s="43">
        <f t="shared" si="5"/>
        <v>14.256666666666666</v>
      </c>
      <c r="I81" s="61">
        <f t="shared" si="4"/>
        <v>0.14256666666666665</v>
      </c>
      <c r="J81" s="43"/>
    </row>
    <row r="82" spans="1:10" x14ac:dyDescent="0.25">
      <c r="A82" s="32" t="s">
        <v>9</v>
      </c>
      <c r="B82" s="31" t="s">
        <v>42</v>
      </c>
      <c r="C82" s="31">
        <v>2017</v>
      </c>
      <c r="D82" s="32" t="s">
        <v>4</v>
      </c>
      <c r="E82" s="32" t="s">
        <v>53</v>
      </c>
      <c r="F82" s="29">
        <v>91</v>
      </c>
      <c r="G82" s="51">
        <v>80.2</v>
      </c>
      <c r="H82" s="43">
        <f t="shared" si="5"/>
        <v>13.515185185185185</v>
      </c>
      <c r="I82" s="61">
        <f t="shared" si="4"/>
        <v>0.13515185185185186</v>
      </c>
      <c r="J82" s="43"/>
    </row>
    <row r="83" spans="1:10" x14ac:dyDescent="0.25">
      <c r="A83" s="32" t="s">
        <v>9</v>
      </c>
      <c r="B83" s="31" t="s">
        <v>42</v>
      </c>
      <c r="C83" s="31">
        <v>2017</v>
      </c>
      <c r="D83" s="32" t="s">
        <v>4</v>
      </c>
      <c r="E83" s="32" t="s">
        <v>54</v>
      </c>
      <c r="F83" s="29">
        <v>91</v>
      </c>
      <c r="G83" s="51">
        <v>82.4</v>
      </c>
      <c r="H83" s="43">
        <f t="shared" si="5"/>
        <v>13.885925925925926</v>
      </c>
      <c r="I83" s="61">
        <f t="shared" si="4"/>
        <v>0.13885925925925927</v>
      </c>
      <c r="J83" s="43"/>
    </row>
    <row r="84" spans="1:10" x14ac:dyDescent="0.25">
      <c r="A84" s="34" t="s">
        <v>9</v>
      </c>
      <c r="B84" s="33" t="s">
        <v>42</v>
      </c>
      <c r="C84" s="33">
        <v>2017</v>
      </c>
      <c r="D84" s="34" t="s">
        <v>4</v>
      </c>
      <c r="E84" s="34" t="s">
        <v>55</v>
      </c>
      <c r="F84" s="27">
        <v>84</v>
      </c>
      <c r="G84" s="52">
        <v>79.8</v>
      </c>
      <c r="H84" s="44">
        <f t="shared" si="5"/>
        <v>12.413333333333332</v>
      </c>
      <c r="I84" s="62">
        <f t="shared" si="4"/>
        <v>0.12413333333333332</v>
      </c>
      <c r="J84" s="44"/>
    </row>
    <row r="85" spans="1:10" x14ac:dyDescent="0.25">
      <c r="A85" s="23" t="s">
        <v>9</v>
      </c>
      <c r="B85" s="24" t="s">
        <v>42</v>
      </c>
      <c r="C85" s="24">
        <v>2017</v>
      </c>
      <c r="D85" s="23" t="s">
        <v>11</v>
      </c>
      <c r="E85" s="23" t="s">
        <v>56</v>
      </c>
      <c r="F85" s="25">
        <v>90</v>
      </c>
      <c r="G85" s="53">
        <v>82.2</v>
      </c>
      <c r="H85" s="45">
        <f>G85*(F85/SUM($F$85:$F$88))</f>
        <v>20.722689075630253</v>
      </c>
      <c r="I85" s="63">
        <f t="shared" si="4"/>
        <v>0.20722689075630252</v>
      </c>
      <c r="J85" s="45"/>
    </row>
    <row r="86" spans="1:10" x14ac:dyDescent="0.25">
      <c r="A86" s="8" t="s">
        <v>9</v>
      </c>
      <c r="B86" s="9" t="s">
        <v>42</v>
      </c>
      <c r="C86" s="9">
        <v>2017</v>
      </c>
      <c r="D86" s="8" t="s">
        <v>11</v>
      </c>
      <c r="E86" s="8" t="s">
        <v>57</v>
      </c>
      <c r="F86" s="10">
        <v>89</v>
      </c>
      <c r="G86" s="54">
        <v>79.8</v>
      </c>
      <c r="H86" s="46">
        <f>G86*(F86/SUM($F$85:$F$88))</f>
        <v>19.894117647058824</v>
      </c>
      <c r="I86" s="64">
        <f t="shared" si="4"/>
        <v>0.19894117647058823</v>
      </c>
      <c r="J86" s="46"/>
    </row>
    <row r="87" spans="1:10" x14ac:dyDescent="0.25">
      <c r="A87" s="8" t="s">
        <v>9</v>
      </c>
      <c r="B87" s="9" t="s">
        <v>42</v>
      </c>
      <c r="C87" s="9">
        <v>2017</v>
      </c>
      <c r="D87" s="8" t="s">
        <v>11</v>
      </c>
      <c r="E87" s="8" t="s">
        <v>58</v>
      </c>
      <c r="F87" s="10">
        <v>89</v>
      </c>
      <c r="G87" s="54">
        <v>76.400000000000006</v>
      </c>
      <c r="H87" s="46">
        <f>G87*(F87/SUM($F$85:$F$88))</f>
        <v>19.046498599439776</v>
      </c>
      <c r="I87" s="64">
        <f t="shared" si="4"/>
        <v>0.19046498599439776</v>
      </c>
      <c r="J87" s="46"/>
    </row>
    <row r="88" spans="1:10" x14ac:dyDescent="0.25">
      <c r="A88" s="11" t="s">
        <v>9</v>
      </c>
      <c r="B88" s="12" t="s">
        <v>42</v>
      </c>
      <c r="C88" s="12">
        <v>2017</v>
      </c>
      <c r="D88" s="11" t="s">
        <v>11</v>
      </c>
      <c r="E88" s="11" t="s">
        <v>59</v>
      </c>
      <c r="F88" s="13">
        <v>89</v>
      </c>
      <c r="G88" s="55">
        <v>77.5</v>
      </c>
      <c r="H88" s="47">
        <f>G88*(F88/SUM($F$85:$F$88))</f>
        <v>19.320728291316527</v>
      </c>
      <c r="I88" s="65">
        <f t="shared" si="4"/>
        <v>0.19320728291316527</v>
      </c>
      <c r="J88" s="47"/>
    </row>
    <row r="89" spans="1:10" x14ac:dyDescent="0.25">
      <c r="A89" s="14" t="s">
        <v>9</v>
      </c>
      <c r="B89" s="15" t="s">
        <v>42</v>
      </c>
      <c r="C89" s="35">
        <v>2017</v>
      </c>
      <c r="D89" s="30" t="s">
        <v>60</v>
      </c>
      <c r="E89" s="30" t="s">
        <v>61</v>
      </c>
      <c r="F89" s="16">
        <v>55</v>
      </c>
      <c r="G89" s="57">
        <v>81.8</v>
      </c>
      <c r="H89" s="48">
        <f>G89*(F89/SUM($F89:$F93))</f>
        <v>15.407534246575342</v>
      </c>
      <c r="I89" s="66">
        <f t="shared" si="4"/>
        <v>0.15407534246575341</v>
      </c>
      <c r="J89" s="48"/>
    </row>
    <row r="90" spans="1:10" x14ac:dyDescent="0.25">
      <c r="A90" s="20" t="s">
        <v>9</v>
      </c>
      <c r="B90" s="21" t="s">
        <v>42</v>
      </c>
      <c r="C90" s="31">
        <v>2017</v>
      </c>
      <c r="D90" s="32" t="s">
        <v>60</v>
      </c>
      <c r="E90" s="32" t="s">
        <v>62</v>
      </c>
      <c r="F90" s="22">
        <v>54</v>
      </c>
      <c r="G90" s="58">
        <v>77.8</v>
      </c>
      <c r="H90" s="43">
        <f>G90*(F90/SUM($F89:$F93))</f>
        <v>14.387671232876711</v>
      </c>
      <c r="I90" s="61">
        <f t="shared" si="4"/>
        <v>0.14387671232876711</v>
      </c>
      <c r="J90" s="43"/>
    </row>
    <row r="91" spans="1:10" x14ac:dyDescent="0.25">
      <c r="A91" s="20" t="s">
        <v>9</v>
      </c>
      <c r="B91" s="21" t="s">
        <v>42</v>
      </c>
      <c r="C91" s="31">
        <v>2017</v>
      </c>
      <c r="D91" s="32" t="s">
        <v>60</v>
      </c>
      <c r="E91" s="32" t="s">
        <v>63</v>
      </c>
      <c r="F91" s="22">
        <v>62</v>
      </c>
      <c r="G91" s="58">
        <v>72.599999999999994</v>
      </c>
      <c r="H91" s="43">
        <f>G91*(F91/SUM($F89:$F93))</f>
        <v>15.415068493150683</v>
      </c>
      <c r="I91" s="61">
        <f t="shared" si="4"/>
        <v>0.15415068493150683</v>
      </c>
      <c r="J91" s="43"/>
    </row>
    <row r="92" spans="1:10" x14ac:dyDescent="0.25">
      <c r="A92" s="20" t="s">
        <v>9</v>
      </c>
      <c r="B92" s="21" t="s">
        <v>42</v>
      </c>
      <c r="C92" s="31">
        <v>2017</v>
      </c>
      <c r="D92" s="32" t="s">
        <v>60</v>
      </c>
      <c r="E92" s="32" t="s">
        <v>64</v>
      </c>
      <c r="F92" s="22">
        <v>60</v>
      </c>
      <c r="G92" s="58">
        <v>85</v>
      </c>
      <c r="H92" s="43">
        <f>G92*(F92/SUM($F89:$F93))</f>
        <v>17.465753424657532</v>
      </c>
      <c r="I92" s="61">
        <f t="shared" si="4"/>
        <v>0.17465753424657532</v>
      </c>
      <c r="J92" s="43"/>
    </row>
    <row r="93" spans="1:10" x14ac:dyDescent="0.25">
      <c r="A93" s="17" t="s">
        <v>9</v>
      </c>
      <c r="B93" s="18" t="s">
        <v>42</v>
      </c>
      <c r="C93" s="33">
        <v>2017</v>
      </c>
      <c r="D93" s="34" t="s">
        <v>60</v>
      </c>
      <c r="E93" s="34" t="s">
        <v>65</v>
      </c>
      <c r="F93" s="19">
        <v>61</v>
      </c>
      <c r="G93" s="59">
        <v>83.6</v>
      </c>
      <c r="H93" s="44">
        <f>G93*(F93/SUM($F89:$F93))</f>
        <v>17.464383561643835</v>
      </c>
      <c r="I93" s="62">
        <f t="shared" si="4"/>
        <v>0.17464383561643834</v>
      </c>
      <c r="J93" s="44"/>
    </row>
    <row r="94" spans="1:10" x14ac:dyDescent="0.25">
      <c r="A94" s="14" t="s">
        <v>9</v>
      </c>
      <c r="B94" s="15" t="s">
        <v>42</v>
      </c>
      <c r="C94" s="35">
        <v>2017</v>
      </c>
      <c r="D94" s="30" t="s">
        <v>66</v>
      </c>
      <c r="E94" s="30" t="s">
        <v>67</v>
      </c>
      <c r="F94" s="16">
        <v>74</v>
      </c>
      <c r="G94" s="57">
        <v>82.4</v>
      </c>
      <c r="H94" s="48">
        <f>G94*(F94/SUM($F94:$F96))</f>
        <v>27.842922374429225</v>
      </c>
      <c r="I94" s="66">
        <f t="shared" si="4"/>
        <v>0.27842922374429224</v>
      </c>
      <c r="J94" s="48"/>
    </row>
    <row r="95" spans="1:10" x14ac:dyDescent="0.25">
      <c r="A95" s="20" t="s">
        <v>9</v>
      </c>
      <c r="B95" s="21" t="s">
        <v>42</v>
      </c>
      <c r="C95" s="31">
        <v>2017</v>
      </c>
      <c r="D95" s="32" t="s">
        <v>66</v>
      </c>
      <c r="E95" s="32" t="s">
        <v>68</v>
      </c>
      <c r="F95" s="22">
        <v>74</v>
      </c>
      <c r="G95" s="58">
        <v>82.4</v>
      </c>
      <c r="H95" s="43">
        <f>G95*(F95/SUM($F94:$F96))</f>
        <v>27.842922374429225</v>
      </c>
      <c r="I95" s="61">
        <f t="shared" si="4"/>
        <v>0.27842922374429224</v>
      </c>
      <c r="J95" s="43"/>
    </row>
    <row r="96" spans="1:10" x14ac:dyDescent="0.25">
      <c r="A96" s="17" t="s">
        <v>9</v>
      </c>
      <c r="B96" s="18" t="s">
        <v>42</v>
      </c>
      <c r="C96" s="33">
        <v>2017</v>
      </c>
      <c r="D96" s="34" t="s">
        <v>66</v>
      </c>
      <c r="E96" s="34" t="s">
        <v>69</v>
      </c>
      <c r="F96" s="19">
        <v>71</v>
      </c>
      <c r="G96" s="59">
        <v>84.5</v>
      </c>
      <c r="H96" s="44">
        <f>G96*(F96/SUM($F94:$F96))</f>
        <v>27.394977168949769</v>
      </c>
      <c r="I96" s="62">
        <f t="shared" si="4"/>
        <v>0.27394977168949769</v>
      </c>
      <c r="J96" s="44"/>
    </row>
    <row r="97" spans="1:10" x14ac:dyDescent="0.25">
      <c r="A97" s="14" t="s">
        <v>9</v>
      </c>
      <c r="B97" s="15" t="s">
        <v>42</v>
      </c>
      <c r="C97" s="35">
        <v>2017</v>
      </c>
      <c r="D97" s="30" t="s">
        <v>70</v>
      </c>
      <c r="E97" s="30" t="s">
        <v>71</v>
      </c>
      <c r="F97" s="16">
        <v>80</v>
      </c>
      <c r="G97" s="57">
        <v>81.3</v>
      </c>
      <c r="H97" s="48">
        <f>G97*(F97/SUM($F97:$F99))</f>
        <v>25.91235059760956</v>
      </c>
      <c r="I97" s="66">
        <f t="shared" si="4"/>
        <v>0.25912350597609562</v>
      </c>
      <c r="J97" s="48"/>
    </row>
    <row r="98" spans="1:10" x14ac:dyDescent="0.25">
      <c r="A98" s="20" t="s">
        <v>9</v>
      </c>
      <c r="B98" s="21" t="s">
        <v>42</v>
      </c>
      <c r="C98" s="31">
        <v>2017</v>
      </c>
      <c r="D98" s="32" t="s">
        <v>70</v>
      </c>
      <c r="E98" s="32" t="s">
        <v>72</v>
      </c>
      <c r="F98" s="22">
        <v>86</v>
      </c>
      <c r="G98" s="58">
        <v>77.900000000000006</v>
      </c>
      <c r="H98" s="43">
        <f>G98*(F98/SUM($F97:$F99))</f>
        <v>26.690836653386455</v>
      </c>
      <c r="I98" s="61">
        <f t="shared" si="4"/>
        <v>0.26690836653386457</v>
      </c>
      <c r="J98" s="43"/>
    </row>
    <row r="99" spans="1:10" x14ac:dyDescent="0.25">
      <c r="A99" s="17" t="s">
        <v>9</v>
      </c>
      <c r="B99" s="18" t="s">
        <v>42</v>
      </c>
      <c r="C99" s="33">
        <v>2017</v>
      </c>
      <c r="D99" s="34" t="s">
        <v>70</v>
      </c>
      <c r="E99" s="34" t="s">
        <v>73</v>
      </c>
      <c r="F99" s="19">
        <v>85</v>
      </c>
      <c r="G99" s="59">
        <v>83.5</v>
      </c>
      <c r="H99" s="44">
        <f>G99*(F99/SUM($F97:$F99))</f>
        <v>28.276892430278881</v>
      </c>
      <c r="I99" s="62">
        <f t="shared" si="4"/>
        <v>0.28276892430278883</v>
      </c>
      <c r="J99" s="44"/>
    </row>
    <row r="100" spans="1:10" x14ac:dyDescent="0.25">
      <c r="A100" s="14" t="s">
        <v>9</v>
      </c>
      <c r="B100" s="15" t="s">
        <v>42</v>
      </c>
      <c r="C100" s="35">
        <v>2017</v>
      </c>
      <c r="D100" s="30" t="s">
        <v>74</v>
      </c>
      <c r="E100" s="30" t="s">
        <v>75</v>
      </c>
      <c r="F100" s="16">
        <v>77</v>
      </c>
      <c r="G100" s="57">
        <v>67.5</v>
      </c>
      <c r="H100" s="48">
        <f>G100*(F100/SUM($F100:$F104))</f>
        <v>12.645985401459853</v>
      </c>
      <c r="I100" s="66">
        <f t="shared" si="4"/>
        <v>0.12645985401459853</v>
      </c>
      <c r="J100" s="48"/>
    </row>
    <row r="101" spans="1:10" x14ac:dyDescent="0.25">
      <c r="A101" s="20" t="s">
        <v>9</v>
      </c>
      <c r="B101" s="21" t="s">
        <v>42</v>
      </c>
      <c r="C101" s="31">
        <v>2017</v>
      </c>
      <c r="D101" s="32" t="s">
        <v>74</v>
      </c>
      <c r="E101" s="32" t="s">
        <v>76</v>
      </c>
      <c r="F101" s="22">
        <v>88</v>
      </c>
      <c r="G101" s="58">
        <v>77.3</v>
      </c>
      <c r="H101" s="43">
        <f>G101*(F101/SUM($F100:$F104))</f>
        <v>16.550851581508514</v>
      </c>
      <c r="I101" s="61">
        <f t="shared" si="4"/>
        <v>0.16550851581508513</v>
      </c>
      <c r="J101" s="43"/>
    </row>
    <row r="102" spans="1:10" x14ac:dyDescent="0.25">
      <c r="A102" s="20" t="s">
        <v>9</v>
      </c>
      <c r="B102" s="21" t="s">
        <v>42</v>
      </c>
      <c r="C102" s="31">
        <v>2017</v>
      </c>
      <c r="D102" s="32" t="s">
        <v>74</v>
      </c>
      <c r="E102" s="32" t="s">
        <v>77</v>
      </c>
      <c r="F102" s="22">
        <v>75</v>
      </c>
      <c r="G102" s="58">
        <v>76</v>
      </c>
      <c r="H102" s="43">
        <f>G102*(F102/SUM($F100:$F104))</f>
        <v>13.868613138686131</v>
      </c>
      <c r="I102" s="61">
        <f t="shared" si="4"/>
        <v>0.13868613138686131</v>
      </c>
      <c r="J102" s="43"/>
    </row>
    <row r="103" spans="1:10" x14ac:dyDescent="0.25">
      <c r="A103" s="20" t="s">
        <v>9</v>
      </c>
      <c r="B103" s="21" t="s">
        <v>42</v>
      </c>
      <c r="C103" s="31">
        <v>2017</v>
      </c>
      <c r="D103" s="32" t="s">
        <v>74</v>
      </c>
      <c r="E103" s="32" t="s">
        <v>78</v>
      </c>
      <c r="F103" s="22">
        <v>83</v>
      </c>
      <c r="G103" s="58">
        <v>75.900000000000006</v>
      </c>
      <c r="H103" s="43">
        <f>G103*(F103/SUM($F100:$F104))</f>
        <v>15.327737226277373</v>
      </c>
      <c r="I103" s="61">
        <f t="shared" si="4"/>
        <v>0.15327737226277371</v>
      </c>
      <c r="J103" s="43"/>
    </row>
    <row r="104" spans="1:10" x14ac:dyDescent="0.25">
      <c r="A104" s="17" t="s">
        <v>9</v>
      </c>
      <c r="B104" s="18" t="s">
        <v>42</v>
      </c>
      <c r="C104" s="33">
        <v>2017</v>
      </c>
      <c r="D104" s="34" t="s">
        <v>74</v>
      </c>
      <c r="E104" s="34" t="s">
        <v>79</v>
      </c>
      <c r="F104" s="19">
        <v>88</v>
      </c>
      <c r="G104" s="59">
        <v>87.5</v>
      </c>
      <c r="H104" s="44">
        <f>G104*(F104/SUM($F100:$F104))</f>
        <v>18.734793187347933</v>
      </c>
      <c r="I104" s="62">
        <f t="shared" si="4"/>
        <v>0.18734793187347931</v>
      </c>
      <c r="J104" s="44"/>
    </row>
    <row r="105" spans="1:10" x14ac:dyDescent="0.25">
      <c r="A105" s="14" t="s">
        <v>9</v>
      </c>
      <c r="B105" s="15" t="s">
        <v>42</v>
      </c>
      <c r="C105" s="35">
        <v>2017</v>
      </c>
      <c r="D105" s="30" t="s">
        <v>80</v>
      </c>
      <c r="E105" s="30" t="s">
        <v>81</v>
      </c>
      <c r="F105" s="16">
        <v>86</v>
      </c>
      <c r="G105" s="57">
        <v>84.9</v>
      </c>
      <c r="H105" s="48">
        <f>G105*(F105/SUM($F105:$F108))</f>
        <v>21.665875370919881</v>
      </c>
      <c r="I105" s="66">
        <f t="shared" si="4"/>
        <v>0.21665875370919882</v>
      </c>
      <c r="J105" s="48"/>
    </row>
    <row r="106" spans="1:10" x14ac:dyDescent="0.25">
      <c r="A106" s="20" t="s">
        <v>9</v>
      </c>
      <c r="B106" s="21" t="s">
        <v>42</v>
      </c>
      <c r="C106" s="31">
        <v>2017</v>
      </c>
      <c r="D106" s="32" t="s">
        <v>80</v>
      </c>
      <c r="E106" s="32" t="s">
        <v>82</v>
      </c>
      <c r="F106" s="22">
        <v>87</v>
      </c>
      <c r="G106" s="58">
        <v>80.5</v>
      </c>
      <c r="H106" s="43">
        <f>G106*(F106/SUM($F105:$F108))</f>
        <v>20.781899109792285</v>
      </c>
      <c r="I106" s="61">
        <f t="shared" si="4"/>
        <v>0.20781899109792284</v>
      </c>
      <c r="J106" s="43"/>
    </row>
    <row r="107" spans="1:10" x14ac:dyDescent="0.25">
      <c r="A107" s="20" t="s">
        <v>9</v>
      </c>
      <c r="B107" s="21" t="s">
        <v>42</v>
      </c>
      <c r="C107" s="31">
        <v>2017</v>
      </c>
      <c r="D107" s="32" t="s">
        <v>80</v>
      </c>
      <c r="E107" s="32" t="s">
        <v>83</v>
      </c>
      <c r="F107" s="22">
        <v>86</v>
      </c>
      <c r="G107" s="58">
        <v>75.599999999999994</v>
      </c>
      <c r="H107" s="43">
        <f>G107*(F107/SUM($F105:$F108))</f>
        <v>19.292581602373886</v>
      </c>
      <c r="I107" s="61">
        <f t="shared" si="4"/>
        <v>0.19292581602373887</v>
      </c>
      <c r="J107" s="43"/>
    </row>
    <row r="108" spans="1:10" x14ac:dyDescent="0.25">
      <c r="A108" s="17" t="s">
        <v>9</v>
      </c>
      <c r="B108" s="18" t="s">
        <v>42</v>
      </c>
      <c r="C108" s="33">
        <v>2017</v>
      </c>
      <c r="D108" s="34" t="s">
        <v>80</v>
      </c>
      <c r="E108" s="34" t="s">
        <v>84</v>
      </c>
      <c r="F108" s="19">
        <v>78</v>
      </c>
      <c r="G108" s="59">
        <v>75.599999999999994</v>
      </c>
      <c r="H108" s="44">
        <f>G108*(F108/SUM($F105:$F108))</f>
        <v>17.497922848664686</v>
      </c>
      <c r="I108" s="62">
        <f t="shared" si="4"/>
        <v>0.17497922848664685</v>
      </c>
      <c r="J108" s="44"/>
    </row>
    <row r="109" spans="1:10" x14ac:dyDescent="0.25">
      <c r="A109" s="14" t="s">
        <v>9</v>
      </c>
      <c r="B109" s="15" t="s">
        <v>43</v>
      </c>
      <c r="C109" s="35">
        <v>2017</v>
      </c>
      <c r="D109" s="30" t="s">
        <v>44</v>
      </c>
      <c r="E109" s="30" t="s">
        <v>45</v>
      </c>
      <c r="F109" s="16">
        <v>213</v>
      </c>
      <c r="G109" s="57">
        <v>85.4</v>
      </c>
      <c r="H109" s="48">
        <f>G109*(F109/SUM($F109:$F113))</f>
        <v>17.609099709583738</v>
      </c>
      <c r="I109" s="66">
        <f t="shared" si="4"/>
        <v>0.17609099709583739</v>
      </c>
      <c r="J109" s="48"/>
    </row>
    <row r="110" spans="1:10" x14ac:dyDescent="0.25">
      <c r="A110" s="20" t="s">
        <v>9</v>
      </c>
      <c r="B110" s="21" t="s">
        <v>43</v>
      </c>
      <c r="C110" s="31">
        <v>2017</v>
      </c>
      <c r="D110" s="32" t="s">
        <v>44</v>
      </c>
      <c r="E110" s="32" t="s">
        <v>46</v>
      </c>
      <c r="F110" s="22">
        <v>212</v>
      </c>
      <c r="G110" s="58">
        <v>80.2</v>
      </c>
      <c r="H110" s="43">
        <f>G110*(F110/SUM($F109:$F113))</f>
        <v>16.459244917715392</v>
      </c>
      <c r="I110" s="61">
        <f t="shared" si="4"/>
        <v>0.1645924491771539</v>
      </c>
      <c r="J110" s="43"/>
    </row>
    <row r="111" spans="1:10" x14ac:dyDescent="0.25">
      <c r="A111" s="20" t="s">
        <v>9</v>
      </c>
      <c r="B111" s="21" t="s">
        <v>43</v>
      </c>
      <c r="C111" s="31">
        <v>2017</v>
      </c>
      <c r="D111" s="32" t="s">
        <v>44</v>
      </c>
      <c r="E111" s="32" t="s">
        <v>47</v>
      </c>
      <c r="F111" s="22">
        <v>197</v>
      </c>
      <c r="G111" s="58">
        <v>64.5</v>
      </c>
      <c r="H111" s="43">
        <f>G111*(F111/SUM($F109:$F113))</f>
        <v>12.300580832526622</v>
      </c>
      <c r="I111" s="61">
        <f t="shared" si="4"/>
        <v>0.12300580832526622</v>
      </c>
      <c r="J111" s="43"/>
    </row>
    <row r="112" spans="1:10" x14ac:dyDescent="0.25">
      <c r="A112" s="20" t="s">
        <v>9</v>
      </c>
      <c r="B112" s="21" t="s">
        <v>43</v>
      </c>
      <c r="C112" s="31">
        <v>2017</v>
      </c>
      <c r="D112" s="32" t="s">
        <v>44</v>
      </c>
      <c r="E112" s="32" t="s">
        <v>48</v>
      </c>
      <c r="F112" s="22">
        <v>204</v>
      </c>
      <c r="G112" s="58">
        <v>79.400000000000006</v>
      </c>
      <c r="H112" s="43">
        <f>G112*(F112/SUM($F109:$F113))</f>
        <v>15.680154888673766</v>
      </c>
      <c r="I112" s="61">
        <f t="shared" si="4"/>
        <v>0.15680154888673767</v>
      </c>
      <c r="J112" s="43"/>
    </row>
    <row r="113" spans="1:10" x14ac:dyDescent="0.25">
      <c r="A113" s="17" t="s">
        <v>9</v>
      </c>
      <c r="B113" s="18" t="s">
        <v>43</v>
      </c>
      <c r="C113" s="33">
        <v>2017</v>
      </c>
      <c r="D113" s="34" t="s">
        <v>44</v>
      </c>
      <c r="E113" s="34" t="s">
        <v>49</v>
      </c>
      <c r="F113" s="19">
        <v>207</v>
      </c>
      <c r="G113" s="59">
        <v>72.5</v>
      </c>
      <c r="H113" s="44">
        <f>G113*(F113/SUM($F109:$F113))</f>
        <v>14.528073572120039</v>
      </c>
      <c r="I113" s="62">
        <f t="shared" si="4"/>
        <v>0.1452807357212004</v>
      </c>
      <c r="J113" s="44"/>
    </row>
    <row r="114" spans="1:10" x14ac:dyDescent="0.25">
      <c r="A114" s="30" t="s">
        <v>9</v>
      </c>
      <c r="B114" s="35" t="s">
        <v>43</v>
      </c>
      <c r="C114" s="35">
        <v>2017</v>
      </c>
      <c r="D114" s="30" t="s">
        <v>4</v>
      </c>
      <c r="E114" s="30" t="s">
        <v>50</v>
      </c>
      <c r="F114" s="26">
        <v>212</v>
      </c>
      <c r="G114" s="41">
        <v>84.4</v>
      </c>
      <c r="H114" s="48">
        <f>G114*(F114/SUM($F$114:$F$119))</f>
        <v>14.429677419354839</v>
      </c>
      <c r="I114" s="66">
        <f t="shared" si="4"/>
        <v>0.14429677419354839</v>
      </c>
      <c r="J114" s="48"/>
    </row>
    <row r="115" spans="1:10" x14ac:dyDescent="0.25">
      <c r="A115" s="32" t="s">
        <v>9</v>
      </c>
      <c r="B115" s="31" t="s">
        <v>43</v>
      </c>
      <c r="C115" s="31">
        <v>2017</v>
      </c>
      <c r="D115" s="32" t="s">
        <v>4</v>
      </c>
      <c r="E115" s="32" t="s">
        <v>51</v>
      </c>
      <c r="F115" s="29">
        <v>212</v>
      </c>
      <c r="G115" s="51">
        <v>81.099999999999994</v>
      </c>
      <c r="H115" s="43">
        <f t="shared" ref="H115:H119" si="6">G115*(F115/SUM($F$114:$F$119))</f>
        <v>13.86548387096774</v>
      </c>
      <c r="I115" s="61">
        <f t="shared" si="4"/>
        <v>0.1386548387096774</v>
      </c>
      <c r="J115" s="43"/>
    </row>
    <row r="116" spans="1:10" x14ac:dyDescent="0.25">
      <c r="A116" s="32" t="s">
        <v>9</v>
      </c>
      <c r="B116" s="31" t="s">
        <v>43</v>
      </c>
      <c r="C116" s="31">
        <v>2017</v>
      </c>
      <c r="D116" s="32" t="s">
        <v>4</v>
      </c>
      <c r="E116" s="32" t="s">
        <v>52</v>
      </c>
      <c r="F116" s="29">
        <v>211</v>
      </c>
      <c r="G116" s="51">
        <v>80.599999999999994</v>
      </c>
      <c r="H116" s="43">
        <f t="shared" si="6"/>
        <v>13.715</v>
      </c>
      <c r="I116" s="61">
        <f t="shared" si="4"/>
        <v>0.13714999999999999</v>
      </c>
      <c r="J116" s="43"/>
    </row>
    <row r="117" spans="1:10" x14ac:dyDescent="0.25">
      <c r="A117" s="32" t="s">
        <v>9</v>
      </c>
      <c r="B117" s="31" t="s">
        <v>43</v>
      </c>
      <c r="C117" s="31">
        <v>2017</v>
      </c>
      <c r="D117" s="32" t="s">
        <v>4</v>
      </c>
      <c r="E117" s="32" t="s">
        <v>53</v>
      </c>
      <c r="F117" s="29">
        <v>211</v>
      </c>
      <c r="G117" s="51">
        <v>75.8</v>
      </c>
      <c r="H117" s="43">
        <f t="shared" si="6"/>
        <v>12.898225806451613</v>
      </c>
      <c r="I117" s="61">
        <f t="shared" si="4"/>
        <v>0.12898225806451613</v>
      </c>
      <c r="J117" s="43"/>
    </row>
    <row r="118" spans="1:10" x14ac:dyDescent="0.25">
      <c r="A118" s="32" t="s">
        <v>9</v>
      </c>
      <c r="B118" s="31" t="s">
        <v>43</v>
      </c>
      <c r="C118" s="31">
        <v>2017</v>
      </c>
      <c r="D118" s="32" t="s">
        <v>4</v>
      </c>
      <c r="E118" s="32" t="s">
        <v>54</v>
      </c>
      <c r="F118" s="29">
        <v>212</v>
      </c>
      <c r="G118" s="51">
        <v>79.7</v>
      </c>
      <c r="H118" s="43">
        <f t="shared" si="6"/>
        <v>13.626129032258065</v>
      </c>
      <c r="I118" s="61">
        <f t="shared" si="4"/>
        <v>0.13626129032258066</v>
      </c>
      <c r="J118" s="43"/>
    </row>
    <row r="119" spans="1:10" x14ac:dyDescent="0.25">
      <c r="A119" s="34" t="s">
        <v>9</v>
      </c>
      <c r="B119" s="33" t="s">
        <v>43</v>
      </c>
      <c r="C119" s="33">
        <v>2017</v>
      </c>
      <c r="D119" s="34" t="s">
        <v>4</v>
      </c>
      <c r="E119" s="34" t="s">
        <v>55</v>
      </c>
      <c r="F119" s="27">
        <v>182</v>
      </c>
      <c r="G119" s="52">
        <v>77.5</v>
      </c>
      <c r="H119" s="44">
        <f t="shared" si="6"/>
        <v>11.374999999999998</v>
      </c>
      <c r="I119" s="62">
        <f t="shared" si="4"/>
        <v>0.11374999999999998</v>
      </c>
      <c r="J119" s="44"/>
    </row>
    <row r="120" spans="1:10" x14ac:dyDescent="0.25">
      <c r="A120" s="23" t="s">
        <v>9</v>
      </c>
      <c r="B120" s="24" t="s">
        <v>43</v>
      </c>
      <c r="C120" s="24">
        <v>2017</v>
      </c>
      <c r="D120" s="23" t="s">
        <v>11</v>
      </c>
      <c r="E120" s="23" t="s">
        <v>56</v>
      </c>
      <c r="F120" s="25">
        <v>212</v>
      </c>
      <c r="G120" s="53">
        <v>80.2</v>
      </c>
      <c r="H120" s="45">
        <f>G120*(F120/SUM($F$120:$F$123))</f>
        <v>26.1173579109063</v>
      </c>
      <c r="I120" s="63">
        <f t="shared" si="4"/>
        <v>0.26117357910906303</v>
      </c>
      <c r="J120" s="45"/>
    </row>
    <row r="121" spans="1:10" x14ac:dyDescent="0.25">
      <c r="A121" s="8" t="s">
        <v>9</v>
      </c>
      <c r="B121" s="9" t="s">
        <v>43</v>
      </c>
      <c r="C121" s="9">
        <v>2017</v>
      </c>
      <c r="D121" s="8" t="s">
        <v>11</v>
      </c>
      <c r="E121" s="8" t="s">
        <v>57</v>
      </c>
      <c r="F121" s="10">
        <v>21</v>
      </c>
      <c r="G121" s="54">
        <v>77.099999999999994</v>
      </c>
      <c r="H121" s="46">
        <f>G121*(F121/SUM($F$120:$F$123))</f>
        <v>2.4870967741935481</v>
      </c>
      <c r="I121" s="64">
        <f t="shared" si="4"/>
        <v>2.4870967741935483E-2</v>
      </c>
      <c r="J121" s="46"/>
    </row>
    <row r="122" spans="1:10" x14ac:dyDescent="0.25">
      <c r="A122" s="8" t="s">
        <v>9</v>
      </c>
      <c r="B122" s="9" t="s">
        <v>43</v>
      </c>
      <c r="C122" s="9">
        <v>2017</v>
      </c>
      <c r="D122" s="8" t="s">
        <v>11</v>
      </c>
      <c r="E122" s="8" t="s">
        <v>58</v>
      </c>
      <c r="F122" s="10">
        <v>209</v>
      </c>
      <c r="G122" s="54">
        <v>73.7</v>
      </c>
      <c r="H122" s="46">
        <f>G122*(F122/SUM($F$120:$F$123))</f>
        <v>23.660983102918589</v>
      </c>
      <c r="I122" s="64">
        <f t="shared" si="4"/>
        <v>0.2366098310291859</v>
      </c>
      <c r="J122" s="46"/>
    </row>
    <row r="123" spans="1:10" x14ac:dyDescent="0.25">
      <c r="A123" s="11" t="s">
        <v>9</v>
      </c>
      <c r="B123" s="12" t="s">
        <v>43</v>
      </c>
      <c r="C123" s="12">
        <v>2017</v>
      </c>
      <c r="D123" s="11" t="s">
        <v>11</v>
      </c>
      <c r="E123" s="11" t="s">
        <v>59</v>
      </c>
      <c r="F123" s="13">
        <v>209</v>
      </c>
      <c r="G123" s="55">
        <v>74.2</v>
      </c>
      <c r="H123" s="47">
        <f>G123*(F123/SUM($F$120:$F$123))</f>
        <v>23.821505376344088</v>
      </c>
      <c r="I123" s="65">
        <f t="shared" si="4"/>
        <v>0.23821505376344088</v>
      </c>
      <c r="J123" s="47"/>
    </row>
    <row r="124" spans="1:10" x14ac:dyDescent="0.25">
      <c r="A124" s="14" t="s">
        <v>9</v>
      </c>
      <c r="B124" s="15" t="s">
        <v>43</v>
      </c>
      <c r="C124" s="35">
        <v>2017</v>
      </c>
      <c r="D124" s="30" t="s">
        <v>60</v>
      </c>
      <c r="E124" s="30" t="s">
        <v>61</v>
      </c>
      <c r="F124" s="16">
        <v>136</v>
      </c>
      <c r="G124" s="57">
        <v>80.900000000000006</v>
      </c>
      <c r="H124" s="48">
        <f>G124*(F124/SUM($F124:$F128))</f>
        <v>15.518194640338507</v>
      </c>
      <c r="I124" s="66">
        <f t="shared" si="4"/>
        <v>0.15518194640338506</v>
      </c>
      <c r="J124" s="48"/>
    </row>
    <row r="125" spans="1:10" x14ac:dyDescent="0.25">
      <c r="A125" s="20" t="s">
        <v>9</v>
      </c>
      <c r="B125" s="21" t="s">
        <v>43</v>
      </c>
      <c r="C125" s="31">
        <v>2017</v>
      </c>
      <c r="D125" s="32" t="s">
        <v>60</v>
      </c>
      <c r="E125" s="32" t="s">
        <v>62</v>
      </c>
      <c r="F125" s="22">
        <v>128</v>
      </c>
      <c r="G125" s="58">
        <v>78.900000000000006</v>
      </c>
      <c r="H125" s="43">
        <f>G125*(F125/SUM($F124:$F128))</f>
        <v>14.244287729196051</v>
      </c>
      <c r="I125" s="61">
        <f t="shared" si="4"/>
        <v>0.14244287729196051</v>
      </c>
      <c r="J125" s="43"/>
    </row>
    <row r="126" spans="1:10" x14ac:dyDescent="0.25">
      <c r="A126" s="20" t="s">
        <v>9</v>
      </c>
      <c r="B126" s="21" t="s">
        <v>43</v>
      </c>
      <c r="C126" s="31">
        <v>2017</v>
      </c>
      <c r="D126" s="32" t="s">
        <v>60</v>
      </c>
      <c r="E126" s="32" t="s">
        <v>63</v>
      </c>
      <c r="F126" s="22">
        <v>150</v>
      </c>
      <c r="G126" s="58">
        <v>68.7</v>
      </c>
      <c r="H126" s="43">
        <f>G126*(F126/SUM($F124:$F128))</f>
        <v>14.534555712270805</v>
      </c>
      <c r="I126" s="61">
        <f t="shared" si="4"/>
        <v>0.14534555712270805</v>
      </c>
      <c r="J126" s="43"/>
    </row>
    <row r="127" spans="1:10" x14ac:dyDescent="0.25">
      <c r="A127" s="20" t="s">
        <v>9</v>
      </c>
      <c r="B127" s="21" t="s">
        <v>43</v>
      </c>
      <c r="C127" s="31">
        <v>2017</v>
      </c>
      <c r="D127" s="32" t="s">
        <v>60</v>
      </c>
      <c r="E127" s="32" t="s">
        <v>64</v>
      </c>
      <c r="F127" s="22">
        <v>147</v>
      </c>
      <c r="G127" s="58">
        <v>81</v>
      </c>
      <c r="H127" s="43">
        <f>G127*(F127/SUM($F124:$F128))</f>
        <v>16.794076163610722</v>
      </c>
      <c r="I127" s="61">
        <f t="shared" si="4"/>
        <v>0.16794076163610722</v>
      </c>
      <c r="J127" s="43"/>
    </row>
    <row r="128" spans="1:10" x14ac:dyDescent="0.25">
      <c r="A128" s="17" t="s">
        <v>9</v>
      </c>
      <c r="B128" s="18" t="s">
        <v>43</v>
      </c>
      <c r="C128" s="33">
        <v>2017</v>
      </c>
      <c r="D128" s="34" t="s">
        <v>60</v>
      </c>
      <c r="E128" s="34" t="s">
        <v>65</v>
      </c>
      <c r="F128" s="19">
        <v>148</v>
      </c>
      <c r="G128" s="59">
        <v>82.4</v>
      </c>
      <c r="H128" s="44">
        <f>G128*(F128/SUM($F124:$F128))</f>
        <v>17.200564174894218</v>
      </c>
      <c r="I128" s="62">
        <f t="shared" si="4"/>
        <v>0.17200564174894217</v>
      </c>
      <c r="J128" s="44"/>
    </row>
    <row r="129" spans="1:10" x14ac:dyDescent="0.25">
      <c r="A129" s="14" t="s">
        <v>9</v>
      </c>
      <c r="B129" s="15" t="s">
        <v>43</v>
      </c>
      <c r="C129" s="35">
        <v>2017</v>
      </c>
      <c r="D129" s="30" t="s">
        <v>66</v>
      </c>
      <c r="E129" s="30" t="s">
        <v>67</v>
      </c>
      <c r="F129" s="16">
        <v>170</v>
      </c>
      <c r="G129" s="57">
        <v>80</v>
      </c>
      <c r="H129" s="48">
        <f>G129*(F129/SUM($F129:$F131))</f>
        <v>27.145708582834331</v>
      </c>
      <c r="I129" s="66">
        <f t="shared" si="4"/>
        <v>0.27145708582834333</v>
      </c>
      <c r="J129" s="48"/>
    </row>
    <row r="130" spans="1:10" x14ac:dyDescent="0.25">
      <c r="A130" s="20" t="s">
        <v>9</v>
      </c>
      <c r="B130" s="21" t="s">
        <v>43</v>
      </c>
      <c r="C130" s="31">
        <v>2017</v>
      </c>
      <c r="D130" s="32" t="s">
        <v>66</v>
      </c>
      <c r="E130" s="32" t="s">
        <v>68</v>
      </c>
      <c r="F130" s="22">
        <v>167</v>
      </c>
      <c r="G130" s="58">
        <v>77.8</v>
      </c>
      <c r="H130" s="43">
        <f>G130*(F130/SUM($F129:$F131))</f>
        <v>25.93333333333333</v>
      </c>
      <c r="I130" s="61">
        <f t="shared" si="4"/>
        <v>0.2593333333333333</v>
      </c>
      <c r="J130" s="43"/>
    </row>
    <row r="131" spans="1:10" x14ac:dyDescent="0.25">
      <c r="A131" s="17" t="s">
        <v>9</v>
      </c>
      <c r="B131" s="18" t="s">
        <v>43</v>
      </c>
      <c r="C131" s="33">
        <v>2017</v>
      </c>
      <c r="D131" s="34" t="s">
        <v>66</v>
      </c>
      <c r="E131" s="34" t="s">
        <v>69</v>
      </c>
      <c r="F131" s="19">
        <v>164</v>
      </c>
      <c r="G131" s="59">
        <v>84.1</v>
      </c>
      <c r="H131" s="44">
        <f>G131*(F131/SUM($F129:$F131))</f>
        <v>27.529740518962072</v>
      </c>
      <c r="I131" s="62">
        <f t="shared" ref="I131:I194" si="7">H131/100</f>
        <v>0.2752974051896207</v>
      </c>
      <c r="J131" s="44"/>
    </row>
    <row r="132" spans="1:10" x14ac:dyDescent="0.25">
      <c r="A132" s="14" t="s">
        <v>9</v>
      </c>
      <c r="B132" s="15" t="s">
        <v>43</v>
      </c>
      <c r="C132" s="35">
        <v>2017</v>
      </c>
      <c r="D132" s="30" t="s">
        <v>70</v>
      </c>
      <c r="E132" s="30" t="s">
        <v>71</v>
      </c>
      <c r="F132" s="16">
        <v>186</v>
      </c>
      <c r="G132" s="57">
        <v>79</v>
      </c>
      <c r="H132" s="48">
        <f>G132*(F132/SUM($F132:$F134))</f>
        <v>25.160958904109588</v>
      </c>
      <c r="I132" s="66">
        <f t="shared" si="7"/>
        <v>0.25160958904109587</v>
      </c>
      <c r="J132" s="48"/>
    </row>
    <row r="133" spans="1:10" x14ac:dyDescent="0.25">
      <c r="A133" s="20" t="s">
        <v>9</v>
      </c>
      <c r="B133" s="21" t="s">
        <v>43</v>
      </c>
      <c r="C133" s="31">
        <v>2017</v>
      </c>
      <c r="D133" s="32" t="s">
        <v>70</v>
      </c>
      <c r="E133" s="32" t="s">
        <v>72</v>
      </c>
      <c r="F133" s="22">
        <v>201</v>
      </c>
      <c r="G133" s="58">
        <v>77.599999999999994</v>
      </c>
      <c r="H133" s="43">
        <f>G133*(F133/SUM($F132:$F134))</f>
        <v>26.708219178082189</v>
      </c>
      <c r="I133" s="61">
        <f t="shared" si="7"/>
        <v>0.26708219178082188</v>
      </c>
      <c r="J133" s="43"/>
    </row>
    <row r="134" spans="1:10" x14ac:dyDescent="0.25">
      <c r="A134" s="17" t="s">
        <v>9</v>
      </c>
      <c r="B134" s="18" t="s">
        <v>43</v>
      </c>
      <c r="C134" s="33">
        <v>2017</v>
      </c>
      <c r="D134" s="34" t="s">
        <v>70</v>
      </c>
      <c r="E134" s="34" t="s">
        <v>73</v>
      </c>
      <c r="F134" s="19">
        <v>197</v>
      </c>
      <c r="G134" s="59">
        <v>80.2</v>
      </c>
      <c r="H134" s="44">
        <f>G134*(F134/SUM($F132:$F134))</f>
        <v>27.053767123287674</v>
      </c>
      <c r="I134" s="62">
        <f t="shared" si="7"/>
        <v>0.27053767123287675</v>
      </c>
      <c r="J134" s="44"/>
    </row>
    <row r="135" spans="1:10" x14ac:dyDescent="0.25">
      <c r="A135" s="14" t="s">
        <v>9</v>
      </c>
      <c r="B135" s="15" t="s">
        <v>43</v>
      </c>
      <c r="C135" s="35">
        <v>2017</v>
      </c>
      <c r="D135" s="30" t="s">
        <v>74</v>
      </c>
      <c r="E135" s="30" t="s">
        <v>75</v>
      </c>
      <c r="F135" s="16">
        <v>185</v>
      </c>
      <c r="G135" s="57">
        <v>67.599999999999994</v>
      </c>
      <c r="H135" s="48">
        <f>G135*(F135/SUM($F135:$F139))</f>
        <v>12.906088751289989</v>
      </c>
      <c r="I135" s="66">
        <f t="shared" si="7"/>
        <v>0.1290608875128999</v>
      </c>
      <c r="J135" s="48"/>
    </row>
    <row r="136" spans="1:10" x14ac:dyDescent="0.25">
      <c r="A136" s="20" t="s">
        <v>9</v>
      </c>
      <c r="B136" s="21" t="s">
        <v>43</v>
      </c>
      <c r="C136" s="31">
        <v>2017</v>
      </c>
      <c r="D136" s="32" t="s">
        <v>74</v>
      </c>
      <c r="E136" s="32" t="s">
        <v>76</v>
      </c>
      <c r="F136" s="22">
        <v>208</v>
      </c>
      <c r="G136" s="58">
        <v>77.400000000000006</v>
      </c>
      <c r="H136" s="43">
        <f>G136*(F136/SUM($F135:$F139))</f>
        <v>16.614241486068114</v>
      </c>
      <c r="I136" s="61">
        <f t="shared" si="7"/>
        <v>0.16614241486068113</v>
      </c>
      <c r="J136" s="43"/>
    </row>
    <row r="137" spans="1:10" x14ac:dyDescent="0.25">
      <c r="A137" s="20" t="s">
        <v>9</v>
      </c>
      <c r="B137" s="21" t="s">
        <v>43</v>
      </c>
      <c r="C137" s="31">
        <v>2017</v>
      </c>
      <c r="D137" s="32" t="s">
        <v>74</v>
      </c>
      <c r="E137" s="32" t="s">
        <v>77</v>
      </c>
      <c r="F137" s="22">
        <v>172</v>
      </c>
      <c r="G137" s="58">
        <v>70.900000000000006</v>
      </c>
      <c r="H137" s="43">
        <f>G137*(F137/SUM($F135:$F139))</f>
        <v>12.584932920536637</v>
      </c>
      <c r="I137" s="61">
        <f t="shared" si="7"/>
        <v>0.12584932920536637</v>
      </c>
      <c r="J137" s="43"/>
    </row>
    <row r="138" spans="1:10" x14ac:dyDescent="0.25">
      <c r="A138" s="20" t="s">
        <v>9</v>
      </c>
      <c r="B138" s="21" t="s">
        <v>43</v>
      </c>
      <c r="C138" s="31">
        <v>2017</v>
      </c>
      <c r="D138" s="32" t="s">
        <v>74</v>
      </c>
      <c r="E138" s="32" t="s">
        <v>78</v>
      </c>
      <c r="F138" s="22">
        <v>200</v>
      </c>
      <c r="G138" s="58">
        <v>74.5</v>
      </c>
      <c r="H138" s="43">
        <f>G138*(F138/SUM($F135:$F139))</f>
        <v>15.376676986584107</v>
      </c>
      <c r="I138" s="61">
        <f t="shared" si="7"/>
        <v>0.15376676986584106</v>
      </c>
      <c r="J138" s="43"/>
    </row>
    <row r="139" spans="1:10" x14ac:dyDescent="0.25">
      <c r="A139" s="17" t="s">
        <v>9</v>
      </c>
      <c r="B139" s="18" t="s">
        <v>43</v>
      </c>
      <c r="C139" s="33">
        <v>2017</v>
      </c>
      <c r="D139" s="34" t="s">
        <v>74</v>
      </c>
      <c r="E139" s="34" t="s">
        <v>79</v>
      </c>
      <c r="F139" s="19">
        <v>204</v>
      </c>
      <c r="G139" s="59">
        <v>85.3</v>
      </c>
      <c r="H139" s="44">
        <f>G139*(F139/SUM($F135:$F139))</f>
        <v>17.957894736842103</v>
      </c>
      <c r="I139" s="62">
        <f t="shared" si="7"/>
        <v>0.17957894736842103</v>
      </c>
      <c r="J139" s="44"/>
    </row>
    <row r="140" spans="1:10" x14ac:dyDescent="0.25">
      <c r="A140" s="14" t="s">
        <v>9</v>
      </c>
      <c r="B140" s="15" t="s">
        <v>43</v>
      </c>
      <c r="C140" s="35">
        <v>2017</v>
      </c>
      <c r="D140" s="30" t="s">
        <v>80</v>
      </c>
      <c r="E140" s="30" t="s">
        <v>81</v>
      </c>
      <c r="F140" s="16">
        <v>203</v>
      </c>
      <c r="G140" s="57">
        <v>81.3</v>
      </c>
      <c r="H140" s="48">
        <f>G140*(F140/SUM($F140:$F143))</f>
        <v>20.917490494296576</v>
      </c>
      <c r="I140" s="66">
        <f t="shared" si="7"/>
        <v>0.20917490494296576</v>
      </c>
      <c r="J140" s="48"/>
    </row>
    <row r="141" spans="1:10" x14ac:dyDescent="0.25">
      <c r="A141" s="20" t="s">
        <v>9</v>
      </c>
      <c r="B141" s="21" t="s">
        <v>43</v>
      </c>
      <c r="C141" s="31">
        <v>2017</v>
      </c>
      <c r="D141" s="32" t="s">
        <v>80</v>
      </c>
      <c r="E141" s="32" t="s">
        <v>82</v>
      </c>
      <c r="F141" s="22">
        <v>205</v>
      </c>
      <c r="G141" s="58">
        <v>81.5</v>
      </c>
      <c r="H141" s="43">
        <f>G141*(F141/SUM($F140:$F143))</f>
        <v>21.175538656527248</v>
      </c>
      <c r="I141" s="61">
        <f t="shared" si="7"/>
        <v>0.21175538656527249</v>
      </c>
      <c r="J141" s="43"/>
    </row>
    <row r="142" spans="1:10" x14ac:dyDescent="0.25">
      <c r="A142" s="20" t="s">
        <v>9</v>
      </c>
      <c r="B142" s="21" t="s">
        <v>43</v>
      </c>
      <c r="C142" s="31">
        <v>2017</v>
      </c>
      <c r="D142" s="32" t="s">
        <v>80</v>
      </c>
      <c r="E142" s="32" t="s">
        <v>83</v>
      </c>
      <c r="F142" s="22">
        <v>202</v>
      </c>
      <c r="G142" s="58">
        <v>77.2</v>
      </c>
      <c r="H142" s="43">
        <f>G142*(F142/SUM($F140:$F143))</f>
        <v>19.764765525982256</v>
      </c>
      <c r="I142" s="61">
        <f t="shared" si="7"/>
        <v>0.19764765525982256</v>
      </c>
      <c r="J142" s="43"/>
    </row>
    <row r="143" spans="1:10" x14ac:dyDescent="0.25">
      <c r="A143" s="17" t="s">
        <v>9</v>
      </c>
      <c r="B143" s="18" t="s">
        <v>43</v>
      </c>
      <c r="C143" s="33">
        <v>2017</v>
      </c>
      <c r="D143" s="34" t="s">
        <v>80</v>
      </c>
      <c r="E143" s="34" t="s">
        <v>84</v>
      </c>
      <c r="F143" s="19">
        <v>179</v>
      </c>
      <c r="G143" s="59">
        <v>77.7</v>
      </c>
      <c r="H143" s="44">
        <f>G143*(F143/SUM($F140:$F143))</f>
        <v>17.627756653992396</v>
      </c>
      <c r="I143" s="62">
        <f t="shared" si="7"/>
        <v>0.17627756653992396</v>
      </c>
      <c r="J143" s="44"/>
    </row>
    <row r="144" spans="1:10" x14ac:dyDescent="0.25">
      <c r="A144" s="14" t="s">
        <v>9</v>
      </c>
      <c r="B144" s="15" t="s">
        <v>85</v>
      </c>
      <c r="C144" s="35">
        <v>2017</v>
      </c>
      <c r="D144" s="30" t="s">
        <v>44</v>
      </c>
      <c r="E144" s="30" t="s">
        <v>45</v>
      </c>
      <c r="F144" s="16">
        <v>78</v>
      </c>
      <c r="G144" s="57">
        <v>89.7</v>
      </c>
      <c r="H144" s="48">
        <f>G144*(F144/SUM($F144:$F148))</f>
        <v>18.460686015831133</v>
      </c>
      <c r="I144" s="66">
        <f t="shared" si="7"/>
        <v>0.18460686015831132</v>
      </c>
      <c r="J144" s="48"/>
    </row>
    <row r="145" spans="1:10" x14ac:dyDescent="0.25">
      <c r="A145" s="20" t="s">
        <v>9</v>
      </c>
      <c r="B145" s="21" t="s">
        <v>85</v>
      </c>
      <c r="C145" s="31">
        <v>2017</v>
      </c>
      <c r="D145" s="32" t="s">
        <v>44</v>
      </c>
      <c r="E145" s="32" t="s">
        <v>46</v>
      </c>
      <c r="F145" s="22">
        <v>78</v>
      </c>
      <c r="G145" s="58">
        <v>83.3</v>
      </c>
      <c r="H145" s="43">
        <f>G145*(F145/SUM($F144:$F148))</f>
        <v>17.14353562005277</v>
      </c>
      <c r="I145" s="61">
        <f t="shared" si="7"/>
        <v>0.17143535620052769</v>
      </c>
      <c r="J145" s="43"/>
    </row>
    <row r="146" spans="1:10" x14ac:dyDescent="0.25">
      <c r="A146" s="20" t="s">
        <v>9</v>
      </c>
      <c r="B146" s="21" t="s">
        <v>85</v>
      </c>
      <c r="C146" s="31">
        <v>2017</v>
      </c>
      <c r="D146" s="32" t="s">
        <v>44</v>
      </c>
      <c r="E146" s="32" t="s">
        <v>47</v>
      </c>
      <c r="F146" s="22">
        <v>72</v>
      </c>
      <c r="G146" s="58">
        <v>65.3</v>
      </c>
      <c r="H146" s="43">
        <f>G146*(F146/SUM($F144:$F148))</f>
        <v>12.405277044854881</v>
      </c>
      <c r="I146" s="61">
        <f t="shared" si="7"/>
        <v>0.1240527704485488</v>
      </c>
      <c r="J146" s="43"/>
    </row>
    <row r="147" spans="1:10" x14ac:dyDescent="0.25">
      <c r="A147" s="20" t="s">
        <v>9</v>
      </c>
      <c r="B147" s="21" t="s">
        <v>85</v>
      </c>
      <c r="C147" s="31">
        <v>2017</v>
      </c>
      <c r="D147" s="32" t="s">
        <v>44</v>
      </c>
      <c r="E147" s="32" t="s">
        <v>48</v>
      </c>
      <c r="F147" s="22">
        <v>76</v>
      </c>
      <c r="G147" s="58">
        <v>78.900000000000006</v>
      </c>
      <c r="H147" s="43">
        <f>G147*(F147/SUM($F144:$F148))</f>
        <v>15.821635883905014</v>
      </c>
      <c r="I147" s="61">
        <f t="shared" si="7"/>
        <v>0.15821635883905014</v>
      </c>
      <c r="J147" s="43"/>
    </row>
    <row r="148" spans="1:10" x14ac:dyDescent="0.25">
      <c r="A148" s="17" t="s">
        <v>9</v>
      </c>
      <c r="B148" s="18" t="s">
        <v>85</v>
      </c>
      <c r="C148" s="33">
        <v>2017</v>
      </c>
      <c r="D148" s="34" t="s">
        <v>44</v>
      </c>
      <c r="E148" s="34" t="s">
        <v>49</v>
      </c>
      <c r="F148" s="19">
        <v>75</v>
      </c>
      <c r="G148" s="59">
        <v>69.3</v>
      </c>
      <c r="H148" s="44">
        <f>G148*(F148/SUM($F144:$F148))</f>
        <v>13.713720316622689</v>
      </c>
      <c r="I148" s="62">
        <f t="shared" si="7"/>
        <v>0.13713720316622691</v>
      </c>
      <c r="J148" s="44"/>
    </row>
    <row r="149" spans="1:10" x14ac:dyDescent="0.25">
      <c r="A149" s="30" t="s">
        <v>9</v>
      </c>
      <c r="B149" s="35" t="s">
        <v>85</v>
      </c>
      <c r="C149" s="35">
        <v>2017</v>
      </c>
      <c r="D149" s="30" t="s">
        <v>4</v>
      </c>
      <c r="E149" s="30" t="s">
        <v>50</v>
      </c>
      <c r="F149" s="26">
        <v>77</v>
      </c>
      <c r="G149" s="41">
        <v>85.7</v>
      </c>
      <c r="H149" s="48">
        <f>G149*(F149/SUM($F$149:$F$154))</f>
        <v>14.664222222222222</v>
      </c>
      <c r="I149" s="66">
        <f t="shared" si="7"/>
        <v>0.14664222222222223</v>
      </c>
      <c r="J149" s="48"/>
    </row>
    <row r="150" spans="1:10" x14ac:dyDescent="0.25">
      <c r="A150" s="32" t="s">
        <v>9</v>
      </c>
      <c r="B150" s="31" t="s">
        <v>85</v>
      </c>
      <c r="C150" s="31">
        <v>2017</v>
      </c>
      <c r="D150" s="32" t="s">
        <v>4</v>
      </c>
      <c r="E150" s="32" t="s">
        <v>51</v>
      </c>
      <c r="F150" s="29">
        <v>77</v>
      </c>
      <c r="G150" s="51">
        <v>74</v>
      </c>
      <c r="H150" s="43">
        <f t="shared" ref="H150:H154" si="8">G150*(F150/SUM($F$149:$F$154))</f>
        <v>12.662222222222221</v>
      </c>
      <c r="I150" s="61">
        <f t="shared" si="7"/>
        <v>0.12662222222222222</v>
      </c>
      <c r="J150" s="43"/>
    </row>
    <row r="151" spans="1:10" x14ac:dyDescent="0.25">
      <c r="A151" s="32" t="s">
        <v>9</v>
      </c>
      <c r="B151" s="31" t="s">
        <v>85</v>
      </c>
      <c r="C151" s="31">
        <v>2017</v>
      </c>
      <c r="D151" s="32" t="s">
        <v>4</v>
      </c>
      <c r="E151" s="32" t="s">
        <v>52</v>
      </c>
      <c r="F151" s="29">
        <v>75</v>
      </c>
      <c r="G151" s="51">
        <v>73.3</v>
      </c>
      <c r="H151" s="43">
        <f t="shared" si="8"/>
        <v>12.216666666666665</v>
      </c>
      <c r="I151" s="61">
        <f t="shared" si="7"/>
        <v>0.12216666666666665</v>
      </c>
      <c r="J151" s="43"/>
    </row>
    <row r="152" spans="1:10" x14ac:dyDescent="0.25">
      <c r="A152" s="32" t="s">
        <v>9</v>
      </c>
      <c r="B152" s="31" t="s">
        <v>85</v>
      </c>
      <c r="C152" s="31">
        <v>2017</v>
      </c>
      <c r="D152" s="32" t="s">
        <v>4</v>
      </c>
      <c r="E152" s="32" t="s">
        <v>53</v>
      </c>
      <c r="F152" s="29">
        <v>77</v>
      </c>
      <c r="G152" s="51">
        <v>70.099999999999994</v>
      </c>
      <c r="H152" s="43">
        <f t="shared" si="8"/>
        <v>11.994888888888887</v>
      </c>
      <c r="I152" s="61">
        <f t="shared" si="7"/>
        <v>0.11994888888888887</v>
      </c>
      <c r="J152" s="43"/>
    </row>
    <row r="153" spans="1:10" x14ac:dyDescent="0.25">
      <c r="A153" s="32" t="s">
        <v>9</v>
      </c>
      <c r="B153" s="31" t="s">
        <v>85</v>
      </c>
      <c r="C153" s="31">
        <v>2017</v>
      </c>
      <c r="D153" s="32" t="s">
        <v>4</v>
      </c>
      <c r="E153" s="32" t="s">
        <v>54</v>
      </c>
      <c r="F153" s="29">
        <v>77</v>
      </c>
      <c r="G153" s="51">
        <v>76.599999999999994</v>
      </c>
      <c r="H153" s="43">
        <f t="shared" si="8"/>
        <v>13.107111111111109</v>
      </c>
      <c r="I153" s="61">
        <f t="shared" si="7"/>
        <v>0.13107111111111108</v>
      </c>
      <c r="J153" s="43"/>
    </row>
    <row r="154" spans="1:10" x14ac:dyDescent="0.25">
      <c r="A154" s="34" t="s">
        <v>9</v>
      </c>
      <c r="B154" s="33" t="s">
        <v>85</v>
      </c>
      <c r="C154" s="33">
        <v>2017</v>
      </c>
      <c r="D154" s="34" t="s">
        <v>4</v>
      </c>
      <c r="E154" s="34" t="s">
        <v>55</v>
      </c>
      <c r="F154" s="27">
        <v>67</v>
      </c>
      <c r="G154" s="52">
        <v>74.599999999999994</v>
      </c>
      <c r="H154" s="44">
        <f t="shared" si="8"/>
        <v>11.107111111111109</v>
      </c>
      <c r="I154" s="62">
        <f t="shared" si="7"/>
        <v>0.11107111111111109</v>
      </c>
      <c r="J154" s="44"/>
    </row>
    <row r="155" spans="1:10" x14ac:dyDescent="0.25">
      <c r="A155" s="23" t="s">
        <v>9</v>
      </c>
      <c r="B155" s="24" t="s">
        <v>85</v>
      </c>
      <c r="C155" s="24">
        <v>2017</v>
      </c>
      <c r="D155" s="23" t="s">
        <v>11</v>
      </c>
      <c r="E155" s="23" t="s">
        <v>56</v>
      </c>
      <c r="F155" s="25">
        <v>78</v>
      </c>
      <c r="G155" s="53">
        <v>76.900000000000006</v>
      </c>
      <c r="H155" s="45">
        <f>G155*(F155/SUM($F$155:$F$158))</f>
        <v>19.411650485436894</v>
      </c>
      <c r="I155" s="63">
        <f t="shared" si="7"/>
        <v>0.19411650485436893</v>
      </c>
      <c r="J155" s="45"/>
    </row>
    <row r="156" spans="1:10" x14ac:dyDescent="0.25">
      <c r="A156" s="8" t="s">
        <v>9</v>
      </c>
      <c r="B156" s="9" t="s">
        <v>85</v>
      </c>
      <c r="C156" s="9">
        <v>2017</v>
      </c>
      <c r="D156" s="8" t="s">
        <v>11</v>
      </c>
      <c r="E156" s="8" t="s">
        <v>57</v>
      </c>
      <c r="F156" s="10">
        <v>77</v>
      </c>
      <c r="G156" s="54">
        <v>72.7</v>
      </c>
      <c r="H156" s="46">
        <f>G156*(F156/SUM($F$155:$F$158))</f>
        <v>18.116181229773463</v>
      </c>
      <c r="I156" s="64">
        <f t="shared" si="7"/>
        <v>0.18116181229773465</v>
      </c>
      <c r="J156" s="46"/>
    </row>
    <row r="157" spans="1:10" x14ac:dyDescent="0.25">
      <c r="A157" s="8" t="s">
        <v>9</v>
      </c>
      <c r="B157" s="9" t="s">
        <v>85</v>
      </c>
      <c r="C157" s="9">
        <v>2017</v>
      </c>
      <c r="D157" s="8" t="s">
        <v>11</v>
      </c>
      <c r="E157" s="8" t="s">
        <v>58</v>
      </c>
      <c r="F157" s="10">
        <v>77</v>
      </c>
      <c r="G157" s="54">
        <v>68.8</v>
      </c>
      <c r="H157" s="46">
        <f>G157*(F157/SUM($F$155:$F$158))</f>
        <v>17.144336569579288</v>
      </c>
      <c r="I157" s="64">
        <f t="shared" si="7"/>
        <v>0.17144336569579288</v>
      </c>
      <c r="J157" s="46"/>
    </row>
    <row r="158" spans="1:10" x14ac:dyDescent="0.25">
      <c r="A158" s="11" t="s">
        <v>9</v>
      </c>
      <c r="B158" s="12" t="s">
        <v>85</v>
      </c>
      <c r="C158" s="12">
        <v>2017</v>
      </c>
      <c r="D158" s="11" t="s">
        <v>11</v>
      </c>
      <c r="E158" s="11" t="s">
        <v>59</v>
      </c>
      <c r="F158" s="13">
        <v>77</v>
      </c>
      <c r="G158" s="55">
        <v>62.3</v>
      </c>
      <c r="H158" s="47">
        <f>G158*(F158/SUM($F$155:$F$158))</f>
        <v>15.524595469255663</v>
      </c>
      <c r="I158" s="65">
        <f t="shared" si="7"/>
        <v>0.15524595469255664</v>
      </c>
      <c r="J158" s="47"/>
    </row>
    <row r="159" spans="1:10" x14ac:dyDescent="0.25">
      <c r="A159" s="14" t="s">
        <v>9</v>
      </c>
      <c r="B159" s="15" t="s">
        <v>85</v>
      </c>
      <c r="C159" s="35">
        <v>2017</v>
      </c>
      <c r="D159" s="30" t="s">
        <v>60</v>
      </c>
      <c r="E159" s="30" t="s">
        <v>61</v>
      </c>
      <c r="F159" s="16">
        <v>48</v>
      </c>
      <c r="G159" s="57">
        <v>70.8</v>
      </c>
      <c r="H159" s="48">
        <f>G159*(F159/SUM($F159:$F163))</f>
        <v>13.758704453441295</v>
      </c>
      <c r="I159" s="66">
        <f t="shared" si="7"/>
        <v>0.13758704453441295</v>
      </c>
      <c r="J159" s="48"/>
    </row>
    <row r="160" spans="1:10" x14ac:dyDescent="0.25">
      <c r="A160" s="20" t="s">
        <v>9</v>
      </c>
      <c r="B160" s="21" t="s">
        <v>85</v>
      </c>
      <c r="C160" s="31">
        <v>2017</v>
      </c>
      <c r="D160" s="32" t="s">
        <v>60</v>
      </c>
      <c r="E160" s="32" t="s">
        <v>62</v>
      </c>
      <c r="F160" s="22">
        <v>42</v>
      </c>
      <c r="G160" s="58">
        <v>71.400000000000006</v>
      </c>
      <c r="H160" s="43">
        <f>G160*(F160/SUM($F159:$F163))</f>
        <v>12.140890688259111</v>
      </c>
      <c r="I160" s="61">
        <f t="shared" si="7"/>
        <v>0.12140890688259111</v>
      </c>
      <c r="J160" s="43"/>
    </row>
    <row r="161" spans="1:10" x14ac:dyDescent="0.25">
      <c r="A161" s="20" t="s">
        <v>9</v>
      </c>
      <c r="B161" s="21" t="s">
        <v>85</v>
      </c>
      <c r="C161" s="31">
        <v>2017</v>
      </c>
      <c r="D161" s="32" t="s">
        <v>60</v>
      </c>
      <c r="E161" s="32" t="s">
        <v>63</v>
      </c>
      <c r="F161" s="22">
        <v>53</v>
      </c>
      <c r="G161" s="58">
        <v>64.2</v>
      </c>
      <c r="H161" s="43">
        <f>G161*(F161/SUM($F159:$F163))</f>
        <v>13.775708502024292</v>
      </c>
      <c r="I161" s="61">
        <f t="shared" si="7"/>
        <v>0.13775708502024292</v>
      </c>
      <c r="J161" s="43"/>
    </row>
    <row r="162" spans="1:10" x14ac:dyDescent="0.25">
      <c r="A162" s="20" t="s">
        <v>9</v>
      </c>
      <c r="B162" s="21" t="s">
        <v>85</v>
      </c>
      <c r="C162" s="31">
        <v>2017</v>
      </c>
      <c r="D162" s="32" t="s">
        <v>60</v>
      </c>
      <c r="E162" s="32" t="s">
        <v>64</v>
      </c>
      <c r="F162" s="22">
        <v>52</v>
      </c>
      <c r="G162" s="58">
        <v>73.099999999999994</v>
      </c>
      <c r="H162" s="43">
        <f>G162*(F162/SUM($F159:$F163))</f>
        <v>15.389473684210524</v>
      </c>
      <c r="I162" s="61">
        <f t="shared" si="7"/>
        <v>0.15389473684210522</v>
      </c>
      <c r="J162" s="43"/>
    </row>
    <row r="163" spans="1:10" x14ac:dyDescent="0.25">
      <c r="A163" s="17" t="s">
        <v>9</v>
      </c>
      <c r="B163" s="18" t="s">
        <v>85</v>
      </c>
      <c r="C163" s="33">
        <v>2017</v>
      </c>
      <c r="D163" s="34" t="s">
        <v>60</v>
      </c>
      <c r="E163" s="34" t="s">
        <v>65</v>
      </c>
      <c r="F163" s="19">
        <v>52</v>
      </c>
      <c r="G163" s="59">
        <v>75</v>
      </c>
      <c r="H163" s="44">
        <f>G163*(F163/SUM($F159:$F163))</f>
        <v>15.789473684210526</v>
      </c>
      <c r="I163" s="62">
        <f t="shared" si="7"/>
        <v>0.15789473684210525</v>
      </c>
      <c r="J163" s="44"/>
    </row>
    <row r="164" spans="1:10" x14ac:dyDescent="0.25">
      <c r="A164" s="14" t="s">
        <v>9</v>
      </c>
      <c r="B164" s="15" t="s">
        <v>85</v>
      </c>
      <c r="C164" s="35">
        <v>2017</v>
      </c>
      <c r="D164" s="30" t="s">
        <v>66</v>
      </c>
      <c r="E164" s="30" t="s">
        <v>67</v>
      </c>
      <c r="F164" s="16">
        <v>60</v>
      </c>
      <c r="G164" s="57">
        <v>76.7</v>
      </c>
      <c r="H164" s="48">
        <f>G164*(F164/SUM($F164:$F166))</f>
        <v>25.853932584269664</v>
      </c>
      <c r="I164" s="66">
        <f t="shared" si="7"/>
        <v>0.25853932584269662</v>
      </c>
      <c r="J164" s="48"/>
    </row>
    <row r="165" spans="1:10" x14ac:dyDescent="0.25">
      <c r="A165" s="20" t="s">
        <v>9</v>
      </c>
      <c r="B165" s="21" t="s">
        <v>85</v>
      </c>
      <c r="C165" s="31">
        <v>2017</v>
      </c>
      <c r="D165" s="32" t="s">
        <v>66</v>
      </c>
      <c r="E165" s="32" t="s">
        <v>68</v>
      </c>
      <c r="F165" s="22">
        <v>59</v>
      </c>
      <c r="G165" s="58">
        <v>76.3</v>
      </c>
      <c r="H165" s="43">
        <f>G165*(F165/SUM($F164:$F166))</f>
        <v>25.290449438202245</v>
      </c>
      <c r="I165" s="61">
        <f t="shared" si="7"/>
        <v>0.25290449438202245</v>
      </c>
      <c r="J165" s="43"/>
    </row>
    <row r="166" spans="1:10" x14ac:dyDescent="0.25">
      <c r="A166" s="17" t="s">
        <v>9</v>
      </c>
      <c r="B166" s="18" t="s">
        <v>85</v>
      </c>
      <c r="C166" s="33">
        <v>2017</v>
      </c>
      <c r="D166" s="34" t="s">
        <v>66</v>
      </c>
      <c r="E166" s="34" t="s">
        <v>69</v>
      </c>
      <c r="F166" s="19">
        <v>59</v>
      </c>
      <c r="G166" s="59">
        <v>79.7</v>
      </c>
      <c r="H166" s="44">
        <f>G166*(F166/SUM($F164:$F166))</f>
        <v>26.417415730337076</v>
      </c>
      <c r="I166" s="62">
        <f t="shared" si="7"/>
        <v>0.26417415730337074</v>
      </c>
      <c r="J166" s="44"/>
    </row>
    <row r="167" spans="1:10" x14ac:dyDescent="0.25">
      <c r="A167" s="14" t="s">
        <v>9</v>
      </c>
      <c r="B167" s="15" t="s">
        <v>85</v>
      </c>
      <c r="C167" s="35">
        <v>2017</v>
      </c>
      <c r="D167" s="30" t="s">
        <v>70</v>
      </c>
      <c r="E167" s="30" t="s">
        <v>71</v>
      </c>
      <c r="F167" s="16">
        <v>69</v>
      </c>
      <c r="G167" s="57">
        <v>76.8</v>
      </c>
      <c r="H167" s="48">
        <f>G167*(F167/SUM($F167:$F169))</f>
        <v>24.762616822429905</v>
      </c>
      <c r="I167" s="66">
        <f t="shared" si="7"/>
        <v>0.24762616822429906</v>
      </c>
      <c r="J167" s="48"/>
    </row>
    <row r="168" spans="1:10" x14ac:dyDescent="0.25">
      <c r="A168" s="20" t="s">
        <v>9</v>
      </c>
      <c r="B168" s="21" t="s">
        <v>85</v>
      </c>
      <c r="C168" s="31">
        <v>2017</v>
      </c>
      <c r="D168" s="32" t="s">
        <v>70</v>
      </c>
      <c r="E168" s="32" t="s">
        <v>72</v>
      </c>
      <c r="F168" s="22">
        <v>73</v>
      </c>
      <c r="G168" s="58">
        <v>76.7</v>
      </c>
      <c r="H168" s="43">
        <f>G168*(F168/SUM($F167:$F169))</f>
        <v>26.164018691588783</v>
      </c>
      <c r="I168" s="61">
        <f t="shared" si="7"/>
        <v>0.26164018691588781</v>
      </c>
      <c r="J168" s="43"/>
    </row>
    <row r="169" spans="1:10" x14ac:dyDescent="0.25">
      <c r="A169" s="17" t="s">
        <v>9</v>
      </c>
      <c r="B169" s="18" t="s">
        <v>85</v>
      </c>
      <c r="C169" s="33">
        <v>2017</v>
      </c>
      <c r="D169" s="34" t="s">
        <v>70</v>
      </c>
      <c r="E169" s="34" t="s">
        <v>73</v>
      </c>
      <c r="F169" s="19">
        <v>72</v>
      </c>
      <c r="G169" s="59">
        <v>79.2</v>
      </c>
      <c r="H169" s="44">
        <f>G169*(F169/SUM($F167:$F169))</f>
        <v>26.646728971962617</v>
      </c>
      <c r="I169" s="62">
        <f t="shared" si="7"/>
        <v>0.26646728971962619</v>
      </c>
      <c r="J169" s="44"/>
    </row>
    <row r="170" spans="1:10" x14ac:dyDescent="0.25">
      <c r="A170" s="14" t="s">
        <v>9</v>
      </c>
      <c r="B170" s="15" t="s">
        <v>85</v>
      </c>
      <c r="C170" s="35">
        <v>2017</v>
      </c>
      <c r="D170" s="30" t="s">
        <v>74</v>
      </c>
      <c r="E170" s="30" t="s">
        <v>75</v>
      </c>
      <c r="F170" s="16">
        <v>66</v>
      </c>
      <c r="G170" s="57">
        <v>63.6</v>
      </c>
      <c r="H170" s="48">
        <f>G170*(F170/SUM($F170:$F174))</f>
        <v>11.993142857142859</v>
      </c>
      <c r="I170" s="66">
        <f t="shared" si="7"/>
        <v>0.11993142857142859</v>
      </c>
      <c r="J170" s="48"/>
    </row>
    <row r="171" spans="1:10" x14ac:dyDescent="0.25">
      <c r="A171" s="20" t="s">
        <v>9</v>
      </c>
      <c r="B171" s="21" t="s">
        <v>85</v>
      </c>
      <c r="C171" s="31">
        <v>2017</v>
      </c>
      <c r="D171" s="32" t="s">
        <v>74</v>
      </c>
      <c r="E171" s="32" t="s">
        <v>76</v>
      </c>
      <c r="F171" s="22">
        <v>76</v>
      </c>
      <c r="G171" s="58">
        <v>73.7</v>
      </c>
      <c r="H171" s="43">
        <f>G171*(F171/SUM($F170:$F174))</f>
        <v>16.003428571428572</v>
      </c>
      <c r="I171" s="61">
        <f t="shared" si="7"/>
        <v>0.16003428571428571</v>
      </c>
      <c r="J171" s="43"/>
    </row>
    <row r="172" spans="1:10" x14ac:dyDescent="0.25">
      <c r="A172" s="20" t="s">
        <v>9</v>
      </c>
      <c r="B172" s="21" t="s">
        <v>85</v>
      </c>
      <c r="C172" s="31">
        <v>2017</v>
      </c>
      <c r="D172" s="32" t="s">
        <v>74</v>
      </c>
      <c r="E172" s="32" t="s">
        <v>77</v>
      </c>
      <c r="F172" s="22">
        <v>61</v>
      </c>
      <c r="G172" s="58">
        <v>62.3</v>
      </c>
      <c r="H172" s="43">
        <f>G172*(F172/SUM($F170:$F174))</f>
        <v>10.858000000000001</v>
      </c>
      <c r="I172" s="61">
        <f t="shared" si="7"/>
        <v>0.10858000000000001</v>
      </c>
      <c r="J172" s="43"/>
    </row>
    <row r="173" spans="1:10" x14ac:dyDescent="0.25">
      <c r="A173" s="20" t="s">
        <v>9</v>
      </c>
      <c r="B173" s="21" t="s">
        <v>85</v>
      </c>
      <c r="C173" s="31">
        <v>2017</v>
      </c>
      <c r="D173" s="32" t="s">
        <v>74</v>
      </c>
      <c r="E173" s="32" t="s">
        <v>78</v>
      </c>
      <c r="F173" s="22">
        <v>73</v>
      </c>
      <c r="G173" s="58">
        <v>72.599999999999994</v>
      </c>
      <c r="H173" s="43">
        <f>G173*(F173/SUM($F170:$F174))</f>
        <v>15.142285714285713</v>
      </c>
      <c r="I173" s="61">
        <f t="shared" si="7"/>
        <v>0.15142285714285714</v>
      </c>
      <c r="J173" s="43"/>
    </row>
    <row r="174" spans="1:10" x14ac:dyDescent="0.25">
      <c r="A174" s="17" t="s">
        <v>9</v>
      </c>
      <c r="B174" s="18" t="s">
        <v>85</v>
      </c>
      <c r="C174" s="33">
        <v>2017</v>
      </c>
      <c r="D174" s="34" t="s">
        <v>74</v>
      </c>
      <c r="E174" s="34" t="s">
        <v>79</v>
      </c>
      <c r="F174" s="19">
        <v>74</v>
      </c>
      <c r="G174" s="59">
        <v>78.400000000000006</v>
      </c>
      <c r="H174" s="44">
        <f>G174*(F174/SUM($F170:$F174))</f>
        <v>16.576000000000001</v>
      </c>
      <c r="I174" s="62">
        <f t="shared" si="7"/>
        <v>0.16576000000000002</v>
      </c>
      <c r="J174" s="44"/>
    </row>
    <row r="175" spans="1:10" x14ac:dyDescent="0.25">
      <c r="A175" s="14" t="s">
        <v>9</v>
      </c>
      <c r="B175" s="15" t="s">
        <v>85</v>
      </c>
      <c r="C175" s="35">
        <v>2017</v>
      </c>
      <c r="D175" s="30" t="s">
        <v>80</v>
      </c>
      <c r="E175" s="30" t="s">
        <v>81</v>
      </c>
      <c r="F175" s="16">
        <v>73</v>
      </c>
      <c r="G175" s="57">
        <v>71.2</v>
      </c>
      <c r="H175" s="48">
        <f>G175*(F175/SUM($F175:$F178))</f>
        <v>18.562857142857144</v>
      </c>
      <c r="I175" s="66">
        <f t="shared" si="7"/>
        <v>0.18562857142857145</v>
      </c>
      <c r="J175" s="48"/>
    </row>
    <row r="176" spans="1:10" x14ac:dyDescent="0.25">
      <c r="A176" s="20" t="s">
        <v>9</v>
      </c>
      <c r="B176" s="21" t="s">
        <v>85</v>
      </c>
      <c r="C176" s="31">
        <v>2017</v>
      </c>
      <c r="D176" s="32" t="s">
        <v>80</v>
      </c>
      <c r="E176" s="32" t="s">
        <v>82</v>
      </c>
      <c r="F176" s="22">
        <v>73</v>
      </c>
      <c r="G176" s="58">
        <v>74</v>
      </c>
      <c r="H176" s="43">
        <f>G176*(F176/SUM($F175:$F178))</f>
        <v>19.292857142857144</v>
      </c>
      <c r="I176" s="61">
        <f t="shared" si="7"/>
        <v>0.19292857142857145</v>
      </c>
      <c r="J176" s="43"/>
    </row>
    <row r="177" spans="1:10" x14ac:dyDescent="0.25">
      <c r="A177" s="20" t="s">
        <v>9</v>
      </c>
      <c r="B177" s="21" t="s">
        <v>85</v>
      </c>
      <c r="C177" s="31">
        <v>2017</v>
      </c>
      <c r="D177" s="32" t="s">
        <v>80</v>
      </c>
      <c r="E177" s="32" t="s">
        <v>83</v>
      </c>
      <c r="F177" s="22">
        <v>72</v>
      </c>
      <c r="G177" s="58">
        <v>76.400000000000006</v>
      </c>
      <c r="H177" s="43">
        <f>G177*(F177/SUM($F175:$F178))</f>
        <v>19.645714285714284</v>
      </c>
      <c r="I177" s="61">
        <f t="shared" si="7"/>
        <v>0.19645714285714283</v>
      </c>
      <c r="J177" s="43"/>
    </row>
    <row r="178" spans="1:10" x14ac:dyDescent="0.25">
      <c r="A178" s="17" t="s">
        <v>9</v>
      </c>
      <c r="B178" s="18" t="s">
        <v>85</v>
      </c>
      <c r="C178" s="33">
        <v>2017</v>
      </c>
      <c r="D178" s="34" t="s">
        <v>80</v>
      </c>
      <c r="E178" s="34" t="s">
        <v>84</v>
      </c>
      <c r="F178" s="19">
        <v>62</v>
      </c>
      <c r="G178" s="59">
        <v>75.8</v>
      </c>
      <c r="H178" s="44">
        <f>G178*(F178/SUM($F175:$F178))</f>
        <v>16.784285714285712</v>
      </c>
      <c r="I178" s="62">
        <f t="shared" si="7"/>
        <v>0.16784285714285713</v>
      </c>
      <c r="J178" s="44"/>
    </row>
    <row r="179" spans="1:10" x14ac:dyDescent="0.25">
      <c r="A179" s="14" t="s">
        <v>9</v>
      </c>
      <c r="B179" s="15" t="s">
        <v>86</v>
      </c>
      <c r="C179" s="35">
        <v>2017</v>
      </c>
      <c r="D179" s="30" t="s">
        <v>44</v>
      </c>
      <c r="E179" s="30" t="s">
        <v>45</v>
      </c>
      <c r="F179" s="16">
        <v>69</v>
      </c>
      <c r="G179" s="57">
        <v>89.9</v>
      </c>
      <c r="H179" s="48">
        <f>G179*(F179/SUM($F179:$F183))</f>
        <v>18.190909090909091</v>
      </c>
      <c r="I179" s="66">
        <f t="shared" si="7"/>
        <v>0.18190909090909091</v>
      </c>
      <c r="J179" s="48"/>
    </row>
    <row r="180" spans="1:10" x14ac:dyDescent="0.25">
      <c r="A180" s="20" t="s">
        <v>9</v>
      </c>
      <c r="B180" s="21" t="s">
        <v>86</v>
      </c>
      <c r="C180" s="31">
        <v>2017</v>
      </c>
      <c r="D180" s="32" t="s">
        <v>44</v>
      </c>
      <c r="E180" s="32" t="s">
        <v>46</v>
      </c>
      <c r="F180" s="22">
        <v>69</v>
      </c>
      <c r="G180" s="58">
        <v>88.4</v>
      </c>
      <c r="H180" s="43">
        <f>G180*(F180/SUM($F179:$F183))</f>
        <v>17.887390029325513</v>
      </c>
      <c r="I180" s="61">
        <f t="shared" si="7"/>
        <v>0.17887390029325512</v>
      </c>
      <c r="J180" s="43"/>
    </row>
    <row r="181" spans="1:10" x14ac:dyDescent="0.25">
      <c r="A181" s="20" t="s">
        <v>9</v>
      </c>
      <c r="B181" s="21" t="s">
        <v>86</v>
      </c>
      <c r="C181" s="31">
        <v>2017</v>
      </c>
      <c r="D181" s="32" t="s">
        <v>44</v>
      </c>
      <c r="E181" s="32" t="s">
        <v>47</v>
      </c>
      <c r="F181" s="22">
        <v>65</v>
      </c>
      <c r="G181" s="58">
        <v>72.3</v>
      </c>
      <c r="H181" s="43">
        <f>G181*(F181/SUM($F179:$F183))</f>
        <v>13.781524926686217</v>
      </c>
      <c r="I181" s="61">
        <f t="shared" si="7"/>
        <v>0.13781524926686217</v>
      </c>
      <c r="J181" s="43"/>
    </row>
    <row r="182" spans="1:10" x14ac:dyDescent="0.25">
      <c r="A182" s="20" t="s">
        <v>9</v>
      </c>
      <c r="B182" s="21" t="s">
        <v>86</v>
      </c>
      <c r="C182" s="31">
        <v>2017</v>
      </c>
      <c r="D182" s="32" t="s">
        <v>44</v>
      </c>
      <c r="E182" s="32" t="s">
        <v>48</v>
      </c>
      <c r="F182" s="22">
        <v>69</v>
      </c>
      <c r="G182" s="58">
        <v>88.4</v>
      </c>
      <c r="H182" s="43">
        <f>G182*(F182/SUM($F179:$F183))</f>
        <v>17.887390029325513</v>
      </c>
      <c r="I182" s="61">
        <f t="shared" si="7"/>
        <v>0.17887390029325512</v>
      </c>
      <c r="J182" s="43"/>
    </row>
    <row r="183" spans="1:10" x14ac:dyDescent="0.25">
      <c r="A183" s="17" t="s">
        <v>9</v>
      </c>
      <c r="B183" s="18" t="s">
        <v>86</v>
      </c>
      <c r="C183" s="33">
        <v>2017</v>
      </c>
      <c r="D183" s="34" t="s">
        <v>44</v>
      </c>
      <c r="E183" s="34" t="s">
        <v>49</v>
      </c>
      <c r="F183" s="19">
        <v>69</v>
      </c>
      <c r="G183" s="59">
        <v>73.900000000000006</v>
      </c>
      <c r="H183" s="44">
        <f>G183*(F183/SUM($F179:$F183))</f>
        <v>14.953372434017595</v>
      </c>
      <c r="I183" s="62">
        <f t="shared" si="7"/>
        <v>0.14953372434017595</v>
      </c>
      <c r="J183" s="44"/>
    </row>
    <row r="184" spans="1:10" x14ac:dyDescent="0.25">
      <c r="A184" s="30" t="s">
        <v>9</v>
      </c>
      <c r="B184" s="35" t="s">
        <v>86</v>
      </c>
      <c r="C184" s="35">
        <v>2017</v>
      </c>
      <c r="D184" s="30" t="s">
        <v>4</v>
      </c>
      <c r="E184" s="30" t="s">
        <v>50</v>
      </c>
      <c r="F184" s="26">
        <v>69</v>
      </c>
      <c r="G184" s="41">
        <v>85.5</v>
      </c>
      <c r="H184" s="48">
        <f>G184*(F184/SUM($F$184:$F$189))</f>
        <v>14.459558823529413</v>
      </c>
      <c r="I184" s="66">
        <f t="shared" si="7"/>
        <v>0.14459558823529414</v>
      </c>
      <c r="J184" s="48"/>
    </row>
    <row r="185" spans="1:10" x14ac:dyDescent="0.25">
      <c r="A185" s="32" t="s">
        <v>9</v>
      </c>
      <c r="B185" s="31" t="s">
        <v>86</v>
      </c>
      <c r="C185" s="31">
        <v>2017</v>
      </c>
      <c r="D185" s="32" t="s">
        <v>4</v>
      </c>
      <c r="E185" s="32" t="s">
        <v>51</v>
      </c>
      <c r="F185" s="29">
        <v>69</v>
      </c>
      <c r="G185" s="51">
        <v>85.5</v>
      </c>
      <c r="H185" s="43">
        <f t="shared" ref="H185:H189" si="9">G185*(F185/SUM($F$184:$F$189))</f>
        <v>14.459558823529413</v>
      </c>
      <c r="I185" s="61">
        <f t="shared" si="7"/>
        <v>0.14459558823529414</v>
      </c>
      <c r="J185" s="43"/>
    </row>
    <row r="186" spans="1:10" x14ac:dyDescent="0.25">
      <c r="A186" s="32" t="s">
        <v>9</v>
      </c>
      <c r="B186" s="31" t="s">
        <v>86</v>
      </c>
      <c r="C186" s="31">
        <v>2017</v>
      </c>
      <c r="D186" s="32" t="s">
        <v>4</v>
      </c>
      <c r="E186" s="32" t="s">
        <v>52</v>
      </c>
      <c r="F186" s="29">
        <v>69</v>
      </c>
      <c r="G186" s="51">
        <v>85.5</v>
      </c>
      <c r="H186" s="43">
        <f t="shared" si="9"/>
        <v>14.459558823529413</v>
      </c>
      <c r="I186" s="61">
        <f t="shared" si="7"/>
        <v>0.14459558823529414</v>
      </c>
      <c r="J186" s="43"/>
    </row>
    <row r="187" spans="1:10" x14ac:dyDescent="0.25">
      <c r="A187" s="32" t="s">
        <v>9</v>
      </c>
      <c r="B187" s="31" t="s">
        <v>86</v>
      </c>
      <c r="C187" s="31">
        <v>2017</v>
      </c>
      <c r="D187" s="32" t="s">
        <v>4</v>
      </c>
      <c r="E187" s="32" t="s">
        <v>53</v>
      </c>
      <c r="F187" s="29">
        <v>69</v>
      </c>
      <c r="G187" s="51">
        <v>82.6</v>
      </c>
      <c r="H187" s="43">
        <f t="shared" si="9"/>
        <v>13.969117647058823</v>
      </c>
      <c r="I187" s="61">
        <f t="shared" si="7"/>
        <v>0.13969117647058824</v>
      </c>
      <c r="J187" s="43"/>
    </row>
    <row r="188" spans="1:10" x14ac:dyDescent="0.25">
      <c r="A188" s="32" t="s">
        <v>9</v>
      </c>
      <c r="B188" s="31" t="s">
        <v>86</v>
      </c>
      <c r="C188" s="31">
        <v>2017</v>
      </c>
      <c r="D188" s="32" t="s">
        <v>4</v>
      </c>
      <c r="E188" s="32" t="s">
        <v>54</v>
      </c>
      <c r="F188" s="29">
        <v>69</v>
      </c>
      <c r="G188" s="51">
        <v>85.5</v>
      </c>
      <c r="H188" s="43">
        <f t="shared" si="9"/>
        <v>14.459558823529413</v>
      </c>
      <c r="I188" s="61">
        <f t="shared" si="7"/>
        <v>0.14459558823529414</v>
      </c>
      <c r="J188" s="43"/>
    </row>
    <row r="189" spans="1:10" x14ac:dyDescent="0.25">
      <c r="A189" s="34" t="s">
        <v>9</v>
      </c>
      <c r="B189" s="33" t="s">
        <v>86</v>
      </c>
      <c r="C189" s="33">
        <v>2017</v>
      </c>
      <c r="D189" s="34" t="s">
        <v>4</v>
      </c>
      <c r="E189" s="34" t="s">
        <v>55</v>
      </c>
      <c r="F189" s="27">
        <v>63</v>
      </c>
      <c r="G189" s="52">
        <v>76.2</v>
      </c>
      <c r="H189" s="44">
        <f t="shared" si="9"/>
        <v>11.766176470588237</v>
      </c>
      <c r="I189" s="62">
        <f t="shared" si="7"/>
        <v>0.11766176470588237</v>
      </c>
      <c r="J189" s="44"/>
    </row>
    <row r="190" spans="1:10" x14ac:dyDescent="0.25">
      <c r="A190" s="23" t="s">
        <v>9</v>
      </c>
      <c r="B190" s="24" t="s">
        <v>86</v>
      </c>
      <c r="C190" s="24">
        <v>2017</v>
      </c>
      <c r="D190" s="23" t="s">
        <v>11</v>
      </c>
      <c r="E190" s="23" t="s">
        <v>56</v>
      </c>
      <c r="F190" s="25">
        <v>69</v>
      </c>
      <c r="G190" s="53">
        <v>79.7</v>
      </c>
      <c r="H190" s="45">
        <f>G190*(F190/SUM($F$190:$F$193))</f>
        <v>20.070437956204383</v>
      </c>
      <c r="I190" s="63">
        <f t="shared" si="7"/>
        <v>0.20070437956204384</v>
      </c>
      <c r="J190" s="45"/>
    </row>
    <row r="191" spans="1:10" x14ac:dyDescent="0.25">
      <c r="A191" s="8" t="s">
        <v>9</v>
      </c>
      <c r="B191" s="9" t="s">
        <v>86</v>
      </c>
      <c r="C191" s="9">
        <v>2017</v>
      </c>
      <c r="D191" s="8" t="s">
        <v>11</v>
      </c>
      <c r="E191" s="8" t="s">
        <v>57</v>
      </c>
      <c r="F191" s="10">
        <v>69</v>
      </c>
      <c r="G191" s="54">
        <v>76.8</v>
      </c>
      <c r="H191" s="46">
        <f>G191*(F191/SUM($F$190:$F$193))</f>
        <v>19.34014598540146</v>
      </c>
      <c r="I191" s="64">
        <f t="shared" si="7"/>
        <v>0.19340145985401461</v>
      </c>
      <c r="J191" s="46"/>
    </row>
    <row r="192" spans="1:10" x14ac:dyDescent="0.25">
      <c r="A192" s="8" t="s">
        <v>9</v>
      </c>
      <c r="B192" s="9" t="s">
        <v>86</v>
      </c>
      <c r="C192" s="9">
        <v>2017</v>
      </c>
      <c r="D192" s="8" t="s">
        <v>11</v>
      </c>
      <c r="E192" s="8" t="s">
        <v>58</v>
      </c>
      <c r="F192" s="10">
        <v>69</v>
      </c>
      <c r="G192" s="54">
        <v>78.3</v>
      </c>
      <c r="H192" s="46">
        <f>G192*(F192/SUM($F$190:$F$193))</f>
        <v>19.717883211678835</v>
      </c>
      <c r="I192" s="64">
        <f t="shared" si="7"/>
        <v>0.19717883211678836</v>
      </c>
      <c r="J192" s="46"/>
    </row>
    <row r="193" spans="1:10" x14ac:dyDescent="0.25">
      <c r="A193" s="11" t="s">
        <v>9</v>
      </c>
      <c r="B193" s="12" t="s">
        <v>86</v>
      </c>
      <c r="C193" s="12">
        <v>2017</v>
      </c>
      <c r="D193" s="11" t="s">
        <v>11</v>
      </c>
      <c r="E193" s="11" t="s">
        <v>59</v>
      </c>
      <c r="F193" s="13">
        <v>67</v>
      </c>
      <c r="G193" s="55">
        <v>76.099999999999994</v>
      </c>
      <c r="H193" s="47">
        <f>G193*(F193/SUM($F$190:$F$193))</f>
        <v>18.608394160583941</v>
      </c>
      <c r="I193" s="65">
        <f t="shared" si="7"/>
        <v>0.18608394160583941</v>
      </c>
      <c r="J193" s="47"/>
    </row>
    <row r="194" spans="1:10" x14ac:dyDescent="0.25">
      <c r="A194" s="14" t="s">
        <v>9</v>
      </c>
      <c r="B194" s="15" t="s">
        <v>86</v>
      </c>
      <c r="C194" s="35">
        <v>2017</v>
      </c>
      <c r="D194" s="30" t="s">
        <v>60</v>
      </c>
      <c r="E194" s="30" t="s">
        <v>61</v>
      </c>
      <c r="F194" s="16">
        <v>40</v>
      </c>
      <c r="G194" s="57">
        <v>87.5</v>
      </c>
      <c r="H194" s="48">
        <f>G194*(F194/SUM($F194:$F198))</f>
        <v>17.412935323383085</v>
      </c>
      <c r="I194" s="66">
        <f t="shared" si="7"/>
        <v>0.17412935323383086</v>
      </c>
      <c r="J194" s="48"/>
    </row>
    <row r="195" spans="1:10" x14ac:dyDescent="0.25">
      <c r="A195" s="20" t="s">
        <v>9</v>
      </c>
      <c r="B195" s="21" t="s">
        <v>86</v>
      </c>
      <c r="C195" s="31">
        <v>2017</v>
      </c>
      <c r="D195" s="32" t="s">
        <v>60</v>
      </c>
      <c r="E195" s="32" t="s">
        <v>62</v>
      </c>
      <c r="F195" s="22">
        <v>38</v>
      </c>
      <c r="G195" s="58">
        <v>86.8</v>
      </c>
      <c r="H195" s="43">
        <f>G195*(F195/SUM($F194:$F198))</f>
        <v>16.409950248756218</v>
      </c>
      <c r="I195" s="61">
        <f t="shared" ref="I195:I258" si="10">H195/100</f>
        <v>0.16409950248756217</v>
      </c>
      <c r="J195" s="43"/>
    </row>
    <row r="196" spans="1:10" x14ac:dyDescent="0.25">
      <c r="A196" s="20" t="s">
        <v>9</v>
      </c>
      <c r="B196" s="21" t="s">
        <v>86</v>
      </c>
      <c r="C196" s="31">
        <v>2017</v>
      </c>
      <c r="D196" s="32" t="s">
        <v>60</v>
      </c>
      <c r="E196" s="32" t="s">
        <v>63</v>
      </c>
      <c r="F196" s="22">
        <v>40</v>
      </c>
      <c r="G196" s="58">
        <v>75</v>
      </c>
      <c r="H196" s="43">
        <f>G196*(F196/SUM($F194:$F198))</f>
        <v>14.925373134328359</v>
      </c>
      <c r="I196" s="61">
        <f t="shared" si="10"/>
        <v>0.1492537313432836</v>
      </c>
      <c r="J196" s="43"/>
    </row>
    <row r="197" spans="1:10" x14ac:dyDescent="0.25">
      <c r="A197" s="20" t="s">
        <v>9</v>
      </c>
      <c r="B197" s="21" t="s">
        <v>86</v>
      </c>
      <c r="C197" s="31">
        <v>2017</v>
      </c>
      <c r="D197" s="32" t="s">
        <v>60</v>
      </c>
      <c r="E197" s="32" t="s">
        <v>64</v>
      </c>
      <c r="F197" s="22">
        <v>41</v>
      </c>
      <c r="G197" s="58">
        <v>82.9</v>
      </c>
      <c r="H197" s="43">
        <f>G197*(F197/SUM($F194:$F198))</f>
        <v>16.909950248756218</v>
      </c>
      <c r="I197" s="61">
        <f t="shared" si="10"/>
        <v>0.16909950248756217</v>
      </c>
      <c r="J197" s="43"/>
    </row>
    <row r="198" spans="1:10" x14ac:dyDescent="0.25">
      <c r="A198" s="17" t="s">
        <v>9</v>
      </c>
      <c r="B198" s="18" t="s">
        <v>86</v>
      </c>
      <c r="C198" s="33">
        <v>2017</v>
      </c>
      <c r="D198" s="34" t="s">
        <v>60</v>
      </c>
      <c r="E198" s="34" t="s">
        <v>65</v>
      </c>
      <c r="F198" s="19">
        <v>42</v>
      </c>
      <c r="G198" s="59">
        <v>85.7</v>
      </c>
      <c r="H198" s="44">
        <f>G198*(F198/SUM($F194:$F198))</f>
        <v>17.907462686567165</v>
      </c>
      <c r="I198" s="62">
        <f t="shared" si="10"/>
        <v>0.17907462686567166</v>
      </c>
      <c r="J198" s="44"/>
    </row>
    <row r="199" spans="1:10" x14ac:dyDescent="0.25">
      <c r="A199" s="14" t="s">
        <v>9</v>
      </c>
      <c r="B199" s="15" t="s">
        <v>86</v>
      </c>
      <c r="C199" s="35">
        <v>2017</v>
      </c>
      <c r="D199" s="30" t="s">
        <v>66</v>
      </c>
      <c r="E199" s="30" t="s">
        <v>67</v>
      </c>
      <c r="F199" s="16">
        <v>56</v>
      </c>
      <c r="G199" s="57">
        <v>87.5</v>
      </c>
      <c r="H199" s="48">
        <f>G199*(F199/SUM($F199:$F201))</f>
        <v>29.166666666666664</v>
      </c>
      <c r="I199" s="66">
        <f t="shared" si="10"/>
        <v>0.29166666666666663</v>
      </c>
      <c r="J199" s="48"/>
    </row>
    <row r="200" spans="1:10" x14ac:dyDescent="0.25">
      <c r="A200" s="20" t="s">
        <v>9</v>
      </c>
      <c r="B200" s="21" t="s">
        <v>86</v>
      </c>
      <c r="C200" s="31">
        <v>2017</v>
      </c>
      <c r="D200" s="32" t="s">
        <v>66</v>
      </c>
      <c r="E200" s="32" t="s">
        <v>68</v>
      </c>
      <c r="F200" s="22">
        <v>56</v>
      </c>
      <c r="G200" s="58">
        <v>85.7</v>
      </c>
      <c r="H200" s="43">
        <f>G200*(F200/SUM($F199:$F201))</f>
        <v>28.566666666666666</v>
      </c>
      <c r="I200" s="61">
        <f t="shared" si="10"/>
        <v>0.28566666666666668</v>
      </c>
      <c r="J200" s="43"/>
    </row>
    <row r="201" spans="1:10" x14ac:dyDescent="0.25">
      <c r="A201" s="17" t="s">
        <v>9</v>
      </c>
      <c r="B201" s="18" t="s">
        <v>86</v>
      </c>
      <c r="C201" s="33">
        <v>2017</v>
      </c>
      <c r="D201" s="34" t="s">
        <v>66</v>
      </c>
      <c r="E201" s="34" t="s">
        <v>69</v>
      </c>
      <c r="F201" s="19">
        <v>56</v>
      </c>
      <c r="G201" s="59">
        <v>89.3</v>
      </c>
      <c r="H201" s="44">
        <f>G201*(F201/SUM($F199:$F201))</f>
        <v>29.766666666666666</v>
      </c>
      <c r="I201" s="62">
        <f t="shared" si="10"/>
        <v>0.29766666666666663</v>
      </c>
      <c r="J201" s="44"/>
    </row>
    <row r="202" spans="1:10" x14ac:dyDescent="0.25">
      <c r="A202" s="14" t="s">
        <v>9</v>
      </c>
      <c r="B202" s="15" t="s">
        <v>86</v>
      </c>
      <c r="C202" s="35">
        <v>2017</v>
      </c>
      <c r="D202" s="30" t="s">
        <v>70</v>
      </c>
      <c r="E202" s="30" t="s">
        <v>71</v>
      </c>
      <c r="F202" s="16">
        <v>62</v>
      </c>
      <c r="G202" s="57">
        <v>87.1</v>
      </c>
      <c r="H202" s="48">
        <f>G202*(F202/SUM($F202:$F204))</f>
        <v>27.552040816326532</v>
      </c>
      <c r="I202" s="66">
        <f t="shared" si="10"/>
        <v>0.27552040816326534</v>
      </c>
      <c r="J202" s="48"/>
    </row>
    <row r="203" spans="1:10" x14ac:dyDescent="0.25">
      <c r="A203" s="20" t="s">
        <v>9</v>
      </c>
      <c r="B203" s="21" t="s">
        <v>86</v>
      </c>
      <c r="C203" s="31">
        <v>2017</v>
      </c>
      <c r="D203" s="32" t="s">
        <v>70</v>
      </c>
      <c r="E203" s="32" t="s">
        <v>72</v>
      </c>
      <c r="F203" s="22">
        <v>67</v>
      </c>
      <c r="G203" s="58">
        <v>80.599999999999994</v>
      </c>
      <c r="H203" s="43">
        <f>G203*(F203/SUM($F202:$F204))</f>
        <v>27.552040816326528</v>
      </c>
      <c r="I203" s="61">
        <f t="shared" si="10"/>
        <v>0.27552040816326528</v>
      </c>
      <c r="J203" s="43"/>
    </row>
    <row r="204" spans="1:10" x14ac:dyDescent="0.25">
      <c r="A204" s="17" t="s">
        <v>9</v>
      </c>
      <c r="B204" s="18" t="s">
        <v>86</v>
      </c>
      <c r="C204" s="33">
        <v>2017</v>
      </c>
      <c r="D204" s="34" t="s">
        <v>70</v>
      </c>
      <c r="E204" s="34" t="s">
        <v>73</v>
      </c>
      <c r="F204" s="19">
        <v>67</v>
      </c>
      <c r="G204" s="59">
        <v>83.6</v>
      </c>
      <c r="H204" s="44">
        <f>G204*(F204/SUM($F202:$F204))</f>
        <v>28.577551020408162</v>
      </c>
      <c r="I204" s="62">
        <f t="shared" si="10"/>
        <v>0.2857755102040816</v>
      </c>
      <c r="J204" s="44"/>
    </row>
    <row r="205" spans="1:10" x14ac:dyDescent="0.25">
      <c r="A205" s="14" t="s">
        <v>9</v>
      </c>
      <c r="B205" s="15" t="s">
        <v>86</v>
      </c>
      <c r="C205" s="35">
        <v>2017</v>
      </c>
      <c r="D205" s="30" t="s">
        <v>74</v>
      </c>
      <c r="E205" s="30" t="s">
        <v>75</v>
      </c>
      <c r="F205" s="16">
        <v>54</v>
      </c>
      <c r="G205" s="57">
        <v>75.900000000000006</v>
      </c>
      <c r="H205" s="48">
        <f>G205*(F205/SUM($F205:$F209))</f>
        <v>13.264077669902914</v>
      </c>
      <c r="I205" s="66">
        <f t="shared" si="10"/>
        <v>0.13264077669902913</v>
      </c>
      <c r="J205" s="48"/>
    </row>
    <row r="206" spans="1:10" x14ac:dyDescent="0.25">
      <c r="A206" s="20" t="s">
        <v>9</v>
      </c>
      <c r="B206" s="21" t="s">
        <v>86</v>
      </c>
      <c r="C206" s="31">
        <v>2017</v>
      </c>
      <c r="D206" s="32" t="s">
        <v>74</v>
      </c>
      <c r="E206" s="32" t="s">
        <v>76</v>
      </c>
      <c r="F206" s="22">
        <v>67</v>
      </c>
      <c r="G206" s="58">
        <v>86.6</v>
      </c>
      <c r="H206" s="43">
        <f>G206*(F206/SUM($F205:$F209))</f>
        <v>18.77734627831715</v>
      </c>
      <c r="I206" s="61">
        <f t="shared" si="10"/>
        <v>0.1877734627831715</v>
      </c>
      <c r="J206" s="43"/>
    </row>
    <row r="207" spans="1:10" x14ac:dyDescent="0.25">
      <c r="A207" s="20" t="s">
        <v>9</v>
      </c>
      <c r="B207" s="21" t="s">
        <v>86</v>
      </c>
      <c r="C207" s="31">
        <v>2017</v>
      </c>
      <c r="D207" s="32" t="s">
        <v>74</v>
      </c>
      <c r="E207" s="32" t="s">
        <v>77</v>
      </c>
      <c r="F207" s="22">
        <v>57</v>
      </c>
      <c r="G207" s="58">
        <v>82.5</v>
      </c>
      <c r="H207" s="43">
        <f>G207*(F207/SUM($F205:$F209))</f>
        <v>15.218446601941748</v>
      </c>
      <c r="I207" s="61">
        <f t="shared" si="10"/>
        <v>0.15218446601941749</v>
      </c>
      <c r="J207" s="43"/>
    </row>
    <row r="208" spans="1:10" x14ac:dyDescent="0.25">
      <c r="A208" s="20" t="s">
        <v>9</v>
      </c>
      <c r="B208" s="21" t="s">
        <v>86</v>
      </c>
      <c r="C208" s="31">
        <v>2017</v>
      </c>
      <c r="D208" s="32" t="s">
        <v>74</v>
      </c>
      <c r="E208" s="32" t="s">
        <v>78</v>
      </c>
      <c r="F208" s="22">
        <v>65</v>
      </c>
      <c r="G208" s="58">
        <v>84.6</v>
      </c>
      <c r="H208" s="43">
        <f>G208*(F208/SUM($F205:$F209))</f>
        <v>17.796116504854368</v>
      </c>
      <c r="I208" s="61">
        <f t="shared" si="10"/>
        <v>0.17796116504854367</v>
      </c>
      <c r="J208" s="43"/>
    </row>
    <row r="209" spans="1:10" x14ac:dyDescent="0.25">
      <c r="A209" s="17" t="s">
        <v>9</v>
      </c>
      <c r="B209" s="18" t="s">
        <v>86</v>
      </c>
      <c r="C209" s="33">
        <v>2017</v>
      </c>
      <c r="D209" s="34" t="s">
        <v>74</v>
      </c>
      <c r="E209" s="34" t="s">
        <v>79</v>
      </c>
      <c r="F209" s="19">
        <v>66</v>
      </c>
      <c r="G209" s="59">
        <v>86.4</v>
      </c>
      <c r="H209" s="44">
        <f>G209*(F209/SUM($F205:$F209))</f>
        <v>18.454368932038836</v>
      </c>
      <c r="I209" s="62">
        <f t="shared" si="10"/>
        <v>0.18454368932038837</v>
      </c>
      <c r="J209" s="44"/>
    </row>
    <row r="210" spans="1:10" x14ac:dyDescent="0.25">
      <c r="A210" s="14" t="s">
        <v>9</v>
      </c>
      <c r="B210" s="15" t="s">
        <v>86</v>
      </c>
      <c r="C210" s="35">
        <v>2017</v>
      </c>
      <c r="D210" s="30" t="s">
        <v>80</v>
      </c>
      <c r="E210" s="30" t="s">
        <v>81</v>
      </c>
      <c r="F210" s="16">
        <v>69</v>
      </c>
      <c r="G210" s="57">
        <v>84.1</v>
      </c>
      <c r="H210" s="48">
        <f>G210*(F210/SUM($F210:$F213))</f>
        <v>22.405019305019305</v>
      </c>
      <c r="I210" s="66">
        <f t="shared" si="10"/>
        <v>0.22405019305019305</v>
      </c>
      <c r="J210" s="48"/>
    </row>
    <row r="211" spans="1:10" x14ac:dyDescent="0.25">
      <c r="A211" s="20" t="s">
        <v>9</v>
      </c>
      <c r="B211" s="21" t="s">
        <v>86</v>
      </c>
      <c r="C211" s="31">
        <v>2017</v>
      </c>
      <c r="D211" s="32" t="s">
        <v>80</v>
      </c>
      <c r="E211" s="32" t="s">
        <v>82</v>
      </c>
      <c r="F211" s="22">
        <v>69</v>
      </c>
      <c r="G211" s="58">
        <v>87</v>
      </c>
      <c r="H211" s="43">
        <f>G211*(F211/SUM($F210:$F213))</f>
        <v>23.177606177606179</v>
      </c>
      <c r="I211" s="61">
        <f t="shared" si="10"/>
        <v>0.2317760617760618</v>
      </c>
      <c r="J211" s="43"/>
    </row>
    <row r="212" spans="1:10" x14ac:dyDescent="0.25">
      <c r="A212" s="20" t="s">
        <v>9</v>
      </c>
      <c r="B212" s="21" t="s">
        <v>86</v>
      </c>
      <c r="C212" s="31">
        <v>2017</v>
      </c>
      <c r="D212" s="32" t="s">
        <v>80</v>
      </c>
      <c r="E212" s="32" t="s">
        <v>83</v>
      </c>
      <c r="F212" s="22">
        <v>67</v>
      </c>
      <c r="G212" s="58">
        <v>85.1</v>
      </c>
      <c r="H212" s="43">
        <f>G212*(F212/SUM($F210:$F213))</f>
        <v>22.014285714285712</v>
      </c>
      <c r="I212" s="61">
        <f t="shared" si="10"/>
        <v>0.22014285714285711</v>
      </c>
      <c r="J212" s="43"/>
    </row>
    <row r="213" spans="1:10" x14ac:dyDescent="0.25">
      <c r="A213" s="17" t="s">
        <v>9</v>
      </c>
      <c r="B213" s="18" t="s">
        <v>86</v>
      </c>
      <c r="C213" s="33">
        <v>2017</v>
      </c>
      <c r="D213" s="34" t="s">
        <v>80</v>
      </c>
      <c r="E213" s="34" t="s">
        <v>84</v>
      </c>
      <c r="F213" s="19">
        <v>54</v>
      </c>
      <c r="G213" s="59">
        <v>81.5</v>
      </c>
      <c r="H213" s="44">
        <f>G213*(F213/SUM($F210:$F213))</f>
        <v>16.992277992277991</v>
      </c>
      <c r="I213" s="62">
        <f t="shared" si="10"/>
        <v>0.1699227799227799</v>
      </c>
      <c r="J213" s="44"/>
    </row>
    <row r="214" spans="1:10" x14ac:dyDescent="0.25">
      <c r="A214" s="14" t="s">
        <v>9</v>
      </c>
      <c r="B214" s="15" t="s">
        <v>87</v>
      </c>
      <c r="C214" s="35">
        <v>2017</v>
      </c>
      <c r="D214" s="30" t="s">
        <v>44</v>
      </c>
      <c r="E214" s="30" t="s">
        <v>45</v>
      </c>
      <c r="F214" s="16">
        <v>83</v>
      </c>
      <c r="G214" s="57">
        <v>92.8</v>
      </c>
      <c r="H214" s="48">
        <f>G214*(F214/SUM($F214:$F218))</f>
        <v>19.018271604938271</v>
      </c>
      <c r="I214" s="66">
        <f t="shared" si="10"/>
        <v>0.19018271604938269</v>
      </c>
      <c r="J214" s="48"/>
    </row>
    <row r="215" spans="1:10" x14ac:dyDescent="0.25">
      <c r="A215" s="20" t="s">
        <v>9</v>
      </c>
      <c r="B215" s="21" t="s">
        <v>87</v>
      </c>
      <c r="C215" s="31">
        <v>2017</v>
      </c>
      <c r="D215" s="32" t="s">
        <v>44</v>
      </c>
      <c r="E215" s="32" t="s">
        <v>46</v>
      </c>
      <c r="F215" s="22">
        <v>84</v>
      </c>
      <c r="G215" s="58">
        <v>88.1</v>
      </c>
      <c r="H215" s="43">
        <f>G215*(F215/SUM($F214:$F218))</f>
        <v>18.272592592592591</v>
      </c>
      <c r="I215" s="61">
        <f t="shared" si="10"/>
        <v>0.1827259259259259</v>
      </c>
      <c r="J215" s="43"/>
    </row>
    <row r="216" spans="1:10" x14ac:dyDescent="0.25">
      <c r="A216" s="20" t="s">
        <v>9</v>
      </c>
      <c r="B216" s="21" t="s">
        <v>87</v>
      </c>
      <c r="C216" s="31">
        <v>2017</v>
      </c>
      <c r="D216" s="32" t="s">
        <v>44</v>
      </c>
      <c r="E216" s="32" t="s">
        <v>47</v>
      </c>
      <c r="F216" s="22">
        <v>77</v>
      </c>
      <c r="G216" s="58">
        <v>75.3</v>
      </c>
      <c r="H216" s="43">
        <f>G216*(F216/SUM($F214:$F218))</f>
        <v>14.316296296296295</v>
      </c>
      <c r="I216" s="61">
        <f t="shared" si="10"/>
        <v>0.14316296296296296</v>
      </c>
      <c r="J216" s="43"/>
    </row>
    <row r="217" spans="1:10" x14ac:dyDescent="0.25">
      <c r="A217" s="20" t="s">
        <v>9</v>
      </c>
      <c r="B217" s="21" t="s">
        <v>87</v>
      </c>
      <c r="C217" s="31">
        <v>2017</v>
      </c>
      <c r="D217" s="32" t="s">
        <v>44</v>
      </c>
      <c r="E217" s="32" t="s">
        <v>48</v>
      </c>
      <c r="F217" s="22">
        <v>80</v>
      </c>
      <c r="G217" s="58">
        <v>92.5</v>
      </c>
      <c r="H217" s="43">
        <f>G217*(F217/SUM($F214:$F218))</f>
        <v>18.271604938271604</v>
      </c>
      <c r="I217" s="61">
        <f t="shared" si="10"/>
        <v>0.18271604938271604</v>
      </c>
      <c r="J217" s="43"/>
    </row>
    <row r="218" spans="1:10" x14ac:dyDescent="0.25">
      <c r="A218" s="17" t="s">
        <v>9</v>
      </c>
      <c r="B218" s="18" t="s">
        <v>87</v>
      </c>
      <c r="C218" s="33">
        <v>2017</v>
      </c>
      <c r="D218" s="34" t="s">
        <v>44</v>
      </c>
      <c r="E218" s="34" t="s">
        <v>49</v>
      </c>
      <c r="F218" s="19">
        <v>81</v>
      </c>
      <c r="G218" s="59">
        <v>85.2</v>
      </c>
      <c r="H218" s="44">
        <f>G218*(F218/SUM($F214:$F218))</f>
        <v>17.040000000000003</v>
      </c>
      <c r="I218" s="62">
        <f t="shared" si="10"/>
        <v>0.17040000000000002</v>
      </c>
      <c r="J218" s="44"/>
    </row>
    <row r="219" spans="1:10" x14ac:dyDescent="0.25">
      <c r="A219" s="30" t="s">
        <v>9</v>
      </c>
      <c r="B219" s="35" t="s">
        <v>87</v>
      </c>
      <c r="C219" s="35">
        <v>2017</v>
      </c>
      <c r="D219" s="30" t="s">
        <v>4</v>
      </c>
      <c r="E219" s="30" t="s">
        <v>50</v>
      </c>
      <c r="F219" s="26">
        <v>83</v>
      </c>
      <c r="G219" s="41">
        <v>89.2</v>
      </c>
      <c r="H219" s="48">
        <f>G219*(F219/SUM($F$219:$F$224))</f>
        <v>15.233744855967078</v>
      </c>
      <c r="I219" s="66">
        <f t="shared" si="10"/>
        <v>0.1523374485596708</v>
      </c>
      <c r="J219" s="48"/>
    </row>
    <row r="220" spans="1:10" x14ac:dyDescent="0.25">
      <c r="A220" s="32" t="s">
        <v>9</v>
      </c>
      <c r="B220" s="31" t="s">
        <v>87</v>
      </c>
      <c r="C220" s="31">
        <v>2017</v>
      </c>
      <c r="D220" s="32" t="s">
        <v>4</v>
      </c>
      <c r="E220" s="32" t="s">
        <v>51</v>
      </c>
      <c r="F220" s="29">
        <v>83</v>
      </c>
      <c r="G220" s="51">
        <v>91.6</v>
      </c>
      <c r="H220" s="43">
        <f t="shared" ref="H220:H224" si="11">G220*(F220/SUM($F$219:$F$224))</f>
        <v>15.643621399176954</v>
      </c>
      <c r="I220" s="61">
        <f t="shared" si="10"/>
        <v>0.15643621399176955</v>
      </c>
      <c r="J220" s="43"/>
    </row>
    <row r="221" spans="1:10" x14ac:dyDescent="0.25">
      <c r="A221" s="32" t="s">
        <v>9</v>
      </c>
      <c r="B221" s="31" t="s">
        <v>87</v>
      </c>
      <c r="C221" s="31">
        <v>2017</v>
      </c>
      <c r="D221" s="32" t="s">
        <v>4</v>
      </c>
      <c r="E221" s="32" t="s">
        <v>52</v>
      </c>
      <c r="F221" s="29">
        <v>84</v>
      </c>
      <c r="G221" s="51">
        <v>91.7</v>
      </c>
      <c r="H221" s="43">
        <f t="shared" si="11"/>
        <v>15.849382716049382</v>
      </c>
      <c r="I221" s="61">
        <f t="shared" si="10"/>
        <v>0.15849382716049382</v>
      </c>
      <c r="J221" s="43"/>
    </row>
    <row r="222" spans="1:10" x14ac:dyDescent="0.25">
      <c r="A222" s="32" t="s">
        <v>9</v>
      </c>
      <c r="B222" s="31" t="s">
        <v>87</v>
      </c>
      <c r="C222" s="31">
        <v>2017</v>
      </c>
      <c r="D222" s="32" t="s">
        <v>4</v>
      </c>
      <c r="E222" s="32" t="s">
        <v>53</v>
      </c>
      <c r="F222" s="29">
        <v>84</v>
      </c>
      <c r="G222" s="51">
        <v>84.5</v>
      </c>
      <c r="H222" s="43">
        <f t="shared" si="11"/>
        <v>14.604938271604938</v>
      </c>
      <c r="I222" s="61">
        <f t="shared" si="10"/>
        <v>0.14604938271604939</v>
      </c>
      <c r="J222" s="43"/>
    </row>
    <row r="223" spans="1:10" x14ac:dyDescent="0.25">
      <c r="A223" s="32" t="s">
        <v>9</v>
      </c>
      <c r="B223" s="31" t="s">
        <v>87</v>
      </c>
      <c r="C223" s="31">
        <v>2017</v>
      </c>
      <c r="D223" s="32" t="s">
        <v>4</v>
      </c>
      <c r="E223" s="32" t="s">
        <v>54</v>
      </c>
      <c r="F223" s="29">
        <v>82</v>
      </c>
      <c r="G223" s="51">
        <v>84.1</v>
      </c>
      <c r="H223" s="43">
        <f t="shared" si="11"/>
        <v>14.189711934156378</v>
      </c>
      <c r="I223" s="61">
        <f t="shared" si="10"/>
        <v>0.14189711934156379</v>
      </c>
      <c r="J223" s="43"/>
    </row>
    <row r="224" spans="1:10" x14ac:dyDescent="0.25">
      <c r="A224" s="34" t="s">
        <v>9</v>
      </c>
      <c r="B224" s="33" t="s">
        <v>87</v>
      </c>
      <c r="C224" s="33">
        <v>2017</v>
      </c>
      <c r="D224" s="34" t="s">
        <v>4</v>
      </c>
      <c r="E224" s="34" t="s">
        <v>55</v>
      </c>
      <c r="F224" s="27">
        <v>70</v>
      </c>
      <c r="G224" s="52">
        <v>87.1</v>
      </c>
      <c r="H224" s="44">
        <f t="shared" si="11"/>
        <v>12.545267489711934</v>
      </c>
      <c r="I224" s="62">
        <f t="shared" si="10"/>
        <v>0.12545267489711934</v>
      </c>
      <c r="J224" s="44"/>
    </row>
    <row r="225" spans="1:10" x14ac:dyDescent="0.25">
      <c r="A225" s="23" t="s">
        <v>9</v>
      </c>
      <c r="B225" s="24" t="s">
        <v>87</v>
      </c>
      <c r="C225" s="24">
        <v>2017</v>
      </c>
      <c r="D225" s="23" t="s">
        <v>11</v>
      </c>
      <c r="E225" s="23" t="s">
        <v>56</v>
      </c>
      <c r="F225" s="25">
        <v>81</v>
      </c>
      <c r="G225" s="53">
        <v>88.9</v>
      </c>
      <c r="H225" s="45">
        <f>G225*(F225/SUM($F$225:$F$228))</f>
        <v>22.293808049535606</v>
      </c>
      <c r="I225" s="63">
        <f t="shared" si="10"/>
        <v>0.22293808049535607</v>
      </c>
      <c r="J225" s="45"/>
    </row>
    <row r="226" spans="1:10" x14ac:dyDescent="0.25">
      <c r="A226" s="8" t="s">
        <v>9</v>
      </c>
      <c r="B226" s="9" t="s">
        <v>87</v>
      </c>
      <c r="C226" s="9">
        <v>2017</v>
      </c>
      <c r="D226" s="8" t="s">
        <v>11</v>
      </c>
      <c r="E226" s="8" t="s">
        <v>57</v>
      </c>
      <c r="F226" s="10">
        <v>81</v>
      </c>
      <c r="G226" s="54">
        <v>85.2</v>
      </c>
      <c r="H226" s="46">
        <f>G226*(F226/SUM($F$225:$F$228))</f>
        <v>21.365944272445823</v>
      </c>
      <c r="I226" s="64">
        <f t="shared" si="10"/>
        <v>0.21365944272445822</v>
      </c>
      <c r="J226" s="46"/>
    </row>
    <row r="227" spans="1:10" x14ac:dyDescent="0.25">
      <c r="A227" s="8" t="s">
        <v>9</v>
      </c>
      <c r="B227" s="9" t="s">
        <v>87</v>
      </c>
      <c r="C227" s="9">
        <v>2017</v>
      </c>
      <c r="D227" s="8" t="s">
        <v>11</v>
      </c>
      <c r="E227" s="8" t="s">
        <v>58</v>
      </c>
      <c r="F227" s="10">
        <v>80</v>
      </c>
      <c r="G227" s="54">
        <v>81.3</v>
      </c>
      <c r="H227" s="46">
        <f>G227*(F227/SUM($F$225:$F$228))</f>
        <v>20.136222910216716</v>
      </c>
      <c r="I227" s="64">
        <f t="shared" si="10"/>
        <v>0.20136222910216717</v>
      </c>
      <c r="J227" s="46"/>
    </row>
    <row r="228" spans="1:10" x14ac:dyDescent="0.25">
      <c r="A228" s="11" t="s">
        <v>9</v>
      </c>
      <c r="B228" s="12" t="s">
        <v>87</v>
      </c>
      <c r="C228" s="12">
        <v>2017</v>
      </c>
      <c r="D228" s="11" t="s">
        <v>11</v>
      </c>
      <c r="E228" s="11" t="s">
        <v>59</v>
      </c>
      <c r="F228" s="13">
        <v>81</v>
      </c>
      <c r="G228" s="55">
        <v>84</v>
      </c>
      <c r="H228" s="47">
        <f>G228*(F228/SUM($F$225:$F$228))</f>
        <v>21.065015479876163</v>
      </c>
      <c r="I228" s="65">
        <f t="shared" si="10"/>
        <v>0.21065015479876162</v>
      </c>
      <c r="J228" s="47"/>
    </row>
    <row r="229" spans="1:10" x14ac:dyDescent="0.25">
      <c r="A229" s="14" t="s">
        <v>9</v>
      </c>
      <c r="B229" s="15" t="s">
        <v>87</v>
      </c>
      <c r="C229" s="35">
        <v>2017</v>
      </c>
      <c r="D229" s="30" t="s">
        <v>60</v>
      </c>
      <c r="E229" s="30" t="s">
        <v>61</v>
      </c>
      <c r="F229" s="16">
        <v>54</v>
      </c>
      <c r="G229" s="57">
        <v>87</v>
      </c>
      <c r="H229" s="48">
        <f>G229*(F229/SUM($F229:$F233))</f>
        <v>16.089041095890408</v>
      </c>
      <c r="I229" s="66">
        <f t="shared" si="10"/>
        <v>0.16089041095890408</v>
      </c>
      <c r="J229" s="48"/>
    </row>
    <row r="230" spans="1:10" x14ac:dyDescent="0.25">
      <c r="A230" s="20" t="s">
        <v>9</v>
      </c>
      <c r="B230" s="21" t="s">
        <v>87</v>
      </c>
      <c r="C230" s="31">
        <v>2017</v>
      </c>
      <c r="D230" s="32" t="s">
        <v>60</v>
      </c>
      <c r="E230" s="32" t="s">
        <v>62</v>
      </c>
      <c r="F230" s="22">
        <v>54</v>
      </c>
      <c r="G230" s="58">
        <v>87</v>
      </c>
      <c r="H230" s="43">
        <f>G230*(F230/SUM($F229:$F233))</f>
        <v>16.089041095890408</v>
      </c>
      <c r="I230" s="61">
        <f t="shared" si="10"/>
        <v>0.16089041095890408</v>
      </c>
      <c r="J230" s="43"/>
    </row>
    <row r="231" spans="1:10" x14ac:dyDescent="0.25">
      <c r="A231" s="20" t="s">
        <v>9</v>
      </c>
      <c r="B231" s="21" t="s">
        <v>87</v>
      </c>
      <c r="C231" s="31">
        <v>2017</v>
      </c>
      <c r="D231" s="32" t="s">
        <v>60</v>
      </c>
      <c r="E231" s="32" t="s">
        <v>63</v>
      </c>
      <c r="F231" s="22">
        <v>61</v>
      </c>
      <c r="G231" s="58">
        <v>77</v>
      </c>
      <c r="H231" s="43">
        <f>G231*(F231/SUM($F229:$F233))</f>
        <v>16.085616438356166</v>
      </c>
      <c r="I231" s="61">
        <f t="shared" si="10"/>
        <v>0.16085616438356165</v>
      </c>
      <c r="J231" s="43"/>
    </row>
    <row r="232" spans="1:10" x14ac:dyDescent="0.25">
      <c r="A232" s="20" t="s">
        <v>9</v>
      </c>
      <c r="B232" s="21" t="s">
        <v>87</v>
      </c>
      <c r="C232" s="31">
        <v>2017</v>
      </c>
      <c r="D232" s="32" t="s">
        <v>60</v>
      </c>
      <c r="E232" s="32" t="s">
        <v>64</v>
      </c>
      <c r="F232" s="22">
        <v>62</v>
      </c>
      <c r="G232" s="58">
        <v>91.9</v>
      </c>
      <c r="H232" s="43">
        <f>G232*(F232/SUM($F229:$F233))</f>
        <v>19.513013698630136</v>
      </c>
      <c r="I232" s="61">
        <f t="shared" si="10"/>
        <v>0.19513013698630136</v>
      </c>
      <c r="J232" s="43"/>
    </row>
    <row r="233" spans="1:10" x14ac:dyDescent="0.25">
      <c r="A233" s="17" t="s">
        <v>9</v>
      </c>
      <c r="B233" s="18" t="s">
        <v>87</v>
      </c>
      <c r="C233" s="33">
        <v>2017</v>
      </c>
      <c r="D233" s="34" t="s">
        <v>60</v>
      </c>
      <c r="E233" s="34" t="s">
        <v>65</v>
      </c>
      <c r="F233" s="19">
        <v>61</v>
      </c>
      <c r="G233" s="59">
        <v>91.8</v>
      </c>
      <c r="H233" s="44">
        <f>G233*(F233/SUM($F229:$F233))</f>
        <v>19.177397260273974</v>
      </c>
      <c r="I233" s="62">
        <f t="shared" si="10"/>
        <v>0.19177397260273973</v>
      </c>
      <c r="J233" s="44"/>
    </row>
    <row r="234" spans="1:10" x14ac:dyDescent="0.25">
      <c r="A234" s="14" t="s">
        <v>9</v>
      </c>
      <c r="B234" s="15" t="s">
        <v>87</v>
      </c>
      <c r="C234" s="35">
        <v>2017</v>
      </c>
      <c r="D234" s="30" t="s">
        <v>66</v>
      </c>
      <c r="E234" s="30" t="s">
        <v>67</v>
      </c>
      <c r="F234" s="16">
        <v>61</v>
      </c>
      <c r="G234" s="57">
        <v>88.5</v>
      </c>
      <c r="H234" s="48">
        <f>G234*(F234/SUM($F234:$F236))</f>
        <v>29.662087912087909</v>
      </c>
      <c r="I234" s="66">
        <f t="shared" si="10"/>
        <v>0.29662087912087909</v>
      </c>
      <c r="J234" s="48"/>
    </row>
    <row r="235" spans="1:10" x14ac:dyDescent="0.25">
      <c r="A235" s="20" t="s">
        <v>9</v>
      </c>
      <c r="B235" s="21" t="s">
        <v>87</v>
      </c>
      <c r="C235" s="31">
        <v>2017</v>
      </c>
      <c r="D235" s="32" t="s">
        <v>66</v>
      </c>
      <c r="E235" s="32" t="s">
        <v>68</v>
      </c>
      <c r="F235" s="22">
        <v>60</v>
      </c>
      <c r="G235" s="58">
        <v>85</v>
      </c>
      <c r="H235" s="43">
        <f>G235*(F235/SUM($F234:$F236))</f>
        <v>28.021978021978022</v>
      </c>
      <c r="I235" s="61">
        <f t="shared" si="10"/>
        <v>0.28021978021978022</v>
      </c>
      <c r="J235" s="43"/>
    </row>
    <row r="236" spans="1:10" x14ac:dyDescent="0.25">
      <c r="A236" s="17" t="s">
        <v>9</v>
      </c>
      <c r="B236" s="18" t="s">
        <v>87</v>
      </c>
      <c r="C236" s="33">
        <v>2017</v>
      </c>
      <c r="D236" s="34" t="s">
        <v>66</v>
      </c>
      <c r="E236" s="34" t="s">
        <v>69</v>
      </c>
      <c r="F236" s="19">
        <v>61</v>
      </c>
      <c r="G236" s="59">
        <v>86.9</v>
      </c>
      <c r="H236" s="44">
        <f>G236*(F236/SUM($F234:$F236))</f>
        <v>29.125824175824174</v>
      </c>
      <c r="I236" s="62">
        <f t="shared" si="10"/>
        <v>0.29125824175824172</v>
      </c>
      <c r="J236" s="44"/>
    </row>
    <row r="237" spans="1:10" x14ac:dyDescent="0.25">
      <c r="A237" s="14" t="s">
        <v>9</v>
      </c>
      <c r="B237" s="15" t="s">
        <v>87</v>
      </c>
      <c r="C237" s="35">
        <v>2017</v>
      </c>
      <c r="D237" s="30" t="s">
        <v>70</v>
      </c>
      <c r="E237" s="30" t="s">
        <v>71</v>
      </c>
      <c r="F237" s="16">
        <v>73</v>
      </c>
      <c r="G237" s="57">
        <v>86.3</v>
      </c>
      <c r="H237" s="48">
        <f>G237*(F237/SUM($F237:$F239))</f>
        <v>27.154741379310344</v>
      </c>
      <c r="I237" s="66">
        <f t="shared" si="10"/>
        <v>0.27154741379310343</v>
      </c>
      <c r="J237" s="48"/>
    </row>
    <row r="238" spans="1:10" x14ac:dyDescent="0.25">
      <c r="A238" s="20" t="s">
        <v>9</v>
      </c>
      <c r="B238" s="21" t="s">
        <v>87</v>
      </c>
      <c r="C238" s="31">
        <v>2017</v>
      </c>
      <c r="D238" s="32" t="s">
        <v>70</v>
      </c>
      <c r="E238" s="32" t="s">
        <v>72</v>
      </c>
      <c r="F238" s="22">
        <v>79</v>
      </c>
      <c r="G238" s="58">
        <v>78.5</v>
      </c>
      <c r="H238" s="43">
        <f>G238*(F238/SUM($F237:$F239))</f>
        <v>26.730603448275861</v>
      </c>
      <c r="I238" s="61">
        <f t="shared" si="10"/>
        <v>0.26730603448275864</v>
      </c>
      <c r="J238" s="43"/>
    </row>
    <row r="239" spans="1:10" x14ac:dyDescent="0.25">
      <c r="A239" s="17" t="s">
        <v>9</v>
      </c>
      <c r="B239" s="18" t="s">
        <v>87</v>
      </c>
      <c r="C239" s="33">
        <v>2017</v>
      </c>
      <c r="D239" s="34" t="s">
        <v>70</v>
      </c>
      <c r="E239" s="34" t="s">
        <v>73</v>
      </c>
      <c r="F239" s="19">
        <v>80</v>
      </c>
      <c r="G239" s="59">
        <v>80</v>
      </c>
      <c r="H239" s="44">
        <f>G239*(F239/SUM($F237:$F239))</f>
        <v>27.586206896551726</v>
      </c>
      <c r="I239" s="62">
        <f t="shared" si="10"/>
        <v>0.27586206896551724</v>
      </c>
      <c r="J239" s="44"/>
    </row>
    <row r="240" spans="1:10" x14ac:dyDescent="0.25">
      <c r="A240" s="14" t="s">
        <v>9</v>
      </c>
      <c r="B240" s="15" t="s">
        <v>87</v>
      </c>
      <c r="C240" s="35">
        <v>2017</v>
      </c>
      <c r="D240" s="30" t="s">
        <v>74</v>
      </c>
      <c r="E240" s="30" t="s">
        <v>75</v>
      </c>
      <c r="F240" s="16">
        <v>68</v>
      </c>
      <c r="G240" s="57">
        <v>77.900000000000006</v>
      </c>
      <c r="H240" s="48">
        <f>G240*(F240/SUM($F240:$F244))</f>
        <v>14.239784946236561</v>
      </c>
      <c r="I240" s="66">
        <f t="shared" si="10"/>
        <v>0.14239784946236561</v>
      </c>
      <c r="J240" s="48"/>
    </row>
    <row r="241" spans="1:10" x14ac:dyDescent="0.25">
      <c r="A241" s="20" t="s">
        <v>9</v>
      </c>
      <c r="B241" s="21" t="s">
        <v>87</v>
      </c>
      <c r="C241" s="31">
        <v>2017</v>
      </c>
      <c r="D241" s="32" t="s">
        <v>74</v>
      </c>
      <c r="E241" s="32" t="s">
        <v>76</v>
      </c>
      <c r="F241" s="22">
        <v>78</v>
      </c>
      <c r="G241" s="58">
        <v>80.8</v>
      </c>
      <c r="H241" s="43">
        <f>G241*(F241/SUM($F240:$F244))</f>
        <v>16.941935483870967</v>
      </c>
      <c r="I241" s="61">
        <f t="shared" si="10"/>
        <v>0.16941935483870968</v>
      </c>
      <c r="J241" s="43"/>
    </row>
    <row r="242" spans="1:10" x14ac:dyDescent="0.25">
      <c r="A242" s="20" t="s">
        <v>9</v>
      </c>
      <c r="B242" s="21" t="s">
        <v>87</v>
      </c>
      <c r="C242" s="31">
        <v>2017</v>
      </c>
      <c r="D242" s="32" t="s">
        <v>74</v>
      </c>
      <c r="E242" s="32" t="s">
        <v>77</v>
      </c>
      <c r="F242" s="22">
        <v>67</v>
      </c>
      <c r="G242" s="58">
        <v>70.099999999999994</v>
      </c>
      <c r="H242" s="43">
        <f>G242*(F242/SUM($F240:$F244))</f>
        <v>12.625537634408602</v>
      </c>
      <c r="I242" s="61">
        <f t="shared" si="10"/>
        <v>0.12625537634408601</v>
      </c>
      <c r="J242" s="43"/>
    </row>
    <row r="243" spans="1:10" x14ac:dyDescent="0.25">
      <c r="A243" s="20" t="s">
        <v>9</v>
      </c>
      <c r="B243" s="21" t="s">
        <v>87</v>
      </c>
      <c r="C243" s="31">
        <v>2017</v>
      </c>
      <c r="D243" s="32" t="s">
        <v>74</v>
      </c>
      <c r="E243" s="32" t="s">
        <v>78</v>
      </c>
      <c r="F243" s="22">
        <v>78</v>
      </c>
      <c r="G243" s="58">
        <v>80.8</v>
      </c>
      <c r="H243" s="43">
        <f>G243*(F243/SUM($F240:$F244))</f>
        <v>16.941935483870967</v>
      </c>
      <c r="I243" s="61">
        <f t="shared" si="10"/>
        <v>0.16941935483870968</v>
      </c>
      <c r="J243" s="43"/>
    </row>
    <row r="244" spans="1:10" x14ac:dyDescent="0.25">
      <c r="A244" s="17" t="s">
        <v>9</v>
      </c>
      <c r="B244" s="18" t="s">
        <v>87</v>
      </c>
      <c r="C244" s="33">
        <v>2017</v>
      </c>
      <c r="D244" s="34" t="s">
        <v>74</v>
      </c>
      <c r="E244" s="34" t="s">
        <v>79</v>
      </c>
      <c r="F244" s="19">
        <v>81</v>
      </c>
      <c r="G244" s="59">
        <v>85.2</v>
      </c>
      <c r="H244" s="44">
        <f>G244*(F244/SUM($F240:$F244))</f>
        <v>18.551612903225806</v>
      </c>
      <c r="I244" s="62">
        <f t="shared" si="10"/>
        <v>0.18551612903225806</v>
      </c>
      <c r="J244" s="44"/>
    </row>
    <row r="245" spans="1:10" x14ac:dyDescent="0.25">
      <c r="A245" s="14" t="s">
        <v>9</v>
      </c>
      <c r="B245" s="15" t="s">
        <v>87</v>
      </c>
      <c r="C245" s="35">
        <v>2017</v>
      </c>
      <c r="D245" s="30" t="s">
        <v>80</v>
      </c>
      <c r="E245" s="30" t="s">
        <v>81</v>
      </c>
      <c r="F245" s="16">
        <v>81</v>
      </c>
      <c r="G245" s="57">
        <v>86.4</v>
      </c>
      <c r="H245" s="48">
        <f>G245*(F245/SUM($F245:$F248))</f>
        <v>22.945573770491801</v>
      </c>
      <c r="I245" s="66">
        <f t="shared" si="10"/>
        <v>0.22945573770491801</v>
      </c>
      <c r="J245" s="48"/>
    </row>
    <row r="246" spans="1:10" x14ac:dyDescent="0.25">
      <c r="A246" s="20" t="s">
        <v>9</v>
      </c>
      <c r="B246" s="21" t="s">
        <v>87</v>
      </c>
      <c r="C246" s="31">
        <v>2017</v>
      </c>
      <c r="D246" s="32" t="s">
        <v>80</v>
      </c>
      <c r="E246" s="32" t="s">
        <v>82</v>
      </c>
      <c r="F246" s="22">
        <v>80</v>
      </c>
      <c r="G246" s="58">
        <v>87.5</v>
      </c>
      <c r="H246" s="43">
        <f>G246*(F246/SUM($F245:$F248))</f>
        <v>22.95081967213115</v>
      </c>
      <c r="I246" s="61">
        <f t="shared" si="10"/>
        <v>0.22950819672131151</v>
      </c>
      <c r="J246" s="43"/>
    </row>
    <row r="247" spans="1:10" x14ac:dyDescent="0.25">
      <c r="A247" s="20" t="s">
        <v>9</v>
      </c>
      <c r="B247" s="21" t="s">
        <v>87</v>
      </c>
      <c r="C247" s="31">
        <v>2017</v>
      </c>
      <c r="D247" s="32" t="s">
        <v>80</v>
      </c>
      <c r="E247" s="32" t="s">
        <v>83</v>
      </c>
      <c r="F247" s="22">
        <v>78</v>
      </c>
      <c r="G247" s="58">
        <v>80.8</v>
      </c>
      <c r="H247" s="43">
        <f>G247*(F247/SUM($F245:$F248))</f>
        <v>20.663606557377047</v>
      </c>
      <c r="I247" s="61">
        <f t="shared" si="10"/>
        <v>0.20663606557377048</v>
      </c>
      <c r="J247" s="43"/>
    </row>
    <row r="248" spans="1:10" x14ac:dyDescent="0.25">
      <c r="A248" s="17" t="s">
        <v>9</v>
      </c>
      <c r="B248" s="18" t="s">
        <v>87</v>
      </c>
      <c r="C248" s="33">
        <v>2017</v>
      </c>
      <c r="D248" s="34" t="s">
        <v>80</v>
      </c>
      <c r="E248" s="34" t="s">
        <v>84</v>
      </c>
      <c r="F248" s="19">
        <v>66</v>
      </c>
      <c r="G248" s="59">
        <v>84.8</v>
      </c>
      <c r="H248" s="44">
        <f>G248*(F248/SUM($F245:$F248))</f>
        <v>18.350163934426227</v>
      </c>
      <c r="I248" s="62">
        <f t="shared" si="10"/>
        <v>0.18350163934426228</v>
      </c>
      <c r="J248" s="44"/>
    </row>
    <row r="249" spans="1:10" x14ac:dyDescent="0.25">
      <c r="A249" s="14" t="s">
        <v>9</v>
      </c>
      <c r="B249" s="15" t="s">
        <v>88</v>
      </c>
      <c r="C249" s="35">
        <v>2017</v>
      </c>
      <c r="D249" s="30" t="s">
        <v>44</v>
      </c>
      <c r="E249" s="30" t="s">
        <v>45</v>
      </c>
      <c r="F249" s="16">
        <v>73</v>
      </c>
      <c r="G249" s="57">
        <v>89</v>
      </c>
      <c r="H249" s="48">
        <f>G249*(F249/SUM($F249:$F253))</f>
        <v>17.848901098901099</v>
      </c>
      <c r="I249" s="66">
        <f t="shared" si="10"/>
        <v>0.17848901098901099</v>
      </c>
      <c r="J249" s="48"/>
    </row>
    <row r="250" spans="1:10" x14ac:dyDescent="0.25">
      <c r="A250" s="20" t="s">
        <v>9</v>
      </c>
      <c r="B250" s="21" t="s">
        <v>88</v>
      </c>
      <c r="C250" s="31">
        <v>2017</v>
      </c>
      <c r="D250" s="32" t="s">
        <v>44</v>
      </c>
      <c r="E250" s="32" t="s">
        <v>46</v>
      </c>
      <c r="F250" s="22">
        <v>74</v>
      </c>
      <c r="G250" s="58">
        <v>86.5</v>
      </c>
      <c r="H250" s="43">
        <f>G250*(F250/SUM($F249:$F253))</f>
        <v>17.585164835164836</v>
      </c>
      <c r="I250" s="61">
        <f t="shared" si="10"/>
        <v>0.17585164835164835</v>
      </c>
      <c r="J250" s="43"/>
    </row>
    <row r="251" spans="1:10" x14ac:dyDescent="0.25">
      <c r="A251" s="20" t="s">
        <v>9</v>
      </c>
      <c r="B251" s="21" t="s">
        <v>88</v>
      </c>
      <c r="C251" s="31">
        <v>2017</v>
      </c>
      <c r="D251" s="32" t="s">
        <v>44</v>
      </c>
      <c r="E251" s="32" t="s">
        <v>47</v>
      </c>
      <c r="F251" s="22">
        <v>72</v>
      </c>
      <c r="G251" s="58">
        <v>68.099999999999994</v>
      </c>
      <c r="H251" s="43">
        <f>G251*(F251/SUM($F249:$F253))</f>
        <v>13.470329670329669</v>
      </c>
      <c r="I251" s="61">
        <f t="shared" si="10"/>
        <v>0.1347032967032967</v>
      </c>
      <c r="J251" s="43"/>
    </row>
    <row r="252" spans="1:10" x14ac:dyDescent="0.25">
      <c r="A252" s="20" t="s">
        <v>9</v>
      </c>
      <c r="B252" s="21" t="s">
        <v>88</v>
      </c>
      <c r="C252" s="31">
        <v>2017</v>
      </c>
      <c r="D252" s="32" t="s">
        <v>44</v>
      </c>
      <c r="E252" s="32" t="s">
        <v>48</v>
      </c>
      <c r="F252" s="22">
        <v>73</v>
      </c>
      <c r="G252" s="58">
        <v>80.8</v>
      </c>
      <c r="H252" s="43">
        <f>G252*(F252/SUM($F249:$F253))</f>
        <v>16.204395604395604</v>
      </c>
      <c r="I252" s="61">
        <f t="shared" si="10"/>
        <v>0.16204395604395605</v>
      </c>
      <c r="J252" s="43"/>
    </row>
    <row r="253" spans="1:10" x14ac:dyDescent="0.25">
      <c r="A253" s="17" t="s">
        <v>9</v>
      </c>
      <c r="B253" s="18" t="s">
        <v>88</v>
      </c>
      <c r="C253" s="33">
        <v>2017</v>
      </c>
      <c r="D253" s="34" t="s">
        <v>44</v>
      </c>
      <c r="E253" s="34" t="s">
        <v>49</v>
      </c>
      <c r="F253" s="19">
        <v>72</v>
      </c>
      <c r="G253" s="59">
        <v>77.8</v>
      </c>
      <c r="H253" s="44">
        <f>G253*(F253/SUM($F249:$F253))</f>
        <v>15.389010989010988</v>
      </c>
      <c r="I253" s="62">
        <f t="shared" si="10"/>
        <v>0.15389010989010987</v>
      </c>
      <c r="J253" s="44"/>
    </row>
    <row r="254" spans="1:10" x14ac:dyDescent="0.25">
      <c r="A254" s="30" t="s">
        <v>9</v>
      </c>
      <c r="B254" s="35" t="s">
        <v>88</v>
      </c>
      <c r="C254" s="35">
        <v>2017</v>
      </c>
      <c r="D254" s="30" t="s">
        <v>4</v>
      </c>
      <c r="E254" s="30" t="s">
        <v>50</v>
      </c>
      <c r="F254" s="26">
        <v>73</v>
      </c>
      <c r="G254" s="41">
        <v>87.7</v>
      </c>
      <c r="H254" s="48">
        <f>G254*(F254/SUM($F$254:$F$259))</f>
        <v>14.958177570093458</v>
      </c>
      <c r="I254" s="66">
        <f t="shared" si="10"/>
        <v>0.14958177570093459</v>
      </c>
      <c r="J254" s="48"/>
    </row>
    <row r="255" spans="1:10" x14ac:dyDescent="0.25">
      <c r="A255" s="32" t="s">
        <v>9</v>
      </c>
      <c r="B255" s="31" t="s">
        <v>88</v>
      </c>
      <c r="C255" s="31">
        <v>2017</v>
      </c>
      <c r="D255" s="32" t="s">
        <v>4</v>
      </c>
      <c r="E255" s="32" t="s">
        <v>51</v>
      </c>
      <c r="F255" s="29">
        <v>73</v>
      </c>
      <c r="G255" s="51">
        <v>84.9</v>
      </c>
      <c r="H255" s="43">
        <f t="shared" ref="H255:H259" si="12">G255*(F255/SUM($F$254:$F$259))</f>
        <v>14.480607476635514</v>
      </c>
      <c r="I255" s="61">
        <f t="shared" si="10"/>
        <v>0.14480607476635515</v>
      </c>
      <c r="J255" s="43"/>
    </row>
    <row r="256" spans="1:10" x14ac:dyDescent="0.25">
      <c r="A256" s="32" t="s">
        <v>9</v>
      </c>
      <c r="B256" s="31" t="s">
        <v>88</v>
      </c>
      <c r="C256" s="31">
        <v>2017</v>
      </c>
      <c r="D256" s="32" t="s">
        <v>4</v>
      </c>
      <c r="E256" s="32" t="s">
        <v>52</v>
      </c>
      <c r="F256" s="29">
        <v>72</v>
      </c>
      <c r="G256" s="51">
        <v>87.5</v>
      </c>
      <c r="H256" s="43">
        <f t="shared" si="12"/>
        <v>14.719626168224298</v>
      </c>
      <c r="I256" s="61">
        <f t="shared" si="10"/>
        <v>0.14719626168224298</v>
      </c>
      <c r="J256" s="43"/>
    </row>
    <row r="257" spans="1:10" x14ac:dyDescent="0.25">
      <c r="A257" s="32" t="s">
        <v>9</v>
      </c>
      <c r="B257" s="31" t="s">
        <v>88</v>
      </c>
      <c r="C257" s="31">
        <v>2017</v>
      </c>
      <c r="D257" s="32" t="s">
        <v>4</v>
      </c>
      <c r="E257" s="32" t="s">
        <v>53</v>
      </c>
      <c r="F257" s="29">
        <v>72</v>
      </c>
      <c r="G257" s="51">
        <v>80.599999999999994</v>
      </c>
      <c r="H257" s="43">
        <f t="shared" si="12"/>
        <v>13.558878504672895</v>
      </c>
      <c r="I257" s="61">
        <f t="shared" si="10"/>
        <v>0.13558878504672894</v>
      </c>
      <c r="J257" s="43"/>
    </row>
    <row r="258" spans="1:10" x14ac:dyDescent="0.25">
      <c r="A258" s="32" t="s">
        <v>9</v>
      </c>
      <c r="B258" s="31" t="s">
        <v>88</v>
      </c>
      <c r="C258" s="31">
        <v>2017</v>
      </c>
      <c r="D258" s="32" t="s">
        <v>4</v>
      </c>
      <c r="E258" s="32" t="s">
        <v>54</v>
      </c>
      <c r="F258" s="29">
        <v>72</v>
      </c>
      <c r="G258" s="51">
        <v>81.900000000000006</v>
      </c>
      <c r="H258" s="43">
        <f t="shared" si="12"/>
        <v>13.777570093457944</v>
      </c>
      <c r="I258" s="61">
        <f t="shared" si="10"/>
        <v>0.13777570093457944</v>
      </c>
      <c r="J258" s="43"/>
    </row>
    <row r="259" spans="1:10" x14ac:dyDescent="0.25">
      <c r="A259" s="34" t="s">
        <v>9</v>
      </c>
      <c r="B259" s="33" t="s">
        <v>88</v>
      </c>
      <c r="C259" s="33">
        <v>2017</v>
      </c>
      <c r="D259" s="34" t="s">
        <v>4</v>
      </c>
      <c r="E259" s="34" t="s">
        <v>55</v>
      </c>
      <c r="F259" s="27">
        <v>66</v>
      </c>
      <c r="G259" s="52">
        <v>80.3</v>
      </c>
      <c r="H259" s="44">
        <f t="shared" si="12"/>
        <v>12.38271028037383</v>
      </c>
      <c r="I259" s="62">
        <f t="shared" ref="I259:I284" si="13">H259/100</f>
        <v>0.12382710280373831</v>
      </c>
      <c r="J259" s="44"/>
    </row>
    <row r="260" spans="1:10" x14ac:dyDescent="0.25">
      <c r="A260" s="23" t="s">
        <v>9</v>
      </c>
      <c r="B260" s="24" t="s">
        <v>88</v>
      </c>
      <c r="C260" s="24">
        <v>2017</v>
      </c>
      <c r="D260" s="23" t="s">
        <v>11</v>
      </c>
      <c r="E260" s="23" t="s">
        <v>56</v>
      </c>
      <c r="F260" s="25">
        <v>74</v>
      </c>
      <c r="G260" s="53">
        <v>81.099999999999994</v>
      </c>
      <c r="H260" s="45">
        <f>G260*(F260/SUM($F$260:$F$263))</f>
        <v>20.206734006734006</v>
      </c>
      <c r="I260" s="63">
        <f t="shared" si="13"/>
        <v>0.20206734006734006</v>
      </c>
      <c r="J260" s="45"/>
    </row>
    <row r="261" spans="1:10" x14ac:dyDescent="0.25">
      <c r="A261" s="8" t="s">
        <v>9</v>
      </c>
      <c r="B261" s="9" t="s">
        <v>88</v>
      </c>
      <c r="C261" s="9">
        <v>2017</v>
      </c>
      <c r="D261" s="8" t="s">
        <v>11</v>
      </c>
      <c r="E261" s="8" t="s">
        <v>57</v>
      </c>
      <c r="F261" s="10">
        <v>74</v>
      </c>
      <c r="G261" s="54">
        <v>81.099999999999994</v>
      </c>
      <c r="H261" s="46">
        <f>G261*(F261/SUM($F$260:$F$263))</f>
        <v>20.206734006734006</v>
      </c>
      <c r="I261" s="64">
        <f t="shared" si="13"/>
        <v>0.20206734006734006</v>
      </c>
      <c r="J261" s="46"/>
    </row>
    <row r="262" spans="1:10" x14ac:dyDescent="0.25">
      <c r="A262" s="8" t="s">
        <v>9</v>
      </c>
      <c r="B262" s="9" t="s">
        <v>88</v>
      </c>
      <c r="C262" s="9">
        <v>2017</v>
      </c>
      <c r="D262" s="8" t="s">
        <v>11</v>
      </c>
      <c r="E262" s="8" t="s">
        <v>58</v>
      </c>
      <c r="F262" s="10">
        <v>75</v>
      </c>
      <c r="G262" s="54">
        <v>77.3</v>
      </c>
      <c r="H262" s="46">
        <f>G262*(F262/SUM($F$260:$F$263))</f>
        <v>19.520202020202021</v>
      </c>
      <c r="I262" s="64">
        <f t="shared" si="13"/>
        <v>0.19520202020202021</v>
      </c>
      <c r="J262" s="46"/>
    </row>
    <row r="263" spans="1:10" x14ac:dyDescent="0.25">
      <c r="A263" s="11" t="s">
        <v>9</v>
      </c>
      <c r="B263" s="12" t="s">
        <v>88</v>
      </c>
      <c r="C263" s="12">
        <v>2017</v>
      </c>
      <c r="D263" s="11" t="s">
        <v>11</v>
      </c>
      <c r="E263" s="11" t="s">
        <v>59</v>
      </c>
      <c r="F263" s="13">
        <v>74</v>
      </c>
      <c r="G263" s="55">
        <v>79.7</v>
      </c>
      <c r="H263" s="47">
        <f>G263*(F263/SUM($F$260:$F$263))</f>
        <v>19.857912457912459</v>
      </c>
      <c r="I263" s="65">
        <f t="shared" si="13"/>
        <v>0.19857912457912458</v>
      </c>
      <c r="J263" s="47"/>
    </row>
    <row r="264" spans="1:10" x14ac:dyDescent="0.25">
      <c r="A264" s="14" t="s">
        <v>9</v>
      </c>
      <c r="B264" s="15" t="s">
        <v>88</v>
      </c>
      <c r="C264" s="35">
        <v>2017</v>
      </c>
      <c r="D264" s="30" t="s">
        <v>60</v>
      </c>
      <c r="E264" s="30" t="s">
        <v>61</v>
      </c>
      <c r="F264" s="16">
        <v>47</v>
      </c>
      <c r="G264" s="57">
        <v>80.900000000000006</v>
      </c>
      <c r="H264" s="48">
        <f>G264*(F264/SUM($F264:$F268))</f>
        <v>15.711983471074381</v>
      </c>
      <c r="I264" s="66">
        <f t="shared" si="13"/>
        <v>0.15711983471074381</v>
      </c>
      <c r="J264" s="48"/>
    </row>
    <row r="265" spans="1:10" x14ac:dyDescent="0.25">
      <c r="A265" s="20" t="s">
        <v>9</v>
      </c>
      <c r="B265" s="21" t="s">
        <v>88</v>
      </c>
      <c r="C265" s="31">
        <v>2017</v>
      </c>
      <c r="D265" s="32" t="s">
        <v>60</v>
      </c>
      <c r="E265" s="32" t="s">
        <v>62</v>
      </c>
      <c r="F265" s="22">
        <v>45</v>
      </c>
      <c r="G265" s="58">
        <v>82.2</v>
      </c>
      <c r="H265" s="43">
        <f>G265*(F265/SUM($F264:$F268))</f>
        <v>15.285123966942148</v>
      </c>
      <c r="I265" s="61">
        <f t="shared" si="13"/>
        <v>0.15285123966942149</v>
      </c>
      <c r="J265" s="43"/>
    </row>
    <row r="266" spans="1:10" x14ac:dyDescent="0.25">
      <c r="A266" s="20" t="s">
        <v>9</v>
      </c>
      <c r="B266" s="21" t="s">
        <v>88</v>
      </c>
      <c r="C266" s="31">
        <v>2017</v>
      </c>
      <c r="D266" s="32" t="s">
        <v>60</v>
      </c>
      <c r="E266" s="32" t="s">
        <v>63</v>
      </c>
      <c r="F266" s="22">
        <v>49</v>
      </c>
      <c r="G266" s="58">
        <v>69.400000000000006</v>
      </c>
      <c r="H266" s="43">
        <f>G266*(F266/SUM($F264:$F268))</f>
        <v>14.05206611570248</v>
      </c>
      <c r="I266" s="61">
        <f t="shared" si="13"/>
        <v>0.1405206611570248</v>
      </c>
      <c r="J266" s="43"/>
    </row>
    <row r="267" spans="1:10" x14ac:dyDescent="0.25">
      <c r="A267" s="20" t="s">
        <v>9</v>
      </c>
      <c r="B267" s="21" t="s">
        <v>88</v>
      </c>
      <c r="C267" s="31">
        <v>2017</v>
      </c>
      <c r="D267" s="32" t="s">
        <v>60</v>
      </c>
      <c r="E267" s="32" t="s">
        <v>64</v>
      </c>
      <c r="F267" s="22">
        <v>51</v>
      </c>
      <c r="G267" s="58">
        <v>82.4</v>
      </c>
      <c r="H267" s="43">
        <f>G267*(F267/SUM($F264:$F268))</f>
        <v>17.365289256198349</v>
      </c>
      <c r="I267" s="61">
        <f t="shared" si="13"/>
        <v>0.17365289256198349</v>
      </c>
      <c r="J267" s="43"/>
    </row>
    <row r="268" spans="1:10" x14ac:dyDescent="0.25">
      <c r="A268" s="17" t="s">
        <v>9</v>
      </c>
      <c r="B268" s="18" t="s">
        <v>88</v>
      </c>
      <c r="C268" s="33">
        <v>2017</v>
      </c>
      <c r="D268" s="34" t="s">
        <v>60</v>
      </c>
      <c r="E268" s="34" t="s">
        <v>65</v>
      </c>
      <c r="F268" s="19">
        <v>50</v>
      </c>
      <c r="G268" s="59">
        <v>82</v>
      </c>
      <c r="H268" s="44">
        <f>G268*(F268/SUM($F264:$F268))</f>
        <v>16.942148760330578</v>
      </c>
      <c r="I268" s="62">
        <f t="shared" si="13"/>
        <v>0.16942148760330578</v>
      </c>
      <c r="J268" s="44"/>
    </row>
    <row r="269" spans="1:10" x14ac:dyDescent="0.25">
      <c r="A269" s="14" t="s">
        <v>9</v>
      </c>
      <c r="B269" s="15" t="s">
        <v>88</v>
      </c>
      <c r="C269" s="35">
        <v>2017</v>
      </c>
      <c r="D269" s="30" t="s">
        <v>66</v>
      </c>
      <c r="E269" s="30" t="s">
        <v>67</v>
      </c>
      <c r="F269" s="16">
        <v>60</v>
      </c>
      <c r="G269" s="57">
        <v>81.7</v>
      </c>
      <c r="H269" s="48">
        <f>G269*(F269/SUM($F269:$F271))</f>
        <v>28.666666666666664</v>
      </c>
      <c r="I269" s="66">
        <f t="shared" si="13"/>
        <v>0.28666666666666663</v>
      </c>
      <c r="J269" s="48"/>
    </row>
    <row r="270" spans="1:10" x14ac:dyDescent="0.25">
      <c r="A270" s="20" t="s">
        <v>9</v>
      </c>
      <c r="B270" s="21" t="s">
        <v>88</v>
      </c>
      <c r="C270" s="31">
        <v>2017</v>
      </c>
      <c r="D270" s="32" t="s">
        <v>66</v>
      </c>
      <c r="E270" s="32" t="s">
        <v>68</v>
      </c>
      <c r="F270" s="22">
        <v>54</v>
      </c>
      <c r="G270" s="58">
        <v>83.3</v>
      </c>
      <c r="H270" s="43">
        <f>G270*(F270/SUM($F269:$F271))</f>
        <v>26.305263157894736</v>
      </c>
      <c r="I270" s="61">
        <f t="shared" si="13"/>
        <v>0.26305263157894737</v>
      </c>
      <c r="J270" s="43"/>
    </row>
    <row r="271" spans="1:10" x14ac:dyDescent="0.25">
      <c r="A271" s="17" t="s">
        <v>9</v>
      </c>
      <c r="B271" s="18" t="s">
        <v>88</v>
      </c>
      <c r="C271" s="33">
        <v>2017</v>
      </c>
      <c r="D271" s="34" t="s">
        <v>66</v>
      </c>
      <c r="E271" s="34" t="s">
        <v>69</v>
      </c>
      <c r="F271" s="19">
        <v>57</v>
      </c>
      <c r="G271" s="59">
        <v>86</v>
      </c>
      <c r="H271" s="44">
        <f>G271*(F271/SUM($F269:$F271))</f>
        <v>28.666666666666664</v>
      </c>
      <c r="I271" s="62">
        <f t="shared" si="13"/>
        <v>0.28666666666666663</v>
      </c>
      <c r="J271" s="44"/>
    </row>
    <row r="272" spans="1:10" x14ac:dyDescent="0.25">
      <c r="A272" s="14" t="s">
        <v>9</v>
      </c>
      <c r="B272" s="15" t="s">
        <v>88</v>
      </c>
      <c r="C272" s="35">
        <v>2017</v>
      </c>
      <c r="D272" s="30" t="s">
        <v>70</v>
      </c>
      <c r="E272" s="30" t="s">
        <v>71</v>
      </c>
      <c r="F272" s="16">
        <v>67</v>
      </c>
      <c r="G272" s="57">
        <v>80.599999999999994</v>
      </c>
      <c r="H272" s="48">
        <f>G272*(F272/SUM($F272:$F274))</f>
        <v>25.962499999999999</v>
      </c>
      <c r="I272" s="66">
        <f t="shared" si="13"/>
        <v>0.25962499999999999</v>
      </c>
      <c r="J272" s="48"/>
    </row>
    <row r="273" spans="1:10" x14ac:dyDescent="0.25">
      <c r="A273" s="20" t="s">
        <v>9</v>
      </c>
      <c r="B273" s="21" t="s">
        <v>88</v>
      </c>
      <c r="C273" s="31">
        <v>2017</v>
      </c>
      <c r="D273" s="32" t="s">
        <v>70</v>
      </c>
      <c r="E273" s="32" t="s">
        <v>72</v>
      </c>
      <c r="F273" s="22">
        <v>71</v>
      </c>
      <c r="G273" s="58">
        <v>76.099999999999994</v>
      </c>
      <c r="H273" s="43">
        <f>G273*(F273/SUM($F272:$F274))</f>
        <v>25.976442307692306</v>
      </c>
      <c r="I273" s="61">
        <f t="shared" si="13"/>
        <v>0.25976442307692305</v>
      </c>
      <c r="J273" s="43"/>
    </row>
    <row r="274" spans="1:10" x14ac:dyDescent="0.25">
      <c r="A274" s="17" t="s">
        <v>9</v>
      </c>
      <c r="B274" s="18" t="s">
        <v>88</v>
      </c>
      <c r="C274" s="33">
        <v>2017</v>
      </c>
      <c r="D274" s="34" t="s">
        <v>70</v>
      </c>
      <c r="E274" s="34" t="s">
        <v>73</v>
      </c>
      <c r="F274" s="19">
        <v>70</v>
      </c>
      <c r="G274" s="59">
        <v>80</v>
      </c>
      <c r="H274" s="44">
        <f>G274*(F274/SUM($F272:$F274))</f>
        <v>26.923076923076927</v>
      </c>
      <c r="I274" s="62">
        <f t="shared" si="13"/>
        <v>0.26923076923076927</v>
      </c>
      <c r="J274" s="44"/>
    </row>
    <row r="275" spans="1:10" x14ac:dyDescent="0.25">
      <c r="A275" s="14" t="s">
        <v>9</v>
      </c>
      <c r="B275" s="15" t="s">
        <v>88</v>
      </c>
      <c r="C275" s="35">
        <v>2017</v>
      </c>
      <c r="D275" s="30" t="s">
        <v>74</v>
      </c>
      <c r="E275" s="30" t="s">
        <v>75</v>
      </c>
      <c r="F275" s="16">
        <v>65</v>
      </c>
      <c r="G275" s="57">
        <v>72.3</v>
      </c>
      <c r="H275" s="48">
        <f>G275*(F275/SUM($F275:$F279))</f>
        <v>13.621739130434783</v>
      </c>
      <c r="I275" s="66">
        <f t="shared" si="13"/>
        <v>0.13621739130434782</v>
      </c>
      <c r="J275" s="48"/>
    </row>
    <row r="276" spans="1:10" x14ac:dyDescent="0.25">
      <c r="A276" s="20" t="s">
        <v>9</v>
      </c>
      <c r="B276" s="21" t="s">
        <v>88</v>
      </c>
      <c r="C276" s="31">
        <v>2017</v>
      </c>
      <c r="D276" s="32" t="s">
        <v>74</v>
      </c>
      <c r="E276" s="32" t="s">
        <v>76</v>
      </c>
      <c r="F276" s="22">
        <v>74</v>
      </c>
      <c r="G276" s="58">
        <v>78.400000000000006</v>
      </c>
      <c r="H276" s="43">
        <f>G276*(F276/SUM($F275:$F279))</f>
        <v>16.81623188405797</v>
      </c>
      <c r="I276" s="61">
        <f t="shared" si="13"/>
        <v>0.16816231884057969</v>
      </c>
      <c r="J276" s="43"/>
    </row>
    <row r="277" spans="1:10" x14ac:dyDescent="0.25">
      <c r="A277" s="20" t="s">
        <v>9</v>
      </c>
      <c r="B277" s="21" t="s">
        <v>88</v>
      </c>
      <c r="C277" s="31">
        <v>2017</v>
      </c>
      <c r="D277" s="32" t="s">
        <v>74</v>
      </c>
      <c r="E277" s="32" t="s">
        <v>77</v>
      </c>
      <c r="F277" s="22">
        <v>59</v>
      </c>
      <c r="G277" s="58">
        <v>78</v>
      </c>
      <c r="H277" s="43">
        <f>G277*(F277/SUM($F275:$F279))</f>
        <v>13.339130434782609</v>
      </c>
      <c r="I277" s="61">
        <f t="shared" si="13"/>
        <v>0.13339130434782609</v>
      </c>
      <c r="J277" s="43"/>
    </row>
    <row r="278" spans="1:10" x14ac:dyDescent="0.25">
      <c r="A278" s="20" t="s">
        <v>9</v>
      </c>
      <c r="B278" s="21" t="s">
        <v>88</v>
      </c>
      <c r="C278" s="31">
        <v>2017</v>
      </c>
      <c r="D278" s="32" t="s">
        <v>74</v>
      </c>
      <c r="E278" s="32" t="s">
        <v>78</v>
      </c>
      <c r="F278" s="22">
        <v>73</v>
      </c>
      <c r="G278" s="58">
        <v>79.5</v>
      </c>
      <c r="H278" s="43">
        <f>G278*(F278/SUM($F275:$F279))</f>
        <v>16.821739130434782</v>
      </c>
      <c r="I278" s="61">
        <f t="shared" si="13"/>
        <v>0.16821739130434782</v>
      </c>
      <c r="J278" s="43"/>
    </row>
    <row r="279" spans="1:10" x14ac:dyDescent="0.25">
      <c r="A279" s="17" t="s">
        <v>9</v>
      </c>
      <c r="B279" s="18" t="s">
        <v>88</v>
      </c>
      <c r="C279" s="33">
        <v>2017</v>
      </c>
      <c r="D279" s="34" t="s">
        <v>74</v>
      </c>
      <c r="E279" s="34" t="s">
        <v>79</v>
      </c>
      <c r="F279" s="19">
        <v>74</v>
      </c>
      <c r="G279" s="59">
        <v>81.099999999999994</v>
      </c>
      <c r="H279" s="44">
        <f>G279*(F279/SUM($F275:$F279))</f>
        <v>17.395362318840579</v>
      </c>
      <c r="I279" s="62">
        <f t="shared" si="13"/>
        <v>0.17395362318840579</v>
      </c>
      <c r="J279" s="44"/>
    </row>
    <row r="280" spans="1:10" x14ac:dyDescent="0.25">
      <c r="A280" s="14" t="s">
        <v>9</v>
      </c>
      <c r="B280" s="15" t="s">
        <v>88</v>
      </c>
      <c r="C280" s="35">
        <v>2017</v>
      </c>
      <c r="D280" s="30" t="s">
        <v>80</v>
      </c>
      <c r="E280" s="30" t="s">
        <v>81</v>
      </c>
      <c r="F280" s="16">
        <v>73</v>
      </c>
      <c r="G280" s="57">
        <v>87.7</v>
      </c>
      <c r="H280" s="48">
        <f>G280*(F280/SUM($F280:$F284))</f>
        <v>21.702033898305086</v>
      </c>
      <c r="I280" s="66">
        <f t="shared" si="13"/>
        <v>0.21702033898305084</v>
      </c>
      <c r="J280" s="48"/>
    </row>
    <row r="281" spans="1:10" x14ac:dyDescent="0.25">
      <c r="A281" s="20" t="s">
        <v>9</v>
      </c>
      <c r="B281" s="21" t="s">
        <v>88</v>
      </c>
      <c r="C281" s="31">
        <v>2017</v>
      </c>
      <c r="D281" s="32" t="s">
        <v>80</v>
      </c>
      <c r="E281" s="32" t="s">
        <v>82</v>
      </c>
      <c r="F281" s="22">
        <v>72</v>
      </c>
      <c r="G281" s="58">
        <v>86.1</v>
      </c>
      <c r="H281" s="43">
        <f>G281*(F281/SUM($F280:$F284))</f>
        <v>21.014237288135593</v>
      </c>
      <c r="I281" s="61">
        <f t="shared" si="13"/>
        <v>0.21014237288135593</v>
      </c>
      <c r="J281" s="43"/>
    </row>
    <row r="282" spans="1:10" x14ac:dyDescent="0.25">
      <c r="A282" s="20" t="s">
        <v>9</v>
      </c>
      <c r="B282" s="21" t="s">
        <v>88</v>
      </c>
      <c r="C282" s="31">
        <v>2017</v>
      </c>
      <c r="D282" s="32" t="s">
        <v>80</v>
      </c>
      <c r="E282" s="32" t="s">
        <v>89</v>
      </c>
      <c r="F282" s="22">
        <v>12</v>
      </c>
      <c r="G282" s="58">
        <v>83.3</v>
      </c>
      <c r="H282" s="43">
        <f>G282*(F282/SUM($F280:$F284))</f>
        <v>3.3884745762711859</v>
      </c>
      <c r="I282" s="61">
        <f t="shared" si="13"/>
        <v>3.388474576271186E-2</v>
      </c>
      <c r="J282" s="43"/>
    </row>
    <row r="283" spans="1:10" x14ac:dyDescent="0.25">
      <c r="A283" s="20" t="s">
        <v>9</v>
      </c>
      <c r="B283" s="21" t="s">
        <v>88</v>
      </c>
      <c r="C283" s="31">
        <v>2017</v>
      </c>
      <c r="D283" s="32" t="s">
        <v>80</v>
      </c>
      <c r="E283" s="32" t="s">
        <v>83</v>
      </c>
      <c r="F283" s="22">
        <v>71</v>
      </c>
      <c r="G283" s="58">
        <v>84.5</v>
      </c>
      <c r="H283" s="43">
        <f>G283*(F283/SUM($F280:$F284))</f>
        <v>20.337288135593219</v>
      </c>
      <c r="I283" s="61">
        <f t="shared" si="13"/>
        <v>0.20337288135593221</v>
      </c>
      <c r="J283" s="43"/>
    </row>
    <row r="284" spans="1:10" x14ac:dyDescent="0.25">
      <c r="A284" s="17" t="s">
        <v>9</v>
      </c>
      <c r="B284" s="18" t="s">
        <v>88</v>
      </c>
      <c r="C284" s="33">
        <v>2017</v>
      </c>
      <c r="D284" s="34" t="s">
        <v>80</v>
      </c>
      <c r="E284" s="34" t="s">
        <v>84</v>
      </c>
      <c r="F284" s="19">
        <v>67</v>
      </c>
      <c r="G284" s="59">
        <v>76.099999999999994</v>
      </c>
      <c r="H284" s="44">
        <f>G284*(F284/SUM($F280:$F284))</f>
        <v>17.283728813559321</v>
      </c>
      <c r="I284" s="62">
        <f t="shared" si="13"/>
        <v>0.17283728813559321</v>
      </c>
      <c r="J284" s="44"/>
    </row>
  </sheetData>
  <autoFilter ref="A1:H28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Doctor_Satisfaction</vt:lpstr>
      <vt:lpstr>Data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Vicents, Evora</dc:creator>
  <cp:lastModifiedBy>Baumgarten, Allen</cp:lastModifiedBy>
  <dcterms:created xsi:type="dcterms:W3CDTF">2017-12-20T15:23:21Z</dcterms:created>
  <dcterms:modified xsi:type="dcterms:W3CDTF">2017-12-26T16:02:22Z</dcterms:modified>
</cp:coreProperties>
</file>